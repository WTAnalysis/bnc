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e8c8e9b1f0372/WC 2026/"/>
    </mc:Choice>
  </mc:AlternateContent>
  <xr:revisionPtr revIDLastSave="4779" documentId="8_{DE49DC6A-C840-492B-B227-19D455AF6A7E}" xr6:coauthVersionLast="47" xr6:coauthVersionMax="47" xr10:uidLastSave="{1F071D81-638C-44E3-857A-7E3C902A70F5}"/>
  <bookViews>
    <workbookView xWindow="-120" yWindow="-120" windowWidth="29040" windowHeight="15720" tabRatio="695" activeTab="1" xr2:uid="{C89748F7-A3C0-4C48-B72F-38560D014DDC}"/>
  </bookViews>
  <sheets>
    <sheet name="schedule" sheetId="28" r:id="rId1"/>
    <sheet name="PickedPlayers" sheetId="2" r:id="rId2"/>
    <sheet name="OriginalPaste" sheetId="6" state="hidden" r:id="rId3"/>
    <sheet name="Teams" sheetId="3" state="hidden" r:id="rId4"/>
    <sheet name="Barlow" sheetId="21" r:id="rId5"/>
    <sheet name="Taylor" sheetId="22" r:id="rId6"/>
    <sheet name="Ian" sheetId="23" r:id="rId7"/>
    <sheet name="WillT" sheetId="14" r:id="rId8"/>
    <sheet name="Joe" sheetId="24" r:id="rId9"/>
    <sheet name="Dan" sheetId="25" r:id="rId10"/>
    <sheet name="Andy" sheetId="27" r:id="rId11"/>
    <sheet name="WillS" sheetId="26" r:id="rId12"/>
    <sheet name="Predictor" sheetId="20" r:id="rId13"/>
    <sheet name="Fixtures" sheetId="19" r:id="rId14"/>
    <sheet name="SquadLists" sheetId="9" r:id="rId15"/>
    <sheet name="DraftData" sheetId="10" state="hidden" r:id="rId16"/>
    <sheet name="DraftOrder" sheetId="1" state="hidden" r:id="rId17"/>
    <sheet name="Lookups" sheetId="5" state="hidden" r:id="rId18"/>
  </sheets>
  <definedNames>
    <definedName name="_xlnm._FilterDatabase" localSheetId="17" hidden="1">Lookups!$A$1:$B$1</definedName>
    <definedName name="_xlnm._FilterDatabase" localSheetId="1" hidden="1">PickedPlayers!$A$1:$Q$145</definedName>
    <definedName name="_xlnm._FilterDatabase" localSheetId="12" hidden="1">Predictor!$A$1:$G$1</definedName>
    <definedName name="_xlnm._FilterDatabase" localSheetId="14" hidden="1">SquadLists!$A$1:$G$1245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26" l="1"/>
  <c r="P10" i="22"/>
  <c r="AA10" i="25"/>
  <c r="Y10" i="25"/>
  <c r="X10" i="25"/>
  <c r="V10" i="25"/>
  <c r="U10" i="25"/>
  <c r="S10" i="25"/>
  <c r="R10" i="25"/>
  <c r="P10" i="25"/>
  <c r="O10" i="25"/>
  <c r="M10" i="25"/>
  <c r="AA14" i="24"/>
  <c r="X14" i="24"/>
  <c r="Y14" i="24"/>
  <c r="V14" i="24"/>
  <c r="U14" i="24"/>
  <c r="S14" i="24"/>
  <c r="R14" i="24"/>
  <c r="P14" i="24"/>
  <c r="O14" i="24"/>
  <c r="M14" i="24"/>
  <c r="AA14" i="26"/>
  <c r="Y14" i="26"/>
  <c r="X14" i="26"/>
  <c r="V14" i="26"/>
  <c r="U14" i="26"/>
  <c r="S14" i="26"/>
  <c r="R14" i="26"/>
  <c r="P14" i="26"/>
  <c r="O14" i="26"/>
  <c r="M14" i="26"/>
  <c r="AA10" i="27"/>
  <c r="Y10" i="27"/>
  <c r="X10" i="27"/>
  <c r="V10" i="27"/>
  <c r="U10" i="27"/>
  <c r="S10" i="27"/>
  <c r="R10" i="27"/>
  <c r="P10" i="27"/>
  <c r="O10" i="27"/>
  <c r="M10" i="27"/>
  <c r="AA10" i="14"/>
  <c r="Y10" i="14"/>
  <c r="X10" i="14"/>
  <c r="V10" i="14"/>
  <c r="U10" i="14"/>
  <c r="S10" i="14"/>
  <c r="R10" i="14"/>
  <c r="P10" i="14"/>
  <c r="O10" i="14"/>
  <c r="M10" i="14"/>
  <c r="AA18" i="23"/>
  <c r="Y18" i="23"/>
  <c r="X18" i="23"/>
  <c r="V18" i="23"/>
  <c r="U18" i="23"/>
  <c r="S18" i="23"/>
  <c r="R18" i="23"/>
  <c r="P18" i="23"/>
  <c r="O18" i="23"/>
  <c r="M18" i="23"/>
  <c r="AA14" i="22"/>
  <c r="X14" i="22"/>
  <c r="Y14" i="22"/>
  <c r="V14" i="22"/>
  <c r="U14" i="22"/>
  <c r="S14" i="22"/>
  <c r="R14" i="22"/>
  <c r="P14" i="22"/>
  <c r="O14" i="22"/>
  <c r="M14" i="22"/>
  <c r="O14" i="21"/>
  <c r="R14" i="21"/>
  <c r="U14" i="21"/>
  <c r="X14" i="21"/>
  <c r="AA14" i="21"/>
  <c r="Y14" i="21"/>
  <c r="V14" i="21"/>
  <c r="S14" i="21"/>
  <c r="P14" i="21"/>
  <c r="M14" i="21"/>
  <c r="R3" i="20"/>
  <c r="Z3" i="20"/>
  <c r="S3" i="20"/>
  <c r="T3" i="20"/>
  <c r="U3" i="20"/>
  <c r="AC3" i="20"/>
  <c r="V3" i="20"/>
  <c r="W3" i="20"/>
  <c r="X3" i="20"/>
  <c r="R4" i="20"/>
  <c r="Z4" i="20"/>
  <c r="S4" i="20"/>
  <c r="T4" i="20"/>
  <c r="U4" i="20"/>
  <c r="V4" i="20"/>
  <c r="W4" i="20"/>
  <c r="X4" i="20"/>
  <c r="R5" i="20"/>
  <c r="S5" i="20"/>
  <c r="T5" i="20"/>
  <c r="U5" i="20"/>
  <c r="V5" i="20"/>
  <c r="W5" i="20"/>
  <c r="X5" i="20"/>
  <c r="R6" i="20"/>
  <c r="S6" i="20"/>
  <c r="T6" i="20"/>
  <c r="U6" i="20"/>
  <c r="V6" i="20"/>
  <c r="W6" i="20"/>
  <c r="X6" i="20"/>
  <c r="R7" i="20"/>
  <c r="S7" i="20"/>
  <c r="AA7" i="20"/>
  <c r="T7" i="20"/>
  <c r="U7" i="20"/>
  <c r="V7" i="20"/>
  <c r="W7" i="20"/>
  <c r="X7" i="20"/>
  <c r="R8" i="20"/>
  <c r="S8" i="20"/>
  <c r="T8" i="20"/>
  <c r="U8" i="20"/>
  <c r="V8" i="20"/>
  <c r="W8" i="20"/>
  <c r="X8" i="20"/>
  <c r="R9" i="20"/>
  <c r="Z9" i="20"/>
  <c r="S9" i="20"/>
  <c r="T9" i="20"/>
  <c r="U9" i="20"/>
  <c r="V9" i="20"/>
  <c r="AD9" i="20"/>
  <c r="W9" i="20"/>
  <c r="X9" i="20"/>
  <c r="AF9" i="20"/>
  <c r="R10" i="20"/>
  <c r="S10" i="20"/>
  <c r="AA10" i="20"/>
  <c r="T10" i="20"/>
  <c r="U10" i="20"/>
  <c r="V10" i="20"/>
  <c r="W10" i="20"/>
  <c r="X10" i="20"/>
  <c r="R11" i="20"/>
  <c r="S11" i="20"/>
  <c r="AA11" i="20"/>
  <c r="T11" i="20"/>
  <c r="AB11" i="20"/>
  <c r="U11" i="20"/>
  <c r="AC11" i="20"/>
  <c r="V11" i="20"/>
  <c r="AD11" i="20"/>
  <c r="W11" i="20"/>
  <c r="AE11" i="20"/>
  <c r="X11" i="20"/>
  <c r="R12" i="20"/>
  <c r="Z12" i="20"/>
  <c r="S12" i="20"/>
  <c r="AA12" i="20"/>
  <c r="T12" i="20"/>
  <c r="AB12" i="20"/>
  <c r="U12" i="20"/>
  <c r="AC12" i="20"/>
  <c r="V12" i="20"/>
  <c r="W12" i="20"/>
  <c r="AE12" i="20"/>
  <c r="X12" i="20"/>
  <c r="AF12" i="20"/>
  <c r="R13" i="20"/>
  <c r="Z13" i="20"/>
  <c r="S13" i="20"/>
  <c r="AA13" i="20"/>
  <c r="T13" i="20"/>
  <c r="AB13" i="20"/>
  <c r="U13" i="20"/>
  <c r="V13" i="20"/>
  <c r="W13" i="20"/>
  <c r="X13" i="20"/>
  <c r="AF13" i="20"/>
  <c r="R14" i="20"/>
  <c r="S14" i="20"/>
  <c r="AA14" i="20"/>
  <c r="T14" i="20"/>
  <c r="U14" i="20"/>
  <c r="AC14" i="20"/>
  <c r="V14" i="20"/>
  <c r="W14" i="20"/>
  <c r="AE14" i="20"/>
  <c r="X14" i="20"/>
  <c r="R15" i="20"/>
  <c r="S15" i="20"/>
  <c r="T15" i="20"/>
  <c r="U15" i="20"/>
  <c r="V15" i="20"/>
  <c r="W15" i="20"/>
  <c r="X15" i="20"/>
  <c r="R16" i="20"/>
  <c r="Z16" i="20"/>
  <c r="S16" i="20"/>
  <c r="T16" i="20"/>
  <c r="U16" i="20"/>
  <c r="AC16" i="20"/>
  <c r="V16" i="20"/>
  <c r="AD16" i="20"/>
  <c r="W16" i="20"/>
  <c r="X16" i="20"/>
  <c r="AF16" i="20"/>
  <c r="R17" i="20"/>
  <c r="Z17" i="20"/>
  <c r="S17" i="20"/>
  <c r="AA17" i="20"/>
  <c r="T17" i="20"/>
  <c r="U17" i="20"/>
  <c r="V17" i="20"/>
  <c r="W17" i="20"/>
  <c r="AE17" i="20"/>
  <c r="X17" i="20"/>
  <c r="AF17" i="20"/>
  <c r="R18" i="20"/>
  <c r="S18" i="20"/>
  <c r="T18" i="20"/>
  <c r="U18" i="20"/>
  <c r="AC18" i="20"/>
  <c r="V18" i="20"/>
  <c r="W18" i="20"/>
  <c r="AE18" i="20"/>
  <c r="X18" i="20"/>
  <c r="R19" i="20"/>
  <c r="S19" i="20"/>
  <c r="T19" i="20"/>
  <c r="U19" i="20"/>
  <c r="AC19" i="20"/>
  <c r="V19" i="20"/>
  <c r="W19" i="20"/>
  <c r="X19" i="20"/>
  <c r="R20" i="20"/>
  <c r="Z20" i="20"/>
  <c r="S20" i="20"/>
  <c r="T20" i="20"/>
  <c r="AB20" i="20"/>
  <c r="U20" i="20"/>
  <c r="AC20" i="20"/>
  <c r="V20" i="20"/>
  <c r="AD20" i="20"/>
  <c r="W20" i="20"/>
  <c r="AE20" i="20"/>
  <c r="X20" i="20"/>
  <c r="Y20" i="20"/>
  <c r="R21" i="20"/>
  <c r="S21" i="20"/>
  <c r="T21" i="20"/>
  <c r="U21" i="20"/>
  <c r="V21" i="20"/>
  <c r="W21" i="20"/>
  <c r="X21" i="20"/>
  <c r="Y21" i="20"/>
  <c r="R22" i="20"/>
  <c r="S22" i="20"/>
  <c r="T22" i="20"/>
  <c r="AB22" i="20"/>
  <c r="U22" i="20"/>
  <c r="V22" i="20"/>
  <c r="AD22" i="20"/>
  <c r="W22" i="20"/>
  <c r="X22" i="20"/>
  <c r="Y22" i="20"/>
  <c r="R23" i="20"/>
  <c r="S23" i="20"/>
  <c r="T23" i="20"/>
  <c r="U23" i="20"/>
  <c r="V23" i="20"/>
  <c r="W23" i="20"/>
  <c r="X23" i="20"/>
  <c r="Y23" i="20"/>
  <c r="R24" i="20"/>
  <c r="S24" i="20"/>
  <c r="AA24" i="20"/>
  <c r="T24" i="20"/>
  <c r="U24" i="20"/>
  <c r="AC24" i="20"/>
  <c r="V24" i="20"/>
  <c r="W24" i="20"/>
  <c r="X24" i="20"/>
  <c r="AF24" i="20"/>
  <c r="Y24" i="20"/>
  <c r="AG24" i="20"/>
  <c r="R25" i="20"/>
  <c r="S25" i="20"/>
  <c r="AA25" i="20"/>
  <c r="T25" i="20"/>
  <c r="U25" i="20"/>
  <c r="AC25" i="20"/>
  <c r="V25" i="20"/>
  <c r="AD25" i="20"/>
  <c r="W25" i="20"/>
  <c r="X25" i="20"/>
  <c r="Y25" i="20"/>
  <c r="AG25" i="20"/>
  <c r="Q26" i="20"/>
  <c r="AC26" i="20"/>
  <c r="V26" i="20"/>
  <c r="W26" i="20"/>
  <c r="AE26" i="20"/>
  <c r="AF26" i="20"/>
  <c r="Q27" i="20"/>
  <c r="Z27" i="20"/>
  <c r="V27" i="20"/>
  <c r="AD27" i="20"/>
  <c r="W27" i="20"/>
  <c r="AE27" i="20"/>
  <c r="AF27" i="20"/>
  <c r="Q28" i="20"/>
  <c r="AC28" i="20"/>
  <c r="V28" i="20"/>
  <c r="AD28" i="20"/>
  <c r="W28" i="20"/>
  <c r="AE28" i="20"/>
  <c r="Q29" i="20"/>
  <c r="Z29" i="20"/>
  <c r="AB29" i="20"/>
  <c r="V29" i="20"/>
  <c r="AD29" i="20"/>
  <c r="W29" i="20"/>
  <c r="AE29" i="20"/>
  <c r="Q30" i="20"/>
  <c r="Z30" i="20"/>
  <c r="V30" i="20"/>
  <c r="AD30" i="20"/>
  <c r="W30" i="20"/>
  <c r="AE30" i="20"/>
  <c r="Q31" i="20"/>
  <c r="Z31" i="20"/>
  <c r="V31" i="20"/>
  <c r="AD31" i="20"/>
  <c r="W31" i="20"/>
  <c r="AE31" i="20"/>
  <c r="AF31" i="20"/>
  <c r="V32" i="20"/>
  <c r="Q32" i="20"/>
  <c r="AD32" i="20"/>
  <c r="W32" i="20"/>
  <c r="AE32" i="20"/>
  <c r="AF32" i="20"/>
  <c r="V33" i="20"/>
  <c r="Q33" i="20"/>
  <c r="AD33" i="20"/>
  <c r="W33" i="20"/>
  <c r="AE33" i="20"/>
  <c r="AF33" i="20"/>
  <c r="V34" i="20"/>
  <c r="Q34" i="20"/>
  <c r="AD34" i="20"/>
  <c r="W34" i="20"/>
  <c r="AE34" i="20"/>
  <c r="AF34" i="20"/>
  <c r="Y34" i="20"/>
  <c r="AG34" i="20"/>
  <c r="Q35" i="20"/>
  <c r="Z35" i="20"/>
  <c r="AC35" i="20"/>
  <c r="V35" i="20"/>
  <c r="AD35" i="20"/>
  <c r="W35" i="20"/>
  <c r="AE35" i="20"/>
  <c r="Y35" i="20"/>
  <c r="AG35" i="20"/>
  <c r="Q36" i="20"/>
  <c r="AB36" i="20"/>
  <c r="AC36" i="20"/>
  <c r="V36" i="20"/>
  <c r="AD36" i="20"/>
  <c r="W36" i="20"/>
  <c r="AE36" i="20"/>
  <c r="Y36" i="20"/>
  <c r="AG36" i="20"/>
  <c r="Q37" i="20"/>
  <c r="Z37" i="20"/>
  <c r="V37" i="20"/>
  <c r="AD37" i="20"/>
  <c r="W37" i="20"/>
  <c r="AE37" i="20"/>
  <c r="Y37" i="20"/>
  <c r="AG37" i="20"/>
  <c r="Q38" i="20"/>
  <c r="AC38" i="20"/>
  <c r="V38" i="20"/>
  <c r="AD38" i="20"/>
  <c r="W38" i="20"/>
  <c r="AE38" i="20"/>
  <c r="Y38" i="20"/>
  <c r="AG38" i="20"/>
  <c r="V39" i="20"/>
  <c r="Q39" i="20"/>
  <c r="AD39" i="20"/>
  <c r="W39" i="20"/>
  <c r="AE39" i="20"/>
  <c r="Y39" i="20"/>
  <c r="AG39" i="20"/>
  <c r="V40" i="20"/>
  <c r="Q40" i="20"/>
  <c r="AD40" i="20"/>
  <c r="W40" i="20"/>
  <c r="AE40" i="20"/>
  <c r="Y40" i="20"/>
  <c r="AG40" i="20"/>
  <c r="Q41" i="20"/>
  <c r="AB41" i="20"/>
  <c r="AC41" i="20"/>
  <c r="V41" i="20"/>
  <c r="AD41" i="20"/>
  <c r="W41" i="20"/>
  <c r="AE41" i="20"/>
  <c r="Y41" i="20"/>
  <c r="AG41" i="20"/>
  <c r="Q42" i="20"/>
  <c r="Z42" i="20"/>
  <c r="V42" i="20"/>
  <c r="AD42" i="20"/>
  <c r="W42" i="20"/>
  <c r="AE42" i="20"/>
  <c r="Y42" i="20"/>
  <c r="AG42" i="20"/>
  <c r="Q43" i="20"/>
  <c r="Z43" i="20"/>
  <c r="AB43" i="20"/>
  <c r="AC43" i="20"/>
  <c r="V43" i="20"/>
  <c r="AD43" i="20"/>
  <c r="W43" i="20"/>
  <c r="AE43" i="20"/>
  <c r="X43" i="20"/>
  <c r="AF43" i="20"/>
  <c r="Y43" i="20"/>
  <c r="AG43" i="20"/>
  <c r="Q44" i="20"/>
  <c r="AC44" i="20"/>
  <c r="V44" i="20"/>
  <c r="AD44" i="20"/>
  <c r="W44" i="20"/>
  <c r="AE44" i="20"/>
  <c r="X44" i="20"/>
  <c r="AF44" i="20"/>
  <c r="Y44" i="20"/>
  <c r="AG44" i="20"/>
  <c r="Q45" i="20"/>
  <c r="AC45" i="20"/>
  <c r="V45" i="20"/>
  <c r="AD45" i="20"/>
  <c r="W45" i="20"/>
  <c r="AE45" i="20"/>
  <c r="X45" i="20"/>
  <c r="AF45" i="20"/>
  <c r="Y45" i="20"/>
  <c r="AG45" i="20"/>
  <c r="Q46" i="20"/>
  <c r="AB46" i="20"/>
  <c r="V46" i="20"/>
  <c r="AD46" i="20"/>
  <c r="W46" i="20"/>
  <c r="AE46" i="20"/>
  <c r="X46" i="20"/>
  <c r="AF46" i="20"/>
  <c r="Y46" i="20"/>
  <c r="AG46" i="20"/>
  <c r="Q47" i="20"/>
  <c r="Z47" i="20"/>
  <c r="V47" i="20"/>
  <c r="AD47" i="20"/>
  <c r="W47" i="20"/>
  <c r="AE47" i="20"/>
  <c r="X47" i="20"/>
  <c r="AF47" i="20"/>
  <c r="Y47" i="20"/>
  <c r="AG47" i="20"/>
  <c r="V48" i="20"/>
  <c r="Q48" i="20"/>
  <c r="AD48" i="20"/>
  <c r="W48" i="20"/>
  <c r="AE48" i="20"/>
  <c r="X48" i="20"/>
  <c r="AF48" i="20"/>
  <c r="Y48" i="20"/>
  <c r="AG48" i="20"/>
  <c r="Q49" i="20"/>
  <c r="Z49" i="20"/>
  <c r="T49" i="20"/>
  <c r="AB49" i="20"/>
  <c r="AC49" i="20"/>
  <c r="V49" i="20"/>
  <c r="AD49" i="20"/>
  <c r="W49" i="20"/>
  <c r="AE49" i="20"/>
  <c r="X49" i="20"/>
  <c r="AF49" i="20"/>
  <c r="Y49" i="20"/>
  <c r="AG49" i="20"/>
  <c r="S50" i="20"/>
  <c r="AA50" i="20"/>
  <c r="T50" i="20"/>
  <c r="Q50" i="20"/>
  <c r="AB50" i="20"/>
  <c r="U50" i="20"/>
  <c r="AC50" i="20"/>
  <c r="V50" i="20"/>
  <c r="AD50" i="20"/>
  <c r="W50" i="20"/>
  <c r="AE50" i="20"/>
  <c r="X50" i="20"/>
  <c r="AF50" i="20"/>
  <c r="Y50" i="20"/>
  <c r="AG50" i="20"/>
  <c r="S51" i="20"/>
  <c r="Q51" i="20"/>
  <c r="AA51" i="20"/>
  <c r="T51" i="20"/>
  <c r="AB51" i="20"/>
  <c r="U51" i="20"/>
  <c r="AC51" i="20"/>
  <c r="V51" i="20"/>
  <c r="AD51" i="20"/>
  <c r="W51" i="20"/>
  <c r="AE51" i="20"/>
  <c r="X51" i="20"/>
  <c r="AF51" i="20"/>
  <c r="Y51" i="20"/>
  <c r="AG51" i="20"/>
  <c r="S52" i="20"/>
  <c r="Q52" i="20"/>
  <c r="AA52" i="20"/>
  <c r="T52" i="20"/>
  <c r="AB52" i="20"/>
  <c r="U52" i="20"/>
  <c r="AC52" i="20"/>
  <c r="V52" i="20"/>
  <c r="AD52" i="20"/>
  <c r="W52" i="20"/>
  <c r="AE52" i="20"/>
  <c r="X52" i="20"/>
  <c r="AF52" i="20"/>
  <c r="Y52" i="20"/>
  <c r="AG52" i="20"/>
  <c r="Q53" i="20"/>
  <c r="Z53" i="20"/>
  <c r="S53" i="20"/>
  <c r="AA53" i="20"/>
  <c r="T53" i="20"/>
  <c r="AB53" i="20"/>
  <c r="U53" i="20"/>
  <c r="AC53" i="20"/>
  <c r="V53" i="20"/>
  <c r="AD53" i="20"/>
  <c r="W53" i="20"/>
  <c r="AE53" i="20"/>
  <c r="X53" i="20"/>
  <c r="AF53" i="20"/>
  <c r="Y53" i="20"/>
  <c r="AG53" i="20"/>
  <c r="S54" i="20"/>
  <c r="Q54" i="20"/>
  <c r="AA54" i="20"/>
  <c r="T54" i="20"/>
  <c r="AB54" i="20"/>
  <c r="U54" i="20"/>
  <c r="AC54" i="20"/>
  <c r="V54" i="20"/>
  <c r="AD54" i="20"/>
  <c r="W54" i="20"/>
  <c r="AE54" i="20"/>
  <c r="X54" i="20"/>
  <c r="AF54" i="20"/>
  <c r="Y54" i="20"/>
  <c r="AG54" i="20"/>
  <c r="S55" i="20"/>
  <c r="Q55" i="20"/>
  <c r="AA55" i="20"/>
  <c r="T55" i="20"/>
  <c r="AB55" i="20"/>
  <c r="U55" i="20"/>
  <c r="AC55" i="20"/>
  <c r="V55" i="20"/>
  <c r="AD55" i="20"/>
  <c r="W55" i="20"/>
  <c r="AE55" i="20"/>
  <c r="X55" i="20"/>
  <c r="AF55" i="20"/>
  <c r="Y55" i="20"/>
  <c r="AG55" i="20"/>
  <c r="S56" i="20"/>
  <c r="Q56" i="20"/>
  <c r="AA56" i="20"/>
  <c r="T56" i="20"/>
  <c r="AB56" i="20"/>
  <c r="U56" i="20"/>
  <c r="AC56" i="20"/>
  <c r="V56" i="20"/>
  <c r="AD56" i="20"/>
  <c r="W56" i="20"/>
  <c r="AE56" i="20"/>
  <c r="X56" i="20"/>
  <c r="AF56" i="20"/>
  <c r="Y56" i="20"/>
  <c r="AG56" i="20"/>
  <c r="S57" i="20"/>
  <c r="Q57" i="20"/>
  <c r="AA57" i="20"/>
  <c r="T57" i="20"/>
  <c r="AB57" i="20"/>
  <c r="U57" i="20"/>
  <c r="AC57" i="20"/>
  <c r="V57" i="20"/>
  <c r="AD57" i="20"/>
  <c r="W57" i="20"/>
  <c r="AE57" i="20"/>
  <c r="X57" i="20"/>
  <c r="AF57" i="20"/>
  <c r="Y57" i="20"/>
  <c r="AG57" i="20"/>
  <c r="Q58" i="20"/>
  <c r="Z58" i="20"/>
  <c r="S58" i="20"/>
  <c r="AA58" i="20"/>
  <c r="T58" i="20"/>
  <c r="AB58" i="20"/>
  <c r="U58" i="20"/>
  <c r="AC58" i="20"/>
  <c r="V58" i="20"/>
  <c r="AD58" i="20"/>
  <c r="W58" i="20"/>
  <c r="AE58" i="20"/>
  <c r="X58" i="20"/>
  <c r="AF58" i="20"/>
  <c r="Y58" i="20"/>
  <c r="AG58" i="20"/>
  <c r="S59" i="20"/>
  <c r="Q59" i="20"/>
  <c r="AA59" i="20"/>
  <c r="T59" i="20"/>
  <c r="AB59" i="20"/>
  <c r="U59" i="20"/>
  <c r="AC59" i="20"/>
  <c r="V59" i="20"/>
  <c r="AD59" i="20"/>
  <c r="W59" i="20"/>
  <c r="AE59" i="20"/>
  <c r="X59" i="20"/>
  <c r="AF59" i="20"/>
  <c r="Y59" i="20"/>
  <c r="AG59" i="20"/>
  <c r="S60" i="20"/>
  <c r="AA60" i="20"/>
  <c r="T60" i="20"/>
  <c r="Q60" i="20"/>
  <c r="AB60" i="20"/>
  <c r="U60" i="20"/>
  <c r="AC60" i="20"/>
  <c r="V60" i="20"/>
  <c r="AD60" i="20"/>
  <c r="W60" i="20"/>
  <c r="AE60" i="20"/>
  <c r="X60" i="20"/>
  <c r="AF60" i="20"/>
  <c r="Y60" i="20"/>
  <c r="AG60" i="20"/>
  <c r="S61" i="20"/>
  <c r="Q61" i="20"/>
  <c r="AA61" i="20"/>
  <c r="T61" i="20"/>
  <c r="AB61" i="20"/>
  <c r="U61" i="20"/>
  <c r="AC61" i="20"/>
  <c r="V61" i="20"/>
  <c r="AD61" i="20"/>
  <c r="W61" i="20"/>
  <c r="AE61" i="20"/>
  <c r="X61" i="20"/>
  <c r="AF61" i="20"/>
  <c r="Y61" i="20"/>
  <c r="AG61" i="20"/>
  <c r="Q62" i="20"/>
  <c r="Z62" i="20"/>
  <c r="S62" i="20"/>
  <c r="AA62" i="20"/>
  <c r="T62" i="20"/>
  <c r="AB62" i="20"/>
  <c r="U62" i="20"/>
  <c r="AC62" i="20"/>
  <c r="V62" i="20"/>
  <c r="AD62" i="20"/>
  <c r="W62" i="20"/>
  <c r="AE62" i="20"/>
  <c r="X62" i="20"/>
  <c r="AF62" i="20"/>
  <c r="Y62" i="20"/>
  <c r="AG62" i="20"/>
  <c r="Q63" i="20"/>
  <c r="Z63" i="20"/>
  <c r="S63" i="20"/>
  <c r="AA63" i="20"/>
  <c r="T63" i="20"/>
  <c r="AB63" i="20"/>
  <c r="U63" i="20"/>
  <c r="AC63" i="20"/>
  <c r="V63" i="20"/>
  <c r="AD63" i="20"/>
  <c r="W63" i="20"/>
  <c r="AE63" i="20"/>
  <c r="X63" i="20"/>
  <c r="AF63" i="20"/>
  <c r="Y63" i="20"/>
  <c r="AG63" i="20"/>
  <c r="S64" i="20"/>
  <c r="AA64" i="20"/>
  <c r="T64" i="20"/>
  <c r="Q64" i="20"/>
  <c r="AB64" i="20"/>
  <c r="U64" i="20"/>
  <c r="AC64" i="20"/>
  <c r="V64" i="20"/>
  <c r="AD64" i="20"/>
  <c r="W64" i="20"/>
  <c r="AE64" i="20"/>
  <c r="X64" i="20"/>
  <c r="AF64" i="20"/>
  <c r="Y64" i="20"/>
  <c r="AG64" i="20"/>
  <c r="Q65" i="20"/>
  <c r="Z65" i="20"/>
  <c r="S65" i="20"/>
  <c r="AA65" i="20"/>
  <c r="T65" i="20"/>
  <c r="AB65" i="20"/>
  <c r="U65" i="20"/>
  <c r="AC65" i="20"/>
  <c r="V65" i="20"/>
  <c r="AD65" i="20"/>
  <c r="W65" i="20"/>
  <c r="AE65" i="20"/>
  <c r="X65" i="20"/>
  <c r="AF65" i="20"/>
  <c r="Y65" i="20"/>
  <c r="AG65" i="20"/>
  <c r="Q66" i="20"/>
  <c r="Z66" i="20"/>
  <c r="S66" i="20"/>
  <c r="AA66" i="20"/>
  <c r="T66" i="20"/>
  <c r="AB66" i="20"/>
  <c r="U66" i="20"/>
  <c r="AC66" i="20"/>
  <c r="V66" i="20"/>
  <c r="AD66" i="20"/>
  <c r="W66" i="20"/>
  <c r="AE66" i="20"/>
  <c r="X66" i="20"/>
  <c r="AF66" i="20"/>
  <c r="Y66" i="20"/>
  <c r="AG66" i="20"/>
  <c r="S67" i="20"/>
  <c r="AA67" i="20"/>
  <c r="T67" i="20"/>
  <c r="AB67" i="20"/>
  <c r="U67" i="20"/>
  <c r="Q67" i="20"/>
  <c r="AC67" i="20"/>
  <c r="V67" i="20"/>
  <c r="AD67" i="20"/>
  <c r="W67" i="20"/>
  <c r="AE67" i="20"/>
  <c r="X67" i="20"/>
  <c r="AF67" i="20"/>
  <c r="Y67" i="20"/>
  <c r="AG67" i="20"/>
  <c r="Z68" i="20"/>
  <c r="S68" i="20"/>
  <c r="Q68" i="20"/>
  <c r="AA68" i="20"/>
  <c r="T68" i="20"/>
  <c r="AB68" i="20"/>
  <c r="U68" i="20"/>
  <c r="AC68" i="20"/>
  <c r="V68" i="20"/>
  <c r="AD68" i="20"/>
  <c r="W68" i="20"/>
  <c r="AE68" i="20"/>
  <c r="X68" i="20"/>
  <c r="AF68" i="20"/>
  <c r="Y68" i="20"/>
  <c r="AG68" i="20"/>
  <c r="Q69" i="20"/>
  <c r="Z69" i="20"/>
  <c r="S69" i="20"/>
  <c r="AA69" i="20"/>
  <c r="T69" i="20"/>
  <c r="AB69" i="20"/>
  <c r="U69" i="20"/>
  <c r="AC69" i="20"/>
  <c r="V69" i="20"/>
  <c r="AD69" i="20"/>
  <c r="W69" i="20"/>
  <c r="AE69" i="20"/>
  <c r="X69" i="20"/>
  <c r="AF69" i="20"/>
  <c r="Y69" i="20"/>
  <c r="AG69" i="20"/>
  <c r="S70" i="20"/>
  <c r="Q70" i="20"/>
  <c r="AA70" i="20"/>
  <c r="T70" i="20"/>
  <c r="AB70" i="20"/>
  <c r="U70" i="20"/>
  <c r="AC70" i="20"/>
  <c r="V70" i="20"/>
  <c r="AD70" i="20"/>
  <c r="W70" i="20"/>
  <c r="AE70" i="20"/>
  <c r="X70" i="20"/>
  <c r="AF70" i="20"/>
  <c r="Y70" i="20"/>
  <c r="AG70" i="20"/>
  <c r="S71" i="20"/>
  <c r="Q71" i="20"/>
  <c r="AA71" i="20"/>
  <c r="T71" i="20"/>
  <c r="AB71" i="20"/>
  <c r="U71" i="20"/>
  <c r="AC71" i="20"/>
  <c r="V71" i="20"/>
  <c r="AD71" i="20"/>
  <c r="W71" i="20"/>
  <c r="AE71" i="20"/>
  <c r="X71" i="20"/>
  <c r="AF71" i="20"/>
  <c r="Y71" i="20"/>
  <c r="AG71" i="20"/>
  <c r="S72" i="20"/>
  <c r="Q72" i="20"/>
  <c r="AA72" i="20"/>
  <c r="T72" i="20"/>
  <c r="AB72" i="20"/>
  <c r="U72" i="20"/>
  <c r="AC72" i="20"/>
  <c r="V72" i="20"/>
  <c r="AD72" i="20"/>
  <c r="W72" i="20"/>
  <c r="AE72" i="20"/>
  <c r="X72" i="20"/>
  <c r="AF72" i="20"/>
  <c r="Y72" i="20"/>
  <c r="AG72" i="20"/>
  <c r="S73" i="20"/>
  <c r="Q73" i="20"/>
  <c r="AA73" i="20"/>
  <c r="T73" i="20"/>
  <c r="AB73" i="20"/>
  <c r="U73" i="20"/>
  <c r="AC73" i="20"/>
  <c r="V73" i="20"/>
  <c r="AD73" i="20"/>
  <c r="W73" i="20"/>
  <c r="AE73" i="20"/>
  <c r="X73" i="20"/>
  <c r="AF73" i="20"/>
  <c r="Y73" i="20"/>
  <c r="AG73" i="20"/>
  <c r="S74" i="20"/>
  <c r="Q74" i="20"/>
  <c r="AA74" i="20"/>
  <c r="AB74" i="20"/>
  <c r="U74" i="20"/>
  <c r="AC74" i="20"/>
  <c r="V74" i="20"/>
  <c r="AD74" i="20"/>
  <c r="W74" i="20"/>
  <c r="AE74" i="20"/>
  <c r="AF74" i="20"/>
  <c r="Y74" i="20"/>
  <c r="AG74" i="20"/>
  <c r="S75" i="20"/>
  <c r="Q75" i="20"/>
  <c r="AA75" i="20"/>
  <c r="U75" i="20"/>
  <c r="AC75" i="20"/>
  <c r="V75" i="20"/>
  <c r="AD75" i="20"/>
  <c r="W75" i="20"/>
  <c r="AE75" i="20"/>
  <c r="Y75" i="20"/>
  <c r="AG75" i="20"/>
  <c r="Q76" i="20"/>
  <c r="Z76" i="20"/>
  <c r="S76" i="20"/>
  <c r="AA76" i="20"/>
  <c r="U76" i="20"/>
  <c r="AC76" i="20"/>
  <c r="V76" i="20"/>
  <c r="AD76" i="20"/>
  <c r="W76" i="20"/>
  <c r="AE76" i="20"/>
  <c r="AF76" i="20"/>
  <c r="Y76" i="20"/>
  <c r="AG76" i="20"/>
  <c r="S77" i="20"/>
  <c r="Q77" i="20"/>
  <c r="AA77" i="20"/>
  <c r="U77" i="20"/>
  <c r="AC77" i="20"/>
  <c r="V77" i="20"/>
  <c r="AD77" i="20"/>
  <c r="W77" i="20"/>
  <c r="AE77" i="20"/>
  <c r="AF77" i="20"/>
  <c r="Y77" i="20"/>
  <c r="AG77" i="20"/>
  <c r="S78" i="20"/>
  <c r="AA78" i="20"/>
  <c r="U78" i="20"/>
  <c r="V78" i="20"/>
  <c r="W78" i="20"/>
  <c r="Y78" i="20"/>
  <c r="Z79" i="20"/>
  <c r="S79" i="20"/>
  <c r="U79" i="20"/>
  <c r="V79" i="20"/>
  <c r="W79" i="20"/>
  <c r="AE79" i="20"/>
  <c r="Y79" i="20"/>
  <c r="AG79" i="20"/>
  <c r="AA80" i="20"/>
  <c r="U80" i="20"/>
  <c r="AC80" i="20"/>
  <c r="V80" i="20"/>
  <c r="AD80" i="20"/>
  <c r="W80" i="20"/>
  <c r="Y80" i="20"/>
  <c r="U81" i="20"/>
  <c r="V81" i="20"/>
  <c r="W81" i="20"/>
  <c r="Y81" i="20"/>
  <c r="U82" i="20"/>
  <c r="V82" i="20"/>
  <c r="W82" i="20"/>
  <c r="Y82" i="20"/>
  <c r="Z83" i="20"/>
  <c r="U83" i="20"/>
  <c r="AC83" i="20"/>
  <c r="V83" i="20"/>
  <c r="W83" i="20"/>
  <c r="AE83" i="20"/>
  <c r="Y83" i="20"/>
  <c r="AG83" i="20"/>
  <c r="U84" i="20"/>
  <c r="AC84" i="20"/>
  <c r="V84" i="20"/>
  <c r="AD84" i="20"/>
  <c r="W84" i="20"/>
  <c r="AE84" i="20"/>
  <c r="Y84" i="20"/>
  <c r="AG84" i="20"/>
  <c r="AA85" i="20"/>
  <c r="U85" i="20"/>
  <c r="AC85" i="20"/>
  <c r="V85" i="20"/>
  <c r="AD85" i="20"/>
  <c r="W85" i="20"/>
  <c r="AE85" i="20"/>
  <c r="Y85" i="20"/>
  <c r="AG85" i="20"/>
  <c r="Z86" i="20"/>
  <c r="T86" i="20"/>
  <c r="AB86" i="20"/>
  <c r="U86" i="20"/>
  <c r="AC86" i="20"/>
  <c r="V86" i="20"/>
  <c r="AD86" i="20"/>
  <c r="W86" i="20"/>
  <c r="AE86" i="20"/>
  <c r="Y86" i="20"/>
  <c r="AG86" i="20"/>
  <c r="T87" i="20"/>
  <c r="AB87" i="20"/>
  <c r="U87" i="20"/>
  <c r="AC87" i="20"/>
  <c r="V87" i="20"/>
  <c r="AD87" i="20"/>
  <c r="W87" i="20"/>
  <c r="AE87" i="20"/>
  <c r="Y87" i="20"/>
  <c r="AG87" i="20"/>
  <c r="Z88" i="20"/>
  <c r="AA88" i="20"/>
  <c r="T88" i="20"/>
  <c r="AB88" i="20"/>
  <c r="U88" i="20"/>
  <c r="AC88" i="20"/>
  <c r="V88" i="20"/>
  <c r="AD88" i="20"/>
  <c r="W88" i="20"/>
  <c r="AE88" i="20"/>
  <c r="Y88" i="20"/>
  <c r="AG88" i="20"/>
  <c r="Z89" i="20"/>
  <c r="AA89" i="20"/>
  <c r="T89" i="20"/>
  <c r="AB89" i="20"/>
  <c r="U89" i="20"/>
  <c r="AC89" i="20"/>
  <c r="V89" i="20"/>
  <c r="AD89" i="20"/>
  <c r="W89" i="20"/>
  <c r="AE89" i="20"/>
  <c r="Y89" i="20"/>
  <c r="AG89" i="20"/>
  <c r="Z90" i="20"/>
  <c r="AC90" i="20"/>
  <c r="AD90" i="20"/>
  <c r="AE90" i="20"/>
  <c r="AF90" i="20"/>
  <c r="AG90" i="20"/>
  <c r="Z91" i="20"/>
  <c r="AC91" i="20"/>
  <c r="AD91" i="20"/>
  <c r="AE91" i="20"/>
  <c r="AF91" i="20"/>
  <c r="AG91" i="20"/>
  <c r="Z92" i="20"/>
  <c r="AC92" i="20"/>
  <c r="AD92" i="20"/>
  <c r="AE92" i="20"/>
  <c r="AF92" i="20"/>
  <c r="AG92" i="20"/>
  <c r="Z93" i="20"/>
  <c r="AA93" i="20"/>
  <c r="AC93" i="20"/>
  <c r="AD93" i="20"/>
  <c r="AE93" i="20"/>
  <c r="AF93" i="20"/>
  <c r="AG93" i="20"/>
  <c r="Z94" i="20"/>
  <c r="AC94" i="20"/>
  <c r="AD94" i="20"/>
  <c r="AE94" i="20"/>
  <c r="AF94" i="20"/>
  <c r="AG94" i="20"/>
  <c r="Z95" i="20"/>
  <c r="AC95" i="20"/>
  <c r="AD95" i="20"/>
  <c r="AE95" i="20"/>
  <c r="AF95" i="20"/>
  <c r="AG95" i="20"/>
  <c r="Z96" i="20"/>
  <c r="AA96" i="20"/>
  <c r="AB96" i="20"/>
  <c r="AC96" i="20"/>
  <c r="AD96" i="20"/>
  <c r="AE96" i="20"/>
  <c r="AF96" i="20"/>
  <c r="AG96" i="20"/>
  <c r="Z97" i="20"/>
  <c r="AA97" i="20"/>
  <c r="AB97" i="20"/>
  <c r="AC97" i="20"/>
  <c r="AD97" i="20"/>
  <c r="AE97" i="20"/>
  <c r="AF97" i="20"/>
  <c r="AG97" i="20"/>
  <c r="Z98" i="20"/>
  <c r="AA98" i="20"/>
  <c r="AB98" i="20"/>
  <c r="AC98" i="20"/>
  <c r="AD98" i="20"/>
  <c r="AE98" i="20"/>
  <c r="AF98" i="20"/>
  <c r="AG98" i="20"/>
  <c r="Z99" i="20"/>
  <c r="AA99" i="20"/>
  <c r="AB99" i="20"/>
  <c r="AC99" i="20"/>
  <c r="AD99" i="20"/>
  <c r="AE99" i="20"/>
  <c r="AF99" i="20"/>
  <c r="AG99" i="20"/>
  <c r="Z100" i="20"/>
  <c r="AA100" i="20"/>
  <c r="AB100" i="20"/>
  <c r="AC100" i="20"/>
  <c r="AD100" i="20"/>
  <c r="AE100" i="20"/>
  <c r="AF100" i="20"/>
  <c r="AG100" i="20"/>
  <c r="Z101" i="20"/>
  <c r="AA101" i="20"/>
  <c r="AB101" i="20"/>
  <c r="AC101" i="20"/>
  <c r="AD101" i="20"/>
  <c r="AE101" i="20"/>
  <c r="AF101" i="20"/>
  <c r="AG101" i="20"/>
  <c r="Z102" i="20"/>
  <c r="AA102" i="20"/>
  <c r="AB102" i="20"/>
  <c r="AC102" i="20"/>
  <c r="AD102" i="20"/>
  <c r="AE102" i="20"/>
  <c r="AF102" i="20"/>
  <c r="AG102" i="20"/>
  <c r="Z103" i="20"/>
  <c r="AA103" i="20"/>
  <c r="AB103" i="20"/>
  <c r="AC103" i="20"/>
  <c r="AD103" i="20"/>
  <c r="AE103" i="20"/>
  <c r="AF103" i="20"/>
  <c r="AG103" i="20"/>
  <c r="Z104" i="20"/>
  <c r="AA104" i="20"/>
  <c r="AB104" i="20"/>
  <c r="AC104" i="20"/>
  <c r="AD104" i="20"/>
  <c r="AE104" i="20"/>
  <c r="AF104" i="20"/>
  <c r="AG104" i="20"/>
  <c r="Z105" i="20"/>
  <c r="AA105" i="20"/>
  <c r="AB105" i="20"/>
  <c r="AC105" i="20"/>
  <c r="AD105" i="20"/>
  <c r="AE105" i="20"/>
  <c r="AF105" i="20"/>
  <c r="AG105" i="20"/>
  <c r="X2" i="20"/>
  <c r="AF2" i="20"/>
  <c r="W2" i="20"/>
  <c r="AE2" i="20"/>
  <c r="V2" i="20"/>
  <c r="AD2" i="20"/>
  <c r="U2" i="20"/>
  <c r="T2" i="20"/>
  <c r="AB2" i="20"/>
  <c r="S2" i="20"/>
  <c r="R2" i="20"/>
  <c r="AA19" i="27"/>
  <c r="Y19" i="27"/>
  <c r="X19" i="27"/>
  <c r="V19" i="27"/>
  <c r="U19" i="27"/>
  <c r="S19" i="27"/>
  <c r="R19" i="27"/>
  <c r="P19" i="27"/>
  <c r="O19" i="27"/>
  <c r="M19" i="27"/>
  <c r="L19" i="27"/>
  <c r="J19" i="27"/>
  <c r="I19" i="27"/>
  <c r="G19" i="27"/>
  <c r="F19" i="27"/>
  <c r="D19" i="27"/>
  <c r="AA18" i="27"/>
  <c r="Y18" i="27"/>
  <c r="X18" i="27"/>
  <c r="V18" i="27"/>
  <c r="U18" i="27"/>
  <c r="S18" i="27"/>
  <c r="R18" i="27"/>
  <c r="P18" i="27"/>
  <c r="O18" i="27"/>
  <c r="M18" i="27"/>
  <c r="L18" i="27"/>
  <c r="J18" i="27"/>
  <c r="I18" i="27"/>
  <c r="G18" i="27"/>
  <c r="F18" i="27"/>
  <c r="D18" i="27"/>
  <c r="AA17" i="27"/>
  <c r="Y17" i="27"/>
  <c r="X17" i="27"/>
  <c r="V17" i="27"/>
  <c r="U17" i="27"/>
  <c r="S17" i="27"/>
  <c r="R17" i="27"/>
  <c r="P17" i="27"/>
  <c r="O17" i="27"/>
  <c r="M17" i="27"/>
  <c r="L17" i="27"/>
  <c r="J17" i="27"/>
  <c r="I17" i="27"/>
  <c r="G17" i="27"/>
  <c r="F17" i="27"/>
  <c r="D17" i="27"/>
  <c r="AA16" i="27"/>
  <c r="Y16" i="27"/>
  <c r="X16" i="27"/>
  <c r="V16" i="27"/>
  <c r="U16" i="27"/>
  <c r="S16" i="27"/>
  <c r="R16" i="27"/>
  <c r="P16" i="27"/>
  <c r="O16" i="27"/>
  <c r="M16" i="27"/>
  <c r="L16" i="27"/>
  <c r="J16" i="27"/>
  <c r="I16" i="27"/>
  <c r="G16" i="27"/>
  <c r="F16" i="27"/>
  <c r="D16" i="27"/>
  <c r="AA15" i="27"/>
  <c r="Y15" i="27"/>
  <c r="X15" i="27"/>
  <c r="V15" i="27"/>
  <c r="U15" i="27"/>
  <c r="S15" i="27"/>
  <c r="R15" i="27"/>
  <c r="P15" i="27"/>
  <c r="O15" i="27"/>
  <c r="M15" i="27"/>
  <c r="L15" i="27"/>
  <c r="J15" i="27"/>
  <c r="I15" i="27"/>
  <c r="G15" i="27"/>
  <c r="F15" i="27"/>
  <c r="D15" i="27"/>
  <c r="AA14" i="27"/>
  <c r="Y14" i="27"/>
  <c r="X14" i="27"/>
  <c r="V14" i="27"/>
  <c r="U14" i="27"/>
  <c r="S14" i="27"/>
  <c r="R14" i="27"/>
  <c r="P14" i="27"/>
  <c r="O14" i="27"/>
  <c r="M14" i="27"/>
  <c r="L14" i="27"/>
  <c r="J14" i="27"/>
  <c r="I14" i="27"/>
  <c r="G14" i="27"/>
  <c r="F14" i="27"/>
  <c r="D14" i="27"/>
  <c r="AA13" i="27"/>
  <c r="Y13" i="27"/>
  <c r="X13" i="27"/>
  <c r="V13" i="27"/>
  <c r="U13" i="27"/>
  <c r="S13" i="27"/>
  <c r="R13" i="27"/>
  <c r="P13" i="27"/>
  <c r="O13" i="27"/>
  <c r="M13" i="27"/>
  <c r="L13" i="27"/>
  <c r="J13" i="27"/>
  <c r="I13" i="27"/>
  <c r="G13" i="27"/>
  <c r="F13" i="27"/>
  <c r="D13" i="27"/>
  <c r="AA12" i="27"/>
  <c r="Y12" i="27"/>
  <c r="X12" i="27"/>
  <c r="V12" i="27"/>
  <c r="U12" i="27"/>
  <c r="S12" i="27"/>
  <c r="R12" i="27"/>
  <c r="P12" i="27"/>
  <c r="O12" i="27"/>
  <c r="M12" i="27"/>
  <c r="L12" i="27"/>
  <c r="J12" i="27"/>
  <c r="I12" i="27"/>
  <c r="G12" i="27"/>
  <c r="F12" i="27"/>
  <c r="D12" i="27"/>
  <c r="AA11" i="27"/>
  <c r="Y11" i="27"/>
  <c r="X11" i="27"/>
  <c r="V11" i="27"/>
  <c r="U11" i="27"/>
  <c r="S11" i="27"/>
  <c r="R11" i="27"/>
  <c r="P11" i="27"/>
  <c r="O11" i="27"/>
  <c r="M11" i="27"/>
  <c r="L11" i="27"/>
  <c r="J11" i="27"/>
  <c r="I11" i="27"/>
  <c r="G11" i="27"/>
  <c r="F11" i="27"/>
  <c r="D11" i="27"/>
  <c r="L9" i="27"/>
  <c r="J9" i="27"/>
  <c r="I9" i="27"/>
  <c r="G9" i="27"/>
  <c r="F9" i="27"/>
  <c r="D9" i="27"/>
  <c r="AA8" i="27"/>
  <c r="Y8" i="27"/>
  <c r="X8" i="27"/>
  <c r="V8" i="27"/>
  <c r="U8" i="27"/>
  <c r="S8" i="27"/>
  <c r="R8" i="27"/>
  <c r="P8" i="27"/>
  <c r="O8" i="27"/>
  <c r="M8" i="27"/>
  <c r="L8" i="27"/>
  <c r="J8" i="27"/>
  <c r="I8" i="27"/>
  <c r="G8" i="27"/>
  <c r="F8" i="27"/>
  <c r="D8" i="27"/>
  <c r="AA7" i="27"/>
  <c r="Y7" i="27"/>
  <c r="X7" i="27"/>
  <c r="V7" i="27"/>
  <c r="U7" i="27"/>
  <c r="S7" i="27"/>
  <c r="R7" i="27"/>
  <c r="P7" i="27"/>
  <c r="O7" i="27"/>
  <c r="M7" i="27"/>
  <c r="L7" i="27"/>
  <c r="J7" i="27"/>
  <c r="I7" i="27"/>
  <c r="G7" i="27"/>
  <c r="F7" i="27"/>
  <c r="D7" i="27"/>
  <c r="AA6" i="27"/>
  <c r="Y6" i="27"/>
  <c r="X6" i="27"/>
  <c r="V6" i="27"/>
  <c r="U6" i="27"/>
  <c r="S6" i="27"/>
  <c r="R6" i="27"/>
  <c r="P6" i="27"/>
  <c r="O6" i="27"/>
  <c r="M6" i="27"/>
  <c r="L6" i="27"/>
  <c r="J6" i="27"/>
  <c r="I6" i="27"/>
  <c r="G6" i="27"/>
  <c r="F6" i="27"/>
  <c r="D6" i="27"/>
  <c r="AA5" i="27"/>
  <c r="Y5" i="27"/>
  <c r="X5" i="27"/>
  <c r="V5" i="27"/>
  <c r="U5" i="27"/>
  <c r="S5" i="27"/>
  <c r="R5" i="27"/>
  <c r="P5" i="27"/>
  <c r="O5" i="27"/>
  <c r="M5" i="27"/>
  <c r="L5" i="27"/>
  <c r="J5" i="27"/>
  <c r="I5" i="27"/>
  <c r="G5" i="27"/>
  <c r="F5" i="27"/>
  <c r="D5" i="27"/>
  <c r="AA4" i="27"/>
  <c r="Y4" i="27"/>
  <c r="X4" i="27"/>
  <c r="V4" i="27"/>
  <c r="U4" i="27"/>
  <c r="S4" i="27"/>
  <c r="R4" i="27"/>
  <c r="P4" i="27"/>
  <c r="O4" i="27"/>
  <c r="M4" i="27"/>
  <c r="L4" i="27"/>
  <c r="J4" i="27"/>
  <c r="I4" i="27"/>
  <c r="G4" i="27"/>
  <c r="F4" i="27"/>
  <c r="D4" i="27"/>
  <c r="AA3" i="27"/>
  <c r="Y3" i="27"/>
  <c r="X3" i="27"/>
  <c r="V3" i="27"/>
  <c r="U3" i="27"/>
  <c r="S3" i="27"/>
  <c r="R3" i="27"/>
  <c r="P3" i="27"/>
  <c r="O3" i="27"/>
  <c r="M3" i="27"/>
  <c r="L3" i="27"/>
  <c r="J3" i="27"/>
  <c r="I3" i="27"/>
  <c r="G3" i="27"/>
  <c r="F3" i="27"/>
  <c r="D3" i="27"/>
  <c r="AA19" i="26"/>
  <c r="Y19" i="26"/>
  <c r="X19" i="26"/>
  <c r="V19" i="26"/>
  <c r="U19" i="26"/>
  <c r="S19" i="26"/>
  <c r="R19" i="26"/>
  <c r="P19" i="26"/>
  <c r="O19" i="26"/>
  <c r="M19" i="26"/>
  <c r="L19" i="26"/>
  <c r="J19" i="26"/>
  <c r="I19" i="26"/>
  <c r="G19" i="26"/>
  <c r="F19" i="26"/>
  <c r="D19" i="26"/>
  <c r="AA18" i="26"/>
  <c r="Y18" i="26"/>
  <c r="X18" i="26"/>
  <c r="V18" i="26"/>
  <c r="U18" i="26"/>
  <c r="S18" i="26"/>
  <c r="R18" i="26"/>
  <c r="P18" i="26"/>
  <c r="O18" i="26"/>
  <c r="M18" i="26"/>
  <c r="L18" i="26"/>
  <c r="J18" i="26"/>
  <c r="I18" i="26"/>
  <c r="G18" i="26"/>
  <c r="F18" i="26"/>
  <c r="D18" i="26"/>
  <c r="AA17" i="26"/>
  <c r="Y17" i="26"/>
  <c r="X17" i="26"/>
  <c r="V17" i="26"/>
  <c r="U17" i="26"/>
  <c r="S17" i="26"/>
  <c r="R17" i="26"/>
  <c r="P17" i="26"/>
  <c r="O17" i="26"/>
  <c r="M17" i="26"/>
  <c r="L17" i="26"/>
  <c r="J17" i="26"/>
  <c r="I17" i="26"/>
  <c r="G17" i="26"/>
  <c r="F17" i="26"/>
  <c r="D17" i="26"/>
  <c r="AA16" i="26"/>
  <c r="Y16" i="26"/>
  <c r="X16" i="26"/>
  <c r="V16" i="26"/>
  <c r="U16" i="26"/>
  <c r="S16" i="26"/>
  <c r="R16" i="26"/>
  <c r="P16" i="26"/>
  <c r="O16" i="26"/>
  <c r="M16" i="26"/>
  <c r="L16" i="26"/>
  <c r="J16" i="26"/>
  <c r="I16" i="26"/>
  <c r="G16" i="26"/>
  <c r="F16" i="26"/>
  <c r="D16" i="26"/>
  <c r="AA15" i="26"/>
  <c r="Y15" i="26"/>
  <c r="X15" i="26"/>
  <c r="V15" i="26"/>
  <c r="U15" i="26"/>
  <c r="S15" i="26"/>
  <c r="R15" i="26"/>
  <c r="P15" i="26"/>
  <c r="O15" i="26"/>
  <c r="M15" i="26"/>
  <c r="L15" i="26"/>
  <c r="J15" i="26"/>
  <c r="I15" i="26"/>
  <c r="G15" i="26"/>
  <c r="F15" i="26"/>
  <c r="D15" i="26"/>
  <c r="L13" i="26"/>
  <c r="J13" i="26"/>
  <c r="I13" i="26"/>
  <c r="G13" i="26"/>
  <c r="F13" i="26"/>
  <c r="D13" i="26"/>
  <c r="AA12" i="26"/>
  <c r="Y12" i="26"/>
  <c r="X12" i="26"/>
  <c r="V12" i="26"/>
  <c r="U12" i="26"/>
  <c r="S12" i="26"/>
  <c r="R12" i="26"/>
  <c r="P12" i="26"/>
  <c r="O12" i="26"/>
  <c r="M12" i="26"/>
  <c r="L12" i="26"/>
  <c r="J12" i="26"/>
  <c r="I12" i="26"/>
  <c r="G12" i="26"/>
  <c r="F12" i="26"/>
  <c r="D12" i="26"/>
  <c r="AA11" i="26"/>
  <c r="Y11" i="26"/>
  <c r="X11" i="26"/>
  <c r="V11" i="26"/>
  <c r="U11" i="26"/>
  <c r="S11" i="26"/>
  <c r="R11" i="26"/>
  <c r="P11" i="26"/>
  <c r="O11" i="26"/>
  <c r="M11" i="26"/>
  <c r="L11" i="26"/>
  <c r="J11" i="26"/>
  <c r="I11" i="26"/>
  <c r="G11" i="26"/>
  <c r="F11" i="26"/>
  <c r="D11" i="26"/>
  <c r="AA10" i="26"/>
  <c r="Y10" i="26"/>
  <c r="X10" i="26"/>
  <c r="V10" i="26"/>
  <c r="U10" i="26"/>
  <c r="S10" i="26"/>
  <c r="R10" i="26"/>
  <c r="P10" i="26"/>
  <c r="O10" i="26"/>
  <c r="M10" i="26"/>
  <c r="L10" i="26"/>
  <c r="J10" i="26"/>
  <c r="I10" i="26"/>
  <c r="G10" i="26"/>
  <c r="F10" i="26"/>
  <c r="D10" i="26"/>
  <c r="AA9" i="26"/>
  <c r="Y9" i="26"/>
  <c r="X9" i="26"/>
  <c r="V9" i="26"/>
  <c r="U9" i="26"/>
  <c r="S9" i="26"/>
  <c r="R9" i="26"/>
  <c r="P9" i="26"/>
  <c r="O9" i="26"/>
  <c r="M9" i="26"/>
  <c r="L9" i="26"/>
  <c r="J9" i="26"/>
  <c r="I9" i="26"/>
  <c r="G9" i="26"/>
  <c r="F9" i="26"/>
  <c r="D9" i="26"/>
  <c r="AA8" i="26"/>
  <c r="Y8" i="26"/>
  <c r="X8" i="26"/>
  <c r="V8" i="26"/>
  <c r="U8" i="26"/>
  <c r="S8" i="26"/>
  <c r="R8" i="26"/>
  <c r="P8" i="26"/>
  <c r="O8" i="26"/>
  <c r="M8" i="26"/>
  <c r="L8" i="26"/>
  <c r="J8" i="26"/>
  <c r="I8" i="26"/>
  <c r="G8" i="26"/>
  <c r="F8" i="26"/>
  <c r="D8" i="26"/>
  <c r="AA7" i="26"/>
  <c r="Y7" i="26"/>
  <c r="X7" i="26"/>
  <c r="V7" i="26"/>
  <c r="U7" i="26"/>
  <c r="S7" i="26"/>
  <c r="R7" i="26"/>
  <c r="P7" i="26"/>
  <c r="O7" i="26"/>
  <c r="M7" i="26"/>
  <c r="L7" i="26"/>
  <c r="J7" i="26"/>
  <c r="I7" i="26"/>
  <c r="G7" i="26"/>
  <c r="F7" i="26"/>
  <c r="D7" i="26"/>
  <c r="AA6" i="26"/>
  <c r="Y6" i="26"/>
  <c r="X6" i="26"/>
  <c r="V6" i="26"/>
  <c r="U6" i="26"/>
  <c r="S6" i="26"/>
  <c r="R6" i="26"/>
  <c r="P6" i="26"/>
  <c r="O6" i="26"/>
  <c r="M6" i="26"/>
  <c r="L6" i="26"/>
  <c r="J6" i="26"/>
  <c r="I6" i="26"/>
  <c r="G6" i="26"/>
  <c r="F6" i="26"/>
  <c r="D6" i="26"/>
  <c r="AA5" i="26"/>
  <c r="Y5" i="26"/>
  <c r="X5" i="26"/>
  <c r="V5" i="26"/>
  <c r="U5" i="26"/>
  <c r="S5" i="26"/>
  <c r="R5" i="26"/>
  <c r="P5" i="26"/>
  <c r="O5" i="26"/>
  <c r="M5" i="26"/>
  <c r="L5" i="26"/>
  <c r="J5" i="26"/>
  <c r="I5" i="26"/>
  <c r="G5" i="26"/>
  <c r="F5" i="26"/>
  <c r="D5" i="26"/>
  <c r="AA4" i="26"/>
  <c r="Y4" i="26"/>
  <c r="X4" i="26"/>
  <c r="V4" i="26"/>
  <c r="U4" i="26"/>
  <c r="S4" i="26"/>
  <c r="R4" i="26"/>
  <c r="P4" i="26"/>
  <c r="O4" i="26"/>
  <c r="M4" i="26"/>
  <c r="L4" i="26"/>
  <c r="J4" i="26"/>
  <c r="I4" i="26"/>
  <c r="G4" i="26"/>
  <c r="F4" i="26"/>
  <c r="D4" i="26"/>
  <c r="AA3" i="26"/>
  <c r="Y3" i="26"/>
  <c r="X3" i="26"/>
  <c r="V3" i="26"/>
  <c r="U3" i="26"/>
  <c r="S3" i="26"/>
  <c r="R3" i="26"/>
  <c r="P3" i="26"/>
  <c r="O3" i="26"/>
  <c r="M3" i="26"/>
  <c r="L3" i="26"/>
  <c r="J3" i="26"/>
  <c r="I3" i="26"/>
  <c r="G3" i="26"/>
  <c r="F3" i="26"/>
  <c r="D3" i="26"/>
  <c r="AA19" i="25"/>
  <c r="Y19" i="25"/>
  <c r="X19" i="25"/>
  <c r="V19" i="25"/>
  <c r="U19" i="25"/>
  <c r="S19" i="25"/>
  <c r="R19" i="25"/>
  <c r="P19" i="25"/>
  <c r="O19" i="25"/>
  <c r="M19" i="25"/>
  <c r="L19" i="25"/>
  <c r="J19" i="25"/>
  <c r="I19" i="25"/>
  <c r="G19" i="25"/>
  <c r="F19" i="25"/>
  <c r="D19" i="25"/>
  <c r="AA18" i="25"/>
  <c r="Y18" i="25"/>
  <c r="X18" i="25"/>
  <c r="V18" i="25"/>
  <c r="U18" i="25"/>
  <c r="S18" i="25"/>
  <c r="R18" i="25"/>
  <c r="P18" i="25"/>
  <c r="O18" i="25"/>
  <c r="M18" i="25"/>
  <c r="L18" i="25"/>
  <c r="J18" i="25"/>
  <c r="I18" i="25"/>
  <c r="G18" i="25"/>
  <c r="F18" i="25"/>
  <c r="D18" i="25"/>
  <c r="AA17" i="25"/>
  <c r="Y17" i="25"/>
  <c r="X17" i="25"/>
  <c r="V17" i="25"/>
  <c r="U17" i="25"/>
  <c r="S17" i="25"/>
  <c r="R17" i="25"/>
  <c r="P17" i="25"/>
  <c r="O17" i="25"/>
  <c r="M17" i="25"/>
  <c r="L17" i="25"/>
  <c r="J17" i="25"/>
  <c r="I17" i="25"/>
  <c r="G17" i="25"/>
  <c r="F17" i="25"/>
  <c r="D17" i="25"/>
  <c r="AA16" i="25"/>
  <c r="Y16" i="25"/>
  <c r="X16" i="25"/>
  <c r="V16" i="25"/>
  <c r="U16" i="25"/>
  <c r="S16" i="25"/>
  <c r="R16" i="25"/>
  <c r="P16" i="25"/>
  <c r="O16" i="25"/>
  <c r="M16" i="25"/>
  <c r="L16" i="25"/>
  <c r="J16" i="25"/>
  <c r="I16" i="25"/>
  <c r="G16" i="25"/>
  <c r="F16" i="25"/>
  <c r="D16" i="25"/>
  <c r="AA15" i="25"/>
  <c r="Y15" i="25"/>
  <c r="X15" i="25"/>
  <c r="V15" i="25"/>
  <c r="U15" i="25"/>
  <c r="S15" i="25"/>
  <c r="R15" i="25"/>
  <c r="P15" i="25"/>
  <c r="O15" i="25"/>
  <c r="M15" i="25"/>
  <c r="L15" i="25"/>
  <c r="J15" i="25"/>
  <c r="I15" i="25"/>
  <c r="G15" i="25"/>
  <c r="F15" i="25"/>
  <c r="D15" i="25"/>
  <c r="AA14" i="25"/>
  <c r="Y14" i="25"/>
  <c r="X14" i="25"/>
  <c r="V14" i="25"/>
  <c r="U14" i="25"/>
  <c r="S14" i="25"/>
  <c r="R14" i="25"/>
  <c r="P14" i="25"/>
  <c r="O14" i="25"/>
  <c r="M14" i="25"/>
  <c r="L14" i="25"/>
  <c r="J14" i="25"/>
  <c r="I14" i="25"/>
  <c r="G14" i="25"/>
  <c r="F14" i="25"/>
  <c r="D14" i="25"/>
  <c r="AA13" i="25"/>
  <c r="Y13" i="25"/>
  <c r="X13" i="25"/>
  <c r="V13" i="25"/>
  <c r="U13" i="25"/>
  <c r="S13" i="25"/>
  <c r="R13" i="25"/>
  <c r="P13" i="25"/>
  <c r="O13" i="25"/>
  <c r="M13" i="25"/>
  <c r="L13" i="25"/>
  <c r="J13" i="25"/>
  <c r="I13" i="25"/>
  <c r="G13" i="25"/>
  <c r="F13" i="25"/>
  <c r="D13" i="25"/>
  <c r="AA12" i="25"/>
  <c r="Y12" i="25"/>
  <c r="X12" i="25"/>
  <c r="V12" i="25"/>
  <c r="U12" i="25"/>
  <c r="S12" i="25"/>
  <c r="R12" i="25"/>
  <c r="P12" i="25"/>
  <c r="O12" i="25"/>
  <c r="M12" i="25"/>
  <c r="L12" i="25"/>
  <c r="J12" i="25"/>
  <c r="I12" i="25"/>
  <c r="G12" i="25"/>
  <c r="F12" i="25"/>
  <c r="D12" i="25"/>
  <c r="AA11" i="25"/>
  <c r="Y11" i="25"/>
  <c r="X11" i="25"/>
  <c r="V11" i="25"/>
  <c r="U11" i="25"/>
  <c r="S11" i="25"/>
  <c r="R11" i="25"/>
  <c r="P11" i="25"/>
  <c r="O11" i="25"/>
  <c r="M11" i="25"/>
  <c r="L11" i="25"/>
  <c r="J11" i="25"/>
  <c r="I11" i="25"/>
  <c r="G11" i="25"/>
  <c r="F11" i="25"/>
  <c r="D11" i="25"/>
  <c r="AA9" i="25"/>
  <c r="Y9" i="25"/>
  <c r="X9" i="25"/>
  <c r="V9" i="25"/>
  <c r="U9" i="25"/>
  <c r="S9" i="25"/>
  <c r="R9" i="25"/>
  <c r="P9" i="25"/>
  <c r="O9" i="25"/>
  <c r="M9" i="25"/>
  <c r="L9" i="25"/>
  <c r="J9" i="25"/>
  <c r="I9" i="25"/>
  <c r="G9" i="25"/>
  <c r="F9" i="25"/>
  <c r="D9" i="25"/>
  <c r="AA8" i="25"/>
  <c r="Y8" i="25"/>
  <c r="X8" i="25"/>
  <c r="V8" i="25"/>
  <c r="U8" i="25"/>
  <c r="S8" i="25"/>
  <c r="R8" i="25"/>
  <c r="P8" i="25"/>
  <c r="O8" i="25"/>
  <c r="M8" i="25"/>
  <c r="L8" i="25"/>
  <c r="J8" i="25"/>
  <c r="I8" i="25"/>
  <c r="G8" i="25"/>
  <c r="F8" i="25"/>
  <c r="D8" i="25"/>
  <c r="AA7" i="25"/>
  <c r="Y7" i="25"/>
  <c r="X7" i="25"/>
  <c r="V7" i="25"/>
  <c r="U7" i="25"/>
  <c r="S7" i="25"/>
  <c r="R7" i="25"/>
  <c r="P7" i="25"/>
  <c r="O7" i="25"/>
  <c r="M7" i="25"/>
  <c r="L7" i="25"/>
  <c r="J7" i="25"/>
  <c r="I7" i="25"/>
  <c r="G7" i="25"/>
  <c r="F7" i="25"/>
  <c r="D7" i="25"/>
  <c r="L6" i="25"/>
  <c r="J6" i="25"/>
  <c r="I6" i="25"/>
  <c r="G6" i="25"/>
  <c r="F6" i="25"/>
  <c r="D6" i="25"/>
  <c r="AA5" i="25"/>
  <c r="Y5" i="25"/>
  <c r="X5" i="25"/>
  <c r="V5" i="25"/>
  <c r="U5" i="25"/>
  <c r="S5" i="25"/>
  <c r="R5" i="25"/>
  <c r="P5" i="25"/>
  <c r="O5" i="25"/>
  <c r="M5" i="25"/>
  <c r="L5" i="25"/>
  <c r="J5" i="25"/>
  <c r="I5" i="25"/>
  <c r="G5" i="25"/>
  <c r="F5" i="25"/>
  <c r="D5" i="25"/>
  <c r="AA4" i="25"/>
  <c r="Y4" i="25"/>
  <c r="X4" i="25"/>
  <c r="V4" i="25"/>
  <c r="U4" i="25"/>
  <c r="S4" i="25"/>
  <c r="R4" i="25"/>
  <c r="P4" i="25"/>
  <c r="O4" i="25"/>
  <c r="M4" i="25"/>
  <c r="L4" i="25"/>
  <c r="J4" i="25"/>
  <c r="I4" i="25"/>
  <c r="G4" i="25"/>
  <c r="F4" i="25"/>
  <c r="D4" i="25"/>
  <c r="AA3" i="25"/>
  <c r="Y3" i="25"/>
  <c r="X3" i="25"/>
  <c r="V3" i="25"/>
  <c r="U3" i="25"/>
  <c r="S3" i="25"/>
  <c r="R3" i="25"/>
  <c r="P3" i="25"/>
  <c r="O3" i="25"/>
  <c r="M3" i="25"/>
  <c r="L3" i="25"/>
  <c r="J3" i="25"/>
  <c r="I3" i="25"/>
  <c r="G3" i="25"/>
  <c r="F3" i="25"/>
  <c r="D3" i="25"/>
  <c r="AA19" i="24"/>
  <c r="Y19" i="24"/>
  <c r="X19" i="24"/>
  <c r="V19" i="24"/>
  <c r="U19" i="24"/>
  <c r="S19" i="24"/>
  <c r="R19" i="24"/>
  <c r="P19" i="24"/>
  <c r="O19" i="24"/>
  <c r="M19" i="24"/>
  <c r="L19" i="24"/>
  <c r="J19" i="24"/>
  <c r="I19" i="24"/>
  <c r="G19" i="24"/>
  <c r="F19" i="24"/>
  <c r="D19" i="24"/>
  <c r="AA18" i="24"/>
  <c r="Y18" i="24"/>
  <c r="X18" i="24"/>
  <c r="V18" i="24"/>
  <c r="U18" i="24"/>
  <c r="S18" i="24"/>
  <c r="R18" i="24"/>
  <c r="P18" i="24"/>
  <c r="O18" i="24"/>
  <c r="M18" i="24"/>
  <c r="L18" i="24"/>
  <c r="J18" i="24"/>
  <c r="I18" i="24"/>
  <c r="G18" i="24"/>
  <c r="F18" i="24"/>
  <c r="D18" i="24"/>
  <c r="AA17" i="24"/>
  <c r="Y17" i="24"/>
  <c r="X17" i="24"/>
  <c r="V17" i="24"/>
  <c r="U17" i="24"/>
  <c r="S17" i="24"/>
  <c r="R17" i="24"/>
  <c r="P17" i="24"/>
  <c r="O17" i="24"/>
  <c r="M17" i="24"/>
  <c r="L17" i="24"/>
  <c r="J17" i="24"/>
  <c r="I17" i="24"/>
  <c r="G17" i="24"/>
  <c r="F17" i="24"/>
  <c r="D17" i="24"/>
  <c r="AA16" i="24"/>
  <c r="Y16" i="24"/>
  <c r="X16" i="24"/>
  <c r="V16" i="24"/>
  <c r="U16" i="24"/>
  <c r="S16" i="24"/>
  <c r="R16" i="24"/>
  <c r="P16" i="24"/>
  <c r="O16" i="24"/>
  <c r="M16" i="24"/>
  <c r="L16" i="24"/>
  <c r="J16" i="24"/>
  <c r="I16" i="24"/>
  <c r="G16" i="24"/>
  <c r="F16" i="24"/>
  <c r="D16" i="24"/>
  <c r="AA15" i="24"/>
  <c r="Y15" i="24"/>
  <c r="X15" i="24"/>
  <c r="V15" i="24"/>
  <c r="U15" i="24"/>
  <c r="S15" i="24"/>
  <c r="R15" i="24"/>
  <c r="P15" i="24"/>
  <c r="O15" i="24"/>
  <c r="M15" i="24"/>
  <c r="L15" i="24"/>
  <c r="J15" i="24"/>
  <c r="I15" i="24"/>
  <c r="G15" i="24"/>
  <c r="F15" i="24"/>
  <c r="D15" i="24"/>
  <c r="AA13" i="24"/>
  <c r="Y13" i="24"/>
  <c r="L13" i="24"/>
  <c r="J13" i="24"/>
  <c r="I13" i="24"/>
  <c r="G13" i="24"/>
  <c r="F13" i="24"/>
  <c r="D13" i="24"/>
  <c r="AA12" i="24"/>
  <c r="Y12" i="24"/>
  <c r="X12" i="24"/>
  <c r="V12" i="24"/>
  <c r="U12" i="24"/>
  <c r="S12" i="24"/>
  <c r="R12" i="24"/>
  <c r="P12" i="24"/>
  <c r="O12" i="24"/>
  <c r="M12" i="24"/>
  <c r="L12" i="24"/>
  <c r="J12" i="24"/>
  <c r="I12" i="24"/>
  <c r="G12" i="24"/>
  <c r="F12" i="24"/>
  <c r="D12" i="24"/>
  <c r="AA11" i="24"/>
  <c r="Y11" i="24"/>
  <c r="X11" i="24"/>
  <c r="V11" i="24"/>
  <c r="U11" i="24"/>
  <c r="S11" i="24"/>
  <c r="R11" i="24"/>
  <c r="P11" i="24"/>
  <c r="O11" i="24"/>
  <c r="M11" i="24"/>
  <c r="L11" i="24"/>
  <c r="J11" i="24"/>
  <c r="I11" i="24"/>
  <c r="G11" i="24"/>
  <c r="F11" i="24"/>
  <c r="D11" i="24"/>
  <c r="AA10" i="24"/>
  <c r="Y10" i="24"/>
  <c r="X10" i="24"/>
  <c r="V10" i="24"/>
  <c r="U10" i="24"/>
  <c r="S10" i="24"/>
  <c r="R10" i="24"/>
  <c r="P10" i="24"/>
  <c r="O10" i="24"/>
  <c r="M10" i="24"/>
  <c r="L10" i="24"/>
  <c r="J10" i="24"/>
  <c r="I10" i="24"/>
  <c r="G10" i="24"/>
  <c r="F10" i="24"/>
  <c r="D10" i="24"/>
  <c r="AA9" i="24"/>
  <c r="Y9" i="24"/>
  <c r="X9" i="24"/>
  <c r="V9" i="24"/>
  <c r="U9" i="24"/>
  <c r="S9" i="24"/>
  <c r="R9" i="24"/>
  <c r="P9" i="24"/>
  <c r="O9" i="24"/>
  <c r="M9" i="24"/>
  <c r="L9" i="24"/>
  <c r="J9" i="24"/>
  <c r="I9" i="24"/>
  <c r="G9" i="24"/>
  <c r="F9" i="24"/>
  <c r="D9" i="24"/>
  <c r="AA8" i="24"/>
  <c r="Y8" i="24"/>
  <c r="X8" i="24"/>
  <c r="V8" i="24"/>
  <c r="U8" i="24"/>
  <c r="S8" i="24"/>
  <c r="R8" i="24"/>
  <c r="P8" i="24"/>
  <c r="O8" i="24"/>
  <c r="M8" i="24"/>
  <c r="L8" i="24"/>
  <c r="J8" i="24"/>
  <c r="I8" i="24"/>
  <c r="G8" i="24"/>
  <c r="F8" i="24"/>
  <c r="D8" i="24"/>
  <c r="AA7" i="24"/>
  <c r="Y7" i="24"/>
  <c r="X7" i="24"/>
  <c r="V7" i="24"/>
  <c r="U7" i="24"/>
  <c r="S7" i="24"/>
  <c r="R7" i="24"/>
  <c r="P7" i="24"/>
  <c r="O7" i="24"/>
  <c r="M7" i="24"/>
  <c r="L7" i="24"/>
  <c r="J7" i="24"/>
  <c r="I7" i="24"/>
  <c r="G7" i="24"/>
  <c r="F7" i="24"/>
  <c r="D7" i="24"/>
  <c r="AA6" i="24"/>
  <c r="Y6" i="24"/>
  <c r="X6" i="24"/>
  <c r="V6" i="24"/>
  <c r="U6" i="24"/>
  <c r="S6" i="24"/>
  <c r="R6" i="24"/>
  <c r="P6" i="24"/>
  <c r="O6" i="24"/>
  <c r="M6" i="24"/>
  <c r="L6" i="24"/>
  <c r="J6" i="24"/>
  <c r="I6" i="24"/>
  <c r="G6" i="24"/>
  <c r="F6" i="24"/>
  <c r="D6" i="24"/>
  <c r="AA5" i="24"/>
  <c r="Y5" i="24"/>
  <c r="X5" i="24"/>
  <c r="V5" i="24"/>
  <c r="U5" i="24"/>
  <c r="S5" i="24"/>
  <c r="R5" i="24"/>
  <c r="P5" i="24"/>
  <c r="O5" i="24"/>
  <c r="M5" i="24"/>
  <c r="L5" i="24"/>
  <c r="J5" i="24"/>
  <c r="I5" i="24"/>
  <c r="G5" i="24"/>
  <c r="F5" i="24"/>
  <c r="D5" i="24"/>
  <c r="AA4" i="24"/>
  <c r="Y4" i="24"/>
  <c r="X4" i="24"/>
  <c r="V4" i="24"/>
  <c r="U4" i="24"/>
  <c r="S4" i="24"/>
  <c r="R4" i="24"/>
  <c r="P4" i="24"/>
  <c r="O4" i="24"/>
  <c r="M4" i="24"/>
  <c r="L4" i="24"/>
  <c r="J4" i="24"/>
  <c r="I4" i="24"/>
  <c r="G4" i="24"/>
  <c r="F4" i="24"/>
  <c r="D4" i="24"/>
  <c r="AA3" i="24"/>
  <c r="Y3" i="24"/>
  <c r="X3" i="24"/>
  <c r="V3" i="24"/>
  <c r="U3" i="24"/>
  <c r="S3" i="24"/>
  <c r="R3" i="24"/>
  <c r="P3" i="24"/>
  <c r="O3" i="24"/>
  <c r="M3" i="24"/>
  <c r="L3" i="24"/>
  <c r="J3" i="24"/>
  <c r="I3" i="24"/>
  <c r="G3" i="24"/>
  <c r="F3" i="24"/>
  <c r="D3" i="24"/>
  <c r="AA19" i="23"/>
  <c r="Y19" i="23"/>
  <c r="X19" i="23"/>
  <c r="V19" i="23"/>
  <c r="U19" i="23"/>
  <c r="S19" i="23"/>
  <c r="R19" i="23"/>
  <c r="P19" i="23"/>
  <c r="O19" i="23"/>
  <c r="M19" i="23"/>
  <c r="L19" i="23"/>
  <c r="J19" i="23"/>
  <c r="I19" i="23"/>
  <c r="G19" i="23"/>
  <c r="F19" i="23"/>
  <c r="D19" i="23"/>
  <c r="L17" i="23"/>
  <c r="J17" i="23"/>
  <c r="I17" i="23"/>
  <c r="G17" i="23"/>
  <c r="F17" i="23"/>
  <c r="D17" i="23"/>
  <c r="AA16" i="23"/>
  <c r="Y16" i="23"/>
  <c r="X16" i="23"/>
  <c r="V16" i="23"/>
  <c r="U16" i="23"/>
  <c r="S16" i="23"/>
  <c r="R16" i="23"/>
  <c r="P16" i="23"/>
  <c r="O16" i="23"/>
  <c r="M16" i="23"/>
  <c r="L16" i="23"/>
  <c r="J16" i="23"/>
  <c r="I16" i="23"/>
  <c r="G16" i="23"/>
  <c r="F16" i="23"/>
  <c r="D16" i="23"/>
  <c r="AA15" i="23"/>
  <c r="Y15" i="23"/>
  <c r="X15" i="23"/>
  <c r="V15" i="23"/>
  <c r="U15" i="23"/>
  <c r="S15" i="23"/>
  <c r="R15" i="23"/>
  <c r="P15" i="23"/>
  <c r="O15" i="23"/>
  <c r="M15" i="23"/>
  <c r="L15" i="23"/>
  <c r="J15" i="23"/>
  <c r="I15" i="23"/>
  <c r="G15" i="23"/>
  <c r="F15" i="23"/>
  <c r="D15" i="23"/>
  <c r="AA14" i="23"/>
  <c r="Y14" i="23"/>
  <c r="X14" i="23"/>
  <c r="V14" i="23"/>
  <c r="U14" i="23"/>
  <c r="S14" i="23"/>
  <c r="R14" i="23"/>
  <c r="P14" i="23"/>
  <c r="O14" i="23"/>
  <c r="M14" i="23"/>
  <c r="L14" i="23"/>
  <c r="J14" i="23"/>
  <c r="I14" i="23"/>
  <c r="G14" i="23"/>
  <c r="F14" i="23"/>
  <c r="D14" i="23"/>
  <c r="AA13" i="23"/>
  <c r="Y13" i="23"/>
  <c r="X13" i="23"/>
  <c r="V13" i="23"/>
  <c r="U13" i="23"/>
  <c r="S13" i="23"/>
  <c r="R13" i="23"/>
  <c r="P13" i="23"/>
  <c r="O13" i="23"/>
  <c r="M13" i="23"/>
  <c r="L13" i="23"/>
  <c r="J13" i="23"/>
  <c r="I13" i="23"/>
  <c r="G13" i="23"/>
  <c r="F13" i="23"/>
  <c r="D13" i="23"/>
  <c r="AA12" i="23"/>
  <c r="Y12" i="23"/>
  <c r="X12" i="23"/>
  <c r="V12" i="23"/>
  <c r="U12" i="23"/>
  <c r="S12" i="23"/>
  <c r="R12" i="23"/>
  <c r="P12" i="23"/>
  <c r="O12" i="23"/>
  <c r="M12" i="23"/>
  <c r="L12" i="23"/>
  <c r="J12" i="23"/>
  <c r="I12" i="23"/>
  <c r="G12" i="23"/>
  <c r="F12" i="23"/>
  <c r="D12" i="23"/>
  <c r="AA11" i="23"/>
  <c r="Y11" i="23"/>
  <c r="X11" i="23"/>
  <c r="V11" i="23"/>
  <c r="U11" i="23"/>
  <c r="S11" i="23"/>
  <c r="R11" i="23"/>
  <c r="P11" i="23"/>
  <c r="O11" i="23"/>
  <c r="M11" i="23"/>
  <c r="L11" i="23"/>
  <c r="J11" i="23"/>
  <c r="I11" i="23"/>
  <c r="G11" i="23"/>
  <c r="F11" i="23"/>
  <c r="D11" i="23"/>
  <c r="AA10" i="23"/>
  <c r="Y10" i="23"/>
  <c r="X10" i="23"/>
  <c r="V10" i="23"/>
  <c r="U10" i="23"/>
  <c r="S10" i="23"/>
  <c r="R10" i="23"/>
  <c r="P10" i="23"/>
  <c r="O10" i="23"/>
  <c r="M10" i="23"/>
  <c r="L10" i="23"/>
  <c r="J10" i="23"/>
  <c r="I10" i="23"/>
  <c r="G10" i="23"/>
  <c r="F10" i="23"/>
  <c r="D10" i="23"/>
  <c r="AA9" i="23"/>
  <c r="Y9" i="23"/>
  <c r="X9" i="23"/>
  <c r="V9" i="23"/>
  <c r="U9" i="23"/>
  <c r="S9" i="23"/>
  <c r="R9" i="23"/>
  <c r="P9" i="23"/>
  <c r="O9" i="23"/>
  <c r="M9" i="23"/>
  <c r="L9" i="23"/>
  <c r="J9" i="23"/>
  <c r="I9" i="23"/>
  <c r="G9" i="23"/>
  <c r="F9" i="23"/>
  <c r="D9" i="23"/>
  <c r="AA8" i="23"/>
  <c r="Y8" i="23"/>
  <c r="X8" i="23"/>
  <c r="V8" i="23"/>
  <c r="U8" i="23"/>
  <c r="S8" i="23"/>
  <c r="R8" i="23"/>
  <c r="P8" i="23"/>
  <c r="O8" i="23"/>
  <c r="M8" i="23"/>
  <c r="L8" i="23"/>
  <c r="J8" i="23"/>
  <c r="I8" i="23"/>
  <c r="G8" i="23"/>
  <c r="F8" i="23"/>
  <c r="D8" i="23"/>
  <c r="AA7" i="23"/>
  <c r="Y7" i="23"/>
  <c r="X7" i="23"/>
  <c r="V7" i="23"/>
  <c r="U7" i="23"/>
  <c r="S7" i="23"/>
  <c r="R7" i="23"/>
  <c r="P7" i="23"/>
  <c r="O7" i="23"/>
  <c r="M7" i="23"/>
  <c r="L7" i="23"/>
  <c r="J7" i="23"/>
  <c r="I7" i="23"/>
  <c r="G7" i="23"/>
  <c r="F7" i="23"/>
  <c r="D7" i="23"/>
  <c r="AA6" i="23"/>
  <c r="Y6" i="23"/>
  <c r="X6" i="23"/>
  <c r="V6" i="23"/>
  <c r="U6" i="23"/>
  <c r="S6" i="23"/>
  <c r="R6" i="23"/>
  <c r="P6" i="23"/>
  <c r="O6" i="23"/>
  <c r="M6" i="23"/>
  <c r="L6" i="23"/>
  <c r="J6" i="23"/>
  <c r="I6" i="23"/>
  <c r="G6" i="23"/>
  <c r="F6" i="23"/>
  <c r="D6" i="23"/>
  <c r="AA5" i="23"/>
  <c r="Y5" i="23"/>
  <c r="X5" i="23"/>
  <c r="V5" i="23"/>
  <c r="U5" i="23"/>
  <c r="S5" i="23"/>
  <c r="R5" i="23"/>
  <c r="P5" i="23"/>
  <c r="O5" i="23"/>
  <c r="M5" i="23"/>
  <c r="L5" i="23"/>
  <c r="J5" i="23"/>
  <c r="I5" i="23"/>
  <c r="G5" i="23"/>
  <c r="F5" i="23"/>
  <c r="D5" i="23"/>
  <c r="AA4" i="23"/>
  <c r="Y4" i="23"/>
  <c r="X4" i="23"/>
  <c r="V4" i="23"/>
  <c r="U4" i="23"/>
  <c r="S4" i="23"/>
  <c r="R4" i="23"/>
  <c r="P4" i="23"/>
  <c r="O4" i="23"/>
  <c r="M4" i="23"/>
  <c r="L4" i="23"/>
  <c r="J4" i="23"/>
  <c r="I4" i="23"/>
  <c r="G4" i="23"/>
  <c r="F4" i="23"/>
  <c r="D4" i="23"/>
  <c r="AA3" i="23"/>
  <c r="Y3" i="23"/>
  <c r="X3" i="23"/>
  <c r="V3" i="23"/>
  <c r="U3" i="23"/>
  <c r="S3" i="23"/>
  <c r="R3" i="23"/>
  <c r="P3" i="23"/>
  <c r="O3" i="23"/>
  <c r="M3" i="23"/>
  <c r="L3" i="23"/>
  <c r="J3" i="23"/>
  <c r="I3" i="23"/>
  <c r="G3" i="23"/>
  <c r="F3" i="23"/>
  <c r="D3" i="23"/>
  <c r="F3" i="14"/>
  <c r="G3" i="14"/>
  <c r="I3" i="14"/>
  <c r="J3" i="14"/>
  <c r="L3" i="14"/>
  <c r="F4" i="14"/>
  <c r="G4" i="14"/>
  <c r="I4" i="14"/>
  <c r="J4" i="14"/>
  <c r="L4" i="14"/>
  <c r="F5" i="14"/>
  <c r="G5" i="14"/>
  <c r="I5" i="14"/>
  <c r="J5" i="14"/>
  <c r="L5" i="14"/>
  <c r="F6" i="14"/>
  <c r="G6" i="14"/>
  <c r="I6" i="14"/>
  <c r="J6" i="14"/>
  <c r="L6" i="14"/>
  <c r="F7" i="14"/>
  <c r="G7" i="14"/>
  <c r="I7" i="14"/>
  <c r="J7" i="14"/>
  <c r="L7" i="14"/>
  <c r="F8" i="14"/>
  <c r="G8" i="14"/>
  <c r="I8" i="14"/>
  <c r="J8" i="14"/>
  <c r="L8" i="14"/>
  <c r="F9" i="14"/>
  <c r="G9" i="14"/>
  <c r="I9" i="14"/>
  <c r="J9" i="14"/>
  <c r="L9" i="14"/>
  <c r="F11" i="14"/>
  <c r="G11" i="14"/>
  <c r="I11" i="14"/>
  <c r="J11" i="14"/>
  <c r="L11" i="14"/>
  <c r="F12" i="14"/>
  <c r="G12" i="14"/>
  <c r="I12" i="14"/>
  <c r="J12" i="14"/>
  <c r="L12" i="14"/>
  <c r="F13" i="14"/>
  <c r="G13" i="14"/>
  <c r="I13" i="14"/>
  <c r="J13" i="14"/>
  <c r="L13" i="14"/>
  <c r="F14" i="14"/>
  <c r="G14" i="14"/>
  <c r="I14" i="14"/>
  <c r="J14" i="14"/>
  <c r="L14" i="14"/>
  <c r="F15" i="14"/>
  <c r="G15" i="14"/>
  <c r="I15" i="14"/>
  <c r="J15" i="14"/>
  <c r="L15" i="14"/>
  <c r="F16" i="14"/>
  <c r="G16" i="14"/>
  <c r="I16" i="14"/>
  <c r="J16" i="14"/>
  <c r="L16" i="14"/>
  <c r="F17" i="14"/>
  <c r="G17" i="14"/>
  <c r="I17" i="14"/>
  <c r="J17" i="14"/>
  <c r="L17" i="14"/>
  <c r="F18" i="14"/>
  <c r="G18" i="14"/>
  <c r="I18" i="14"/>
  <c r="J18" i="14"/>
  <c r="L18" i="14"/>
  <c r="F19" i="14"/>
  <c r="G19" i="14"/>
  <c r="I19" i="14"/>
  <c r="J19" i="14"/>
  <c r="L19" i="14"/>
  <c r="AA19" i="22"/>
  <c r="Y19" i="22"/>
  <c r="X19" i="22"/>
  <c r="V19" i="22"/>
  <c r="U19" i="22"/>
  <c r="S19" i="22"/>
  <c r="R19" i="22"/>
  <c r="P19" i="22"/>
  <c r="O19" i="22"/>
  <c r="M19" i="22"/>
  <c r="L19" i="22"/>
  <c r="J19" i="22"/>
  <c r="I19" i="22"/>
  <c r="G19" i="22"/>
  <c r="F19" i="22"/>
  <c r="D19" i="22"/>
  <c r="AA18" i="22"/>
  <c r="Y18" i="22"/>
  <c r="X18" i="22"/>
  <c r="V18" i="22"/>
  <c r="U18" i="22"/>
  <c r="S18" i="22"/>
  <c r="R18" i="22"/>
  <c r="P18" i="22"/>
  <c r="O18" i="22"/>
  <c r="M18" i="22"/>
  <c r="L18" i="22"/>
  <c r="J18" i="22"/>
  <c r="I18" i="22"/>
  <c r="G18" i="22"/>
  <c r="F18" i="22"/>
  <c r="D18" i="22"/>
  <c r="AA17" i="22"/>
  <c r="Y17" i="22"/>
  <c r="X17" i="22"/>
  <c r="V17" i="22"/>
  <c r="U17" i="22"/>
  <c r="S17" i="22"/>
  <c r="R17" i="22"/>
  <c r="P17" i="22"/>
  <c r="O17" i="22"/>
  <c r="M17" i="22"/>
  <c r="L17" i="22"/>
  <c r="J17" i="22"/>
  <c r="I17" i="22"/>
  <c r="G17" i="22"/>
  <c r="F17" i="22"/>
  <c r="D17" i="22"/>
  <c r="AA16" i="22"/>
  <c r="Y16" i="22"/>
  <c r="X16" i="22"/>
  <c r="V16" i="22"/>
  <c r="U16" i="22"/>
  <c r="S16" i="22"/>
  <c r="R16" i="22"/>
  <c r="P16" i="22"/>
  <c r="O16" i="22"/>
  <c r="M16" i="22"/>
  <c r="L16" i="22"/>
  <c r="J16" i="22"/>
  <c r="I16" i="22"/>
  <c r="G16" i="22"/>
  <c r="F16" i="22"/>
  <c r="D16" i="22"/>
  <c r="AA15" i="22"/>
  <c r="Y15" i="22"/>
  <c r="X15" i="22"/>
  <c r="V15" i="22"/>
  <c r="U15" i="22"/>
  <c r="S15" i="22"/>
  <c r="R15" i="22"/>
  <c r="P15" i="22"/>
  <c r="O15" i="22"/>
  <c r="M15" i="22"/>
  <c r="L15" i="22"/>
  <c r="J15" i="22"/>
  <c r="I15" i="22"/>
  <c r="G15" i="22"/>
  <c r="F15" i="22"/>
  <c r="D15" i="22"/>
  <c r="L13" i="22"/>
  <c r="J13" i="22"/>
  <c r="I13" i="22"/>
  <c r="G13" i="22"/>
  <c r="F13" i="22"/>
  <c r="D13" i="22"/>
  <c r="AA12" i="22"/>
  <c r="Y12" i="22"/>
  <c r="X12" i="22"/>
  <c r="V12" i="22"/>
  <c r="U12" i="22"/>
  <c r="S12" i="22"/>
  <c r="R12" i="22"/>
  <c r="P12" i="22"/>
  <c r="O12" i="22"/>
  <c r="M12" i="22"/>
  <c r="L12" i="22"/>
  <c r="J12" i="22"/>
  <c r="I12" i="22"/>
  <c r="G12" i="22"/>
  <c r="F12" i="22"/>
  <c r="D12" i="22"/>
  <c r="AA11" i="22"/>
  <c r="Y11" i="22"/>
  <c r="X11" i="22"/>
  <c r="V11" i="22"/>
  <c r="U11" i="22"/>
  <c r="S11" i="22"/>
  <c r="R11" i="22"/>
  <c r="P11" i="22"/>
  <c r="O11" i="22"/>
  <c r="M11" i="22"/>
  <c r="L11" i="22"/>
  <c r="J11" i="22"/>
  <c r="I11" i="22"/>
  <c r="G11" i="22"/>
  <c r="F11" i="22"/>
  <c r="D11" i="22"/>
  <c r="AA10" i="22"/>
  <c r="Y10" i="22"/>
  <c r="X10" i="22"/>
  <c r="V10" i="22"/>
  <c r="U10" i="22"/>
  <c r="S10" i="22"/>
  <c r="R10" i="22"/>
  <c r="O10" i="22"/>
  <c r="M10" i="22"/>
  <c r="L10" i="22"/>
  <c r="J10" i="22"/>
  <c r="I10" i="22"/>
  <c r="G10" i="22"/>
  <c r="F10" i="22"/>
  <c r="D10" i="22"/>
  <c r="AA9" i="22"/>
  <c r="Y9" i="22"/>
  <c r="X9" i="22"/>
  <c r="V9" i="22"/>
  <c r="U9" i="22"/>
  <c r="S9" i="22"/>
  <c r="R9" i="22"/>
  <c r="P9" i="22"/>
  <c r="O9" i="22"/>
  <c r="M9" i="22"/>
  <c r="L9" i="22"/>
  <c r="J9" i="22"/>
  <c r="I9" i="22"/>
  <c r="G9" i="22"/>
  <c r="F9" i="22"/>
  <c r="D9" i="22"/>
  <c r="AA8" i="22"/>
  <c r="Y8" i="22"/>
  <c r="X8" i="22"/>
  <c r="V8" i="22"/>
  <c r="U8" i="22"/>
  <c r="S8" i="22"/>
  <c r="R8" i="22"/>
  <c r="P8" i="22"/>
  <c r="O8" i="22"/>
  <c r="M8" i="22"/>
  <c r="L8" i="22"/>
  <c r="J8" i="22"/>
  <c r="I8" i="22"/>
  <c r="G8" i="22"/>
  <c r="F8" i="22"/>
  <c r="D8" i="22"/>
  <c r="AA7" i="22"/>
  <c r="Y7" i="22"/>
  <c r="X7" i="22"/>
  <c r="V7" i="22"/>
  <c r="U7" i="22"/>
  <c r="S7" i="22"/>
  <c r="R7" i="22"/>
  <c r="P7" i="22"/>
  <c r="O7" i="22"/>
  <c r="M7" i="22"/>
  <c r="L7" i="22"/>
  <c r="J7" i="22"/>
  <c r="I7" i="22"/>
  <c r="G7" i="22"/>
  <c r="F7" i="22"/>
  <c r="D7" i="22"/>
  <c r="AA6" i="22"/>
  <c r="Y6" i="22"/>
  <c r="X6" i="22"/>
  <c r="V6" i="22"/>
  <c r="U6" i="22"/>
  <c r="S6" i="22"/>
  <c r="R6" i="22"/>
  <c r="P6" i="22"/>
  <c r="O6" i="22"/>
  <c r="M6" i="22"/>
  <c r="L6" i="22"/>
  <c r="J6" i="22"/>
  <c r="I6" i="22"/>
  <c r="G6" i="22"/>
  <c r="F6" i="22"/>
  <c r="D6" i="22"/>
  <c r="AA5" i="22"/>
  <c r="Y5" i="22"/>
  <c r="X5" i="22"/>
  <c r="V5" i="22"/>
  <c r="U5" i="22"/>
  <c r="S5" i="22"/>
  <c r="R5" i="22"/>
  <c r="P5" i="22"/>
  <c r="O5" i="22"/>
  <c r="M5" i="22"/>
  <c r="L5" i="22"/>
  <c r="J5" i="22"/>
  <c r="I5" i="22"/>
  <c r="G5" i="22"/>
  <c r="F5" i="22"/>
  <c r="D5" i="22"/>
  <c r="AA4" i="22"/>
  <c r="Y4" i="22"/>
  <c r="X4" i="22"/>
  <c r="V4" i="22"/>
  <c r="U4" i="22"/>
  <c r="S4" i="22"/>
  <c r="R4" i="22"/>
  <c r="P4" i="22"/>
  <c r="O4" i="22"/>
  <c r="M4" i="22"/>
  <c r="L4" i="22"/>
  <c r="J4" i="22"/>
  <c r="I4" i="22"/>
  <c r="G4" i="22"/>
  <c r="F4" i="22"/>
  <c r="D4" i="22"/>
  <c r="AA3" i="22"/>
  <c r="Y3" i="22"/>
  <c r="X3" i="22"/>
  <c r="V3" i="22"/>
  <c r="U3" i="22"/>
  <c r="S3" i="22"/>
  <c r="R3" i="22"/>
  <c r="P3" i="22"/>
  <c r="O3" i="22"/>
  <c r="M3" i="22"/>
  <c r="L3" i="22"/>
  <c r="J3" i="22"/>
  <c r="I3" i="22"/>
  <c r="G3" i="22"/>
  <c r="F3" i="22"/>
  <c r="D3" i="22"/>
  <c r="AA19" i="21"/>
  <c r="Y19" i="21"/>
  <c r="X19" i="21"/>
  <c r="V19" i="21"/>
  <c r="U19" i="21"/>
  <c r="S19" i="21"/>
  <c r="R19" i="21"/>
  <c r="P19" i="21"/>
  <c r="O19" i="21"/>
  <c r="M19" i="21"/>
  <c r="L19" i="21"/>
  <c r="J19" i="21"/>
  <c r="I19" i="21"/>
  <c r="G19" i="21"/>
  <c r="F19" i="21"/>
  <c r="D19" i="21"/>
  <c r="AA18" i="21"/>
  <c r="Y18" i="21"/>
  <c r="X18" i="21"/>
  <c r="V18" i="21"/>
  <c r="U18" i="21"/>
  <c r="S18" i="21"/>
  <c r="R18" i="21"/>
  <c r="P18" i="21"/>
  <c r="O18" i="21"/>
  <c r="M18" i="21"/>
  <c r="L18" i="21"/>
  <c r="J18" i="21"/>
  <c r="I18" i="21"/>
  <c r="G18" i="21"/>
  <c r="F18" i="21"/>
  <c r="D18" i="21"/>
  <c r="AA17" i="21"/>
  <c r="Y17" i="21"/>
  <c r="X17" i="21"/>
  <c r="V17" i="21"/>
  <c r="U17" i="21"/>
  <c r="S17" i="21"/>
  <c r="R17" i="21"/>
  <c r="P17" i="21"/>
  <c r="O17" i="21"/>
  <c r="M17" i="21"/>
  <c r="L17" i="21"/>
  <c r="J17" i="21"/>
  <c r="I17" i="21"/>
  <c r="G17" i="21"/>
  <c r="F17" i="21"/>
  <c r="D17" i="21"/>
  <c r="AA16" i="21"/>
  <c r="Y16" i="21"/>
  <c r="X16" i="21"/>
  <c r="V16" i="21"/>
  <c r="U16" i="21"/>
  <c r="S16" i="21"/>
  <c r="R16" i="21"/>
  <c r="P16" i="21"/>
  <c r="O16" i="21"/>
  <c r="M16" i="21"/>
  <c r="L16" i="21"/>
  <c r="J16" i="21"/>
  <c r="I16" i="21"/>
  <c r="G16" i="21"/>
  <c r="F16" i="21"/>
  <c r="D16" i="21"/>
  <c r="AA15" i="21"/>
  <c r="Y15" i="21"/>
  <c r="X15" i="21"/>
  <c r="V15" i="21"/>
  <c r="U15" i="21"/>
  <c r="S15" i="21"/>
  <c r="R15" i="21"/>
  <c r="P15" i="21"/>
  <c r="O15" i="21"/>
  <c r="M15" i="21"/>
  <c r="L15" i="21"/>
  <c r="J15" i="21"/>
  <c r="I15" i="21"/>
  <c r="G15" i="21"/>
  <c r="F15" i="21"/>
  <c r="D15" i="21"/>
  <c r="AA13" i="21"/>
  <c r="Y13" i="21"/>
  <c r="X13" i="21"/>
  <c r="V13" i="21"/>
  <c r="U13" i="21"/>
  <c r="S13" i="21"/>
  <c r="R13" i="21"/>
  <c r="P13" i="21"/>
  <c r="O13" i="21"/>
  <c r="M13" i="21"/>
  <c r="L13" i="21"/>
  <c r="J13" i="21"/>
  <c r="I13" i="21"/>
  <c r="G13" i="21"/>
  <c r="F13" i="21"/>
  <c r="D13" i="21"/>
  <c r="L12" i="21"/>
  <c r="J12" i="21"/>
  <c r="I12" i="21"/>
  <c r="G12" i="21"/>
  <c r="F12" i="21"/>
  <c r="D12" i="21"/>
  <c r="AA11" i="21"/>
  <c r="Y11" i="21"/>
  <c r="X11" i="21"/>
  <c r="V11" i="21"/>
  <c r="U11" i="21"/>
  <c r="S11" i="21"/>
  <c r="R11" i="21"/>
  <c r="P11" i="21"/>
  <c r="O11" i="21"/>
  <c r="M11" i="21"/>
  <c r="L11" i="21"/>
  <c r="J11" i="21"/>
  <c r="I11" i="21"/>
  <c r="G11" i="21"/>
  <c r="F11" i="21"/>
  <c r="D11" i="21"/>
  <c r="AA10" i="21"/>
  <c r="Y10" i="21"/>
  <c r="X10" i="21"/>
  <c r="V10" i="21"/>
  <c r="U10" i="21"/>
  <c r="S10" i="21"/>
  <c r="R10" i="21"/>
  <c r="P10" i="21"/>
  <c r="O10" i="21"/>
  <c r="M10" i="21"/>
  <c r="L10" i="21"/>
  <c r="J10" i="21"/>
  <c r="I10" i="21"/>
  <c r="G10" i="21"/>
  <c r="F10" i="21"/>
  <c r="D10" i="21"/>
  <c r="AA9" i="21"/>
  <c r="Y9" i="21"/>
  <c r="X9" i="21"/>
  <c r="V9" i="21"/>
  <c r="U9" i="21"/>
  <c r="S9" i="21"/>
  <c r="R9" i="21"/>
  <c r="P9" i="21"/>
  <c r="O9" i="21"/>
  <c r="M9" i="21"/>
  <c r="L9" i="21"/>
  <c r="J9" i="21"/>
  <c r="I9" i="21"/>
  <c r="G9" i="21"/>
  <c r="F9" i="21"/>
  <c r="D9" i="21"/>
  <c r="AA8" i="21"/>
  <c r="Y8" i="21"/>
  <c r="X8" i="21"/>
  <c r="V8" i="21"/>
  <c r="U8" i="21"/>
  <c r="S8" i="21"/>
  <c r="R8" i="21"/>
  <c r="P8" i="21"/>
  <c r="O8" i="21"/>
  <c r="M8" i="21"/>
  <c r="L8" i="21"/>
  <c r="J8" i="21"/>
  <c r="I8" i="21"/>
  <c r="G8" i="21"/>
  <c r="F8" i="21"/>
  <c r="D8" i="21"/>
  <c r="AA7" i="21"/>
  <c r="Y7" i="21"/>
  <c r="X7" i="21"/>
  <c r="V7" i="21"/>
  <c r="U7" i="21"/>
  <c r="S7" i="21"/>
  <c r="R7" i="21"/>
  <c r="P7" i="21"/>
  <c r="O7" i="21"/>
  <c r="M7" i="21"/>
  <c r="L7" i="21"/>
  <c r="J7" i="21"/>
  <c r="I7" i="21"/>
  <c r="G7" i="21"/>
  <c r="F7" i="21"/>
  <c r="D7" i="21"/>
  <c r="AA6" i="21"/>
  <c r="Y6" i="21"/>
  <c r="X6" i="21"/>
  <c r="V6" i="21"/>
  <c r="U6" i="21"/>
  <c r="S6" i="21"/>
  <c r="R6" i="21"/>
  <c r="P6" i="21"/>
  <c r="O6" i="21"/>
  <c r="M6" i="21"/>
  <c r="L6" i="21"/>
  <c r="J6" i="21"/>
  <c r="I6" i="21"/>
  <c r="G6" i="21"/>
  <c r="F6" i="21"/>
  <c r="D6" i="21"/>
  <c r="AA5" i="21"/>
  <c r="Y5" i="21"/>
  <c r="X5" i="21"/>
  <c r="V5" i="21"/>
  <c r="U5" i="21"/>
  <c r="S5" i="21"/>
  <c r="R5" i="21"/>
  <c r="P5" i="21"/>
  <c r="O5" i="21"/>
  <c r="M5" i="21"/>
  <c r="L5" i="21"/>
  <c r="J5" i="21"/>
  <c r="I5" i="21"/>
  <c r="G5" i="21"/>
  <c r="F5" i="21"/>
  <c r="D5" i="21"/>
  <c r="AA4" i="21"/>
  <c r="Y4" i="21"/>
  <c r="X4" i="21"/>
  <c r="V4" i="21"/>
  <c r="U4" i="21"/>
  <c r="S4" i="21"/>
  <c r="R4" i="21"/>
  <c r="P4" i="21"/>
  <c r="O4" i="21"/>
  <c r="M4" i="21"/>
  <c r="L4" i="21"/>
  <c r="J4" i="21"/>
  <c r="I4" i="21"/>
  <c r="G4" i="21"/>
  <c r="F4" i="21"/>
  <c r="D4" i="21"/>
  <c r="AA3" i="21"/>
  <c r="Y3" i="21"/>
  <c r="X3" i="21"/>
  <c r="V3" i="21"/>
  <c r="U3" i="21"/>
  <c r="S3" i="21"/>
  <c r="R3" i="21"/>
  <c r="P3" i="21"/>
  <c r="O3" i="21"/>
  <c r="M3" i="21"/>
  <c r="L3" i="21"/>
  <c r="J3" i="21"/>
  <c r="I3" i="21"/>
  <c r="G3" i="21"/>
  <c r="F3" i="21"/>
  <c r="D3" i="21"/>
  <c r="Y3" i="20"/>
  <c r="Y4" i="20"/>
  <c r="Y5" i="20"/>
  <c r="Y6" i="20"/>
  <c r="Y7" i="20"/>
  <c r="Y8" i="20"/>
  <c r="AG8" i="20"/>
  <c r="Y9" i="20"/>
  <c r="AG9" i="20"/>
  <c r="Y10" i="20"/>
  <c r="AG10" i="20"/>
  <c r="Y11" i="20"/>
  <c r="AG11" i="20"/>
  <c r="Y12" i="20"/>
  <c r="AG12" i="20"/>
  <c r="Y13" i="20"/>
  <c r="AG13" i="20"/>
  <c r="Y14" i="20"/>
  <c r="AG14" i="20"/>
  <c r="Y15" i="20"/>
  <c r="Y16" i="20"/>
  <c r="AG16" i="20"/>
  <c r="Y17" i="20"/>
  <c r="AG17" i="20"/>
  <c r="Y18" i="20"/>
  <c r="Y19" i="20"/>
  <c r="R26" i="20"/>
  <c r="Z26" i="20"/>
  <c r="S26" i="20"/>
  <c r="T26" i="20"/>
  <c r="AB26" i="20"/>
  <c r="U26" i="20"/>
  <c r="X26" i="20"/>
  <c r="Y26" i="20"/>
  <c r="R27" i="20"/>
  <c r="S27" i="20"/>
  <c r="AA27" i="20"/>
  <c r="T27" i="20"/>
  <c r="AB27" i="20"/>
  <c r="U27" i="20"/>
  <c r="AC27" i="20"/>
  <c r="X27" i="20"/>
  <c r="Y27" i="20"/>
  <c r="AG27" i="20"/>
  <c r="R28" i="20"/>
  <c r="Z28" i="20"/>
  <c r="S28" i="20"/>
  <c r="AA28" i="20"/>
  <c r="T28" i="20"/>
  <c r="AB28" i="20"/>
  <c r="U28" i="20"/>
  <c r="X28" i="20"/>
  <c r="AF28" i="20"/>
  <c r="Y28" i="20"/>
  <c r="AG28" i="20"/>
  <c r="R29" i="20"/>
  <c r="S29" i="20"/>
  <c r="AA29" i="20"/>
  <c r="T29" i="20"/>
  <c r="U29" i="20"/>
  <c r="AC29" i="20"/>
  <c r="X29" i="20"/>
  <c r="AF29" i="20"/>
  <c r="Y29" i="20"/>
  <c r="AG29" i="20"/>
  <c r="R30" i="20"/>
  <c r="S30" i="20"/>
  <c r="AA30" i="20"/>
  <c r="T30" i="20"/>
  <c r="AB30" i="20"/>
  <c r="U30" i="20"/>
  <c r="AC30" i="20"/>
  <c r="X30" i="20"/>
  <c r="AF30" i="20"/>
  <c r="Y30" i="20"/>
  <c r="AG30" i="20"/>
  <c r="R31" i="20"/>
  <c r="S31" i="20"/>
  <c r="AA31" i="20"/>
  <c r="T31" i="20"/>
  <c r="AB31" i="20"/>
  <c r="U31" i="20"/>
  <c r="AC31" i="20"/>
  <c r="X31" i="20"/>
  <c r="Y31" i="20"/>
  <c r="AG31" i="20"/>
  <c r="R32" i="20"/>
  <c r="Z32" i="20"/>
  <c r="S32" i="20"/>
  <c r="AA32" i="20"/>
  <c r="T32" i="20"/>
  <c r="AB32" i="20"/>
  <c r="U32" i="20"/>
  <c r="AC32" i="20"/>
  <c r="X32" i="20"/>
  <c r="Y32" i="20"/>
  <c r="AG32" i="20"/>
  <c r="R33" i="20"/>
  <c r="Z33" i="20"/>
  <c r="S33" i="20"/>
  <c r="AA33" i="20"/>
  <c r="T33" i="20"/>
  <c r="AB33" i="20"/>
  <c r="U33" i="20"/>
  <c r="AC33" i="20"/>
  <c r="X33" i="20"/>
  <c r="Y33" i="20"/>
  <c r="AG33" i="20"/>
  <c r="R34" i="20"/>
  <c r="Z34" i="20"/>
  <c r="S34" i="20"/>
  <c r="AA34" i="20"/>
  <c r="T34" i="20"/>
  <c r="AB34" i="20"/>
  <c r="U34" i="20"/>
  <c r="AC34" i="20"/>
  <c r="X34" i="20"/>
  <c r="R35" i="20"/>
  <c r="S35" i="20"/>
  <c r="AA35" i="20"/>
  <c r="T35" i="20"/>
  <c r="AB35" i="20"/>
  <c r="U35" i="20"/>
  <c r="X35" i="20"/>
  <c r="AF35" i="20"/>
  <c r="R36" i="20"/>
  <c r="Z36" i="20"/>
  <c r="S36" i="20"/>
  <c r="AA36" i="20"/>
  <c r="T36" i="20"/>
  <c r="U36" i="20"/>
  <c r="X36" i="20"/>
  <c r="AF36" i="20"/>
  <c r="R37" i="20"/>
  <c r="S37" i="20"/>
  <c r="AA37" i="20"/>
  <c r="T37" i="20"/>
  <c r="AB37" i="20"/>
  <c r="U37" i="20"/>
  <c r="AC37" i="20"/>
  <c r="X37" i="20"/>
  <c r="AF37" i="20"/>
  <c r="R38" i="20"/>
  <c r="Z38" i="20"/>
  <c r="S38" i="20"/>
  <c r="AA38" i="20"/>
  <c r="T38" i="20"/>
  <c r="AB38" i="20"/>
  <c r="U38" i="20"/>
  <c r="X38" i="20"/>
  <c r="AF38" i="20"/>
  <c r="R39" i="20"/>
  <c r="Z39" i="20"/>
  <c r="S39" i="20"/>
  <c r="AA39" i="20"/>
  <c r="T39" i="20"/>
  <c r="AB39" i="20"/>
  <c r="U39" i="20"/>
  <c r="AC39" i="20"/>
  <c r="X39" i="20"/>
  <c r="AF39" i="20"/>
  <c r="R40" i="20"/>
  <c r="Z40" i="20"/>
  <c r="S40" i="20"/>
  <c r="AA40" i="20"/>
  <c r="T40" i="20"/>
  <c r="AB40" i="20"/>
  <c r="U40" i="20"/>
  <c r="AC40" i="20"/>
  <c r="X40" i="20"/>
  <c r="AF40" i="20"/>
  <c r="R41" i="20"/>
  <c r="Z41" i="20"/>
  <c r="S41" i="20"/>
  <c r="AA41" i="20"/>
  <c r="T41" i="20"/>
  <c r="U41" i="20"/>
  <c r="X41" i="20"/>
  <c r="AF41" i="20"/>
  <c r="R42" i="20"/>
  <c r="S42" i="20"/>
  <c r="AA42" i="20"/>
  <c r="T42" i="20"/>
  <c r="AB42" i="20"/>
  <c r="U42" i="20"/>
  <c r="AC42" i="20"/>
  <c r="X42" i="20"/>
  <c r="AF42" i="20"/>
  <c r="R43" i="20"/>
  <c r="S43" i="20"/>
  <c r="AA43" i="20"/>
  <c r="T43" i="20"/>
  <c r="U43" i="20"/>
  <c r="R44" i="20"/>
  <c r="Z44" i="20"/>
  <c r="S44" i="20"/>
  <c r="AA44" i="20"/>
  <c r="T44" i="20"/>
  <c r="AB44" i="20"/>
  <c r="U44" i="20"/>
  <c r="R45" i="20"/>
  <c r="Z45" i="20"/>
  <c r="S45" i="20"/>
  <c r="AA45" i="20"/>
  <c r="T45" i="20"/>
  <c r="AB45" i="20"/>
  <c r="U45" i="20"/>
  <c r="R46" i="20"/>
  <c r="Z46" i="20"/>
  <c r="S46" i="20"/>
  <c r="AA46" i="20"/>
  <c r="T46" i="20"/>
  <c r="U46" i="20"/>
  <c r="AC46" i="20"/>
  <c r="R47" i="20"/>
  <c r="S47" i="20"/>
  <c r="AA47" i="20"/>
  <c r="T47" i="20"/>
  <c r="AB47" i="20"/>
  <c r="U47" i="20"/>
  <c r="AC47" i="20"/>
  <c r="R48" i="20"/>
  <c r="Z48" i="20"/>
  <c r="S48" i="20"/>
  <c r="AA48" i="20"/>
  <c r="T48" i="20"/>
  <c r="AB48" i="20"/>
  <c r="U48" i="20"/>
  <c r="AC48" i="20"/>
  <c r="R49" i="20"/>
  <c r="S49" i="20"/>
  <c r="AA49" i="20"/>
  <c r="U49" i="20"/>
  <c r="R50" i="20"/>
  <c r="Z50" i="20"/>
  <c r="R51" i="20"/>
  <c r="Z51" i="20"/>
  <c r="R52" i="20"/>
  <c r="Z52" i="20"/>
  <c r="R53" i="20"/>
  <c r="R54" i="20"/>
  <c r="Z54" i="20"/>
  <c r="R55" i="20"/>
  <c r="Z55" i="20"/>
  <c r="R56" i="20"/>
  <c r="Z56" i="20"/>
  <c r="R57" i="20"/>
  <c r="Z57" i="20"/>
  <c r="R58" i="20"/>
  <c r="R59" i="20"/>
  <c r="Z59" i="20"/>
  <c r="R60" i="20"/>
  <c r="Z60" i="20"/>
  <c r="R61" i="20"/>
  <c r="Z61" i="20"/>
  <c r="R62" i="20"/>
  <c r="R63" i="20"/>
  <c r="R64" i="20"/>
  <c r="Z64" i="20"/>
  <c r="R65" i="20"/>
  <c r="R66" i="20"/>
  <c r="R67" i="20"/>
  <c r="Z67" i="20"/>
  <c r="R68" i="20"/>
  <c r="R69" i="20"/>
  <c r="R70" i="20"/>
  <c r="Z70" i="20"/>
  <c r="R71" i="20"/>
  <c r="Z71" i="20"/>
  <c r="R72" i="20"/>
  <c r="Z72" i="20"/>
  <c r="R73" i="20"/>
  <c r="Z73" i="20"/>
  <c r="R74" i="20"/>
  <c r="Z74" i="20"/>
  <c r="T74" i="20"/>
  <c r="X74" i="20"/>
  <c r="R75" i="20"/>
  <c r="Z75" i="20"/>
  <c r="T75" i="20"/>
  <c r="AB75" i="20"/>
  <c r="X75" i="20"/>
  <c r="AF75" i="20"/>
  <c r="R76" i="20"/>
  <c r="T76" i="20"/>
  <c r="AB76" i="20"/>
  <c r="X76" i="20"/>
  <c r="R77" i="20"/>
  <c r="Z77" i="20"/>
  <c r="T77" i="20"/>
  <c r="AB77" i="20"/>
  <c r="X77" i="20"/>
  <c r="R78" i="20"/>
  <c r="T78" i="20"/>
  <c r="AB78" i="20"/>
  <c r="X78" i="20"/>
  <c r="R79" i="20"/>
  <c r="T79" i="20"/>
  <c r="AB79" i="20"/>
  <c r="X79" i="20"/>
  <c r="AF79" i="20"/>
  <c r="R80" i="20"/>
  <c r="S80" i="20"/>
  <c r="T80" i="20"/>
  <c r="X80" i="20"/>
  <c r="AF80" i="20"/>
  <c r="R81" i="20"/>
  <c r="S81" i="20"/>
  <c r="T81" i="20"/>
  <c r="AB81" i="20"/>
  <c r="X81" i="20"/>
  <c r="R82" i="20"/>
  <c r="Z82" i="20"/>
  <c r="S82" i="20"/>
  <c r="T82" i="20"/>
  <c r="X82" i="20"/>
  <c r="R83" i="20"/>
  <c r="S83" i="20"/>
  <c r="AA83" i="20" s="1"/>
  <c r="T83" i="20"/>
  <c r="X83" i="20"/>
  <c r="R84" i="20"/>
  <c r="Z84" i="20"/>
  <c r="S84" i="20"/>
  <c r="AA84" i="20" s="1"/>
  <c r="T84" i="20"/>
  <c r="AB84" i="20"/>
  <c r="X84" i="20"/>
  <c r="AF84" i="20" s="1"/>
  <c r="R85" i="20"/>
  <c r="Z85" i="20"/>
  <c r="S85" i="20"/>
  <c r="T85" i="20"/>
  <c r="AB85" i="20"/>
  <c r="X85" i="20"/>
  <c r="AF85" i="20" s="1"/>
  <c r="R86" i="20"/>
  <c r="S86" i="20"/>
  <c r="AA86" i="20" s="1"/>
  <c r="X86" i="20"/>
  <c r="AF86" i="20" s="1"/>
  <c r="R87" i="20"/>
  <c r="Z87" i="20"/>
  <c r="S87" i="20"/>
  <c r="AA87" i="20" s="1"/>
  <c r="X87" i="20"/>
  <c r="AF87" i="20" s="1"/>
  <c r="R88" i="20"/>
  <c r="S88" i="20"/>
  <c r="X88" i="20"/>
  <c r="AF88" i="20" s="1"/>
  <c r="R89" i="20"/>
  <c r="S89" i="20"/>
  <c r="X89" i="20"/>
  <c r="AF89" i="20" s="1"/>
  <c r="R90" i="20"/>
  <c r="S90" i="20"/>
  <c r="AA90" i="20" s="1"/>
  <c r="T90" i="20"/>
  <c r="AB90" i="20" s="1"/>
  <c r="U90" i="20"/>
  <c r="V90" i="20"/>
  <c r="W90" i="20"/>
  <c r="X90" i="20"/>
  <c r="Y90" i="20"/>
  <c r="R91" i="20"/>
  <c r="S91" i="20"/>
  <c r="AA91" i="20" s="1"/>
  <c r="T91" i="20"/>
  <c r="AB91" i="20" s="1"/>
  <c r="U91" i="20"/>
  <c r="V91" i="20"/>
  <c r="W91" i="20"/>
  <c r="X91" i="20"/>
  <c r="Y91" i="20"/>
  <c r="R92" i="20"/>
  <c r="S92" i="20"/>
  <c r="AA92" i="20" s="1"/>
  <c r="T92" i="20"/>
  <c r="AB92" i="20" s="1"/>
  <c r="U92" i="20"/>
  <c r="V92" i="20"/>
  <c r="W92" i="20"/>
  <c r="X92" i="20"/>
  <c r="Y92" i="20"/>
  <c r="R93" i="20"/>
  <c r="S93" i="20"/>
  <c r="T93" i="20"/>
  <c r="AB93" i="20" s="1"/>
  <c r="U93" i="20"/>
  <c r="V93" i="20"/>
  <c r="W93" i="20"/>
  <c r="X93" i="20"/>
  <c r="Y93" i="20"/>
  <c r="R94" i="20"/>
  <c r="S94" i="20"/>
  <c r="AA94" i="20" s="1"/>
  <c r="T94" i="20"/>
  <c r="AB94" i="20" s="1"/>
  <c r="U94" i="20"/>
  <c r="V94" i="20"/>
  <c r="W94" i="20"/>
  <c r="X94" i="20"/>
  <c r="Y94" i="20"/>
  <c r="R95" i="20"/>
  <c r="S95" i="20"/>
  <c r="AA95" i="20" s="1"/>
  <c r="T95" i="20"/>
  <c r="AB95" i="20" s="1"/>
  <c r="U95" i="20"/>
  <c r="V95" i="20"/>
  <c r="W95" i="20"/>
  <c r="X95" i="20"/>
  <c r="Y95" i="20"/>
  <c r="R96" i="20"/>
  <c r="S96" i="20"/>
  <c r="T96" i="20"/>
  <c r="U96" i="20"/>
  <c r="V96" i="20"/>
  <c r="W96" i="20"/>
  <c r="X96" i="20"/>
  <c r="Y96" i="20"/>
  <c r="R97" i="20"/>
  <c r="S97" i="20"/>
  <c r="T97" i="20"/>
  <c r="U97" i="20"/>
  <c r="V97" i="20"/>
  <c r="W97" i="20"/>
  <c r="X97" i="20"/>
  <c r="Y97" i="20"/>
  <c r="R98" i="20"/>
  <c r="S98" i="20"/>
  <c r="T98" i="20"/>
  <c r="U98" i="20"/>
  <c r="V98" i="20"/>
  <c r="W98" i="20"/>
  <c r="X98" i="20"/>
  <c r="Y98" i="20"/>
  <c r="R99" i="20"/>
  <c r="S99" i="20"/>
  <c r="T99" i="20"/>
  <c r="U99" i="20"/>
  <c r="V99" i="20"/>
  <c r="W99" i="20"/>
  <c r="X99" i="20"/>
  <c r="Y99" i="20"/>
  <c r="R100" i="20"/>
  <c r="S100" i="20"/>
  <c r="T100" i="20"/>
  <c r="U100" i="20"/>
  <c r="V100" i="20"/>
  <c r="W100" i="20"/>
  <c r="X100" i="20"/>
  <c r="Y100" i="20"/>
  <c r="R101" i="20"/>
  <c r="S101" i="20"/>
  <c r="T101" i="20"/>
  <c r="U101" i="20"/>
  <c r="V101" i="20"/>
  <c r="W101" i="20"/>
  <c r="X101" i="20"/>
  <c r="Y101" i="20"/>
  <c r="R102" i="20"/>
  <c r="S102" i="20"/>
  <c r="T102" i="20"/>
  <c r="U102" i="20"/>
  <c r="V102" i="20"/>
  <c r="W102" i="20"/>
  <c r="X102" i="20"/>
  <c r="Y102" i="20"/>
  <c r="R103" i="20"/>
  <c r="S103" i="20"/>
  <c r="T103" i="20"/>
  <c r="U103" i="20"/>
  <c r="V103" i="20"/>
  <c r="W103" i="20"/>
  <c r="X103" i="20"/>
  <c r="Y103" i="20"/>
  <c r="R104" i="20"/>
  <c r="S104" i="20"/>
  <c r="T104" i="20"/>
  <c r="U104" i="20"/>
  <c r="V104" i="20"/>
  <c r="W104" i="20"/>
  <c r="X104" i="20"/>
  <c r="Y104" i="20"/>
  <c r="R105" i="20"/>
  <c r="S105" i="20"/>
  <c r="T105" i="20"/>
  <c r="U105" i="20"/>
  <c r="V105" i="20"/>
  <c r="W105" i="20"/>
  <c r="X105" i="20"/>
  <c r="Y105" i="20"/>
  <c r="Q3" i="20"/>
  <c r="AF3" i="20"/>
  <c r="Q4" i="20"/>
  <c r="AA4" i="20"/>
  <c r="Q5" i="20"/>
  <c r="AC5" i="20"/>
  <c r="Q6" i="20"/>
  <c r="AG6" i="20"/>
  <c r="Q7" i="20"/>
  <c r="AB7" i="20"/>
  <c r="Q8" i="20"/>
  <c r="AD8" i="20"/>
  <c r="Q9" i="20"/>
  <c r="AA9" i="20"/>
  <c r="Q10" i="20"/>
  <c r="AB10" i="20"/>
  <c r="Q11" i="20"/>
  <c r="AF11" i="20"/>
  <c r="Q12" i="20"/>
  <c r="AD12" i="20"/>
  <c r="Q13" i="20"/>
  <c r="AC13" i="20"/>
  <c r="Q14" i="20"/>
  <c r="AD14" i="20"/>
  <c r="Q15" i="20"/>
  <c r="AE15" i="20"/>
  <c r="Q16" i="20"/>
  <c r="AA16" i="20"/>
  <c r="Q17" i="20"/>
  <c r="AB17" i="20"/>
  <c r="Q18" i="20"/>
  <c r="AB18" i="20"/>
  <c r="Q19" i="20"/>
  <c r="AD19" i="20"/>
  <c r="Q20" i="20"/>
  <c r="AF20" i="20"/>
  <c r="Q21" i="20"/>
  <c r="AE21" i="20"/>
  <c r="Q22" i="20"/>
  <c r="AA22" i="20"/>
  <c r="Q23" i="20"/>
  <c r="AB23" i="20"/>
  <c r="Q24" i="20"/>
  <c r="AD24" i="20"/>
  <c r="Q25" i="20"/>
  <c r="AE25" i="20"/>
  <c r="AD26" i="20"/>
  <c r="Q78" i="20"/>
  <c r="AG78" i="20" s="1"/>
  <c r="Q79" i="20"/>
  <c r="AA79" i="20" s="1"/>
  <c r="Q80" i="20"/>
  <c r="AE80" i="20" s="1"/>
  <c r="Q81" i="20"/>
  <c r="AC81" i="20" s="1"/>
  <c r="Q82" i="20"/>
  <c r="AG82" i="20" s="1"/>
  <c r="Q83" i="20"/>
  <c r="AD83" i="20" s="1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Y2" i="20"/>
  <c r="Q2" i="20"/>
  <c r="AA2" i="20"/>
  <c r="Y4" i="14"/>
  <c r="Y5" i="14"/>
  <c r="Y6" i="14"/>
  <c r="Y7" i="14"/>
  <c r="Y8" i="14"/>
  <c r="Y11" i="14"/>
  <c r="Y12" i="14"/>
  <c r="Y13" i="14"/>
  <c r="Y14" i="14"/>
  <c r="Y15" i="14"/>
  <c r="Y16" i="14"/>
  <c r="Y17" i="14"/>
  <c r="Y18" i="14"/>
  <c r="Y19" i="14"/>
  <c r="V4" i="14"/>
  <c r="V5" i="14"/>
  <c r="V6" i="14"/>
  <c r="V7" i="14"/>
  <c r="V8" i="14"/>
  <c r="V11" i="14"/>
  <c r="V12" i="14"/>
  <c r="V13" i="14"/>
  <c r="V14" i="14"/>
  <c r="V15" i="14"/>
  <c r="V16" i="14"/>
  <c r="V17" i="14"/>
  <c r="V18" i="14"/>
  <c r="V19" i="14"/>
  <c r="S4" i="14"/>
  <c r="S5" i="14"/>
  <c r="S6" i="14"/>
  <c r="S7" i="14"/>
  <c r="S8" i="14"/>
  <c r="S11" i="14"/>
  <c r="S12" i="14"/>
  <c r="S13" i="14"/>
  <c r="S14" i="14"/>
  <c r="S15" i="14"/>
  <c r="S16" i="14"/>
  <c r="S17" i="14"/>
  <c r="S18" i="14"/>
  <c r="S19" i="14"/>
  <c r="P4" i="14"/>
  <c r="P5" i="14"/>
  <c r="P6" i="14"/>
  <c r="P7" i="14"/>
  <c r="P8" i="14"/>
  <c r="P11" i="14"/>
  <c r="P12" i="14"/>
  <c r="P13" i="14"/>
  <c r="P14" i="14"/>
  <c r="P15" i="14"/>
  <c r="P16" i="14"/>
  <c r="P17" i="14"/>
  <c r="P18" i="14"/>
  <c r="P19" i="14"/>
  <c r="M4" i="14"/>
  <c r="M5" i="14"/>
  <c r="M6" i="14"/>
  <c r="M7" i="14"/>
  <c r="M8" i="14"/>
  <c r="M11" i="14"/>
  <c r="M12" i="14"/>
  <c r="M13" i="14"/>
  <c r="M14" i="14"/>
  <c r="M15" i="14"/>
  <c r="M16" i="14"/>
  <c r="M17" i="14"/>
  <c r="M18" i="14"/>
  <c r="M19" i="14"/>
  <c r="Y3" i="14"/>
  <c r="V3" i="14"/>
  <c r="U3" i="14"/>
  <c r="S3" i="14"/>
  <c r="P3" i="14"/>
  <c r="M3" i="14"/>
  <c r="D19" i="14"/>
  <c r="D18" i="14"/>
  <c r="D17" i="14"/>
  <c r="D16" i="14"/>
  <c r="D15" i="14"/>
  <c r="D14" i="14"/>
  <c r="D13" i="14"/>
  <c r="D12" i="14"/>
  <c r="D11" i="14"/>
  <c r="D9" i="14"/>
  <c r="D8" i="14"/>
  <c r="D7" i="14"/>
  <c r="D6" i="14"/>
  <c r="D5" i="14"/>
  <c r="D4" i="14"/>
  <c r="D3" i="14"/>
  <c r="AA4" i="14"/>
  <c r="AA5" i="14"/>
  <c r="AA6" i="14"/>
  <c r="AA7" i="14"/>
  <c r="AA8" i="14"/>
  <c r="AA11" i="14"/>
  <c r="AA12" i="14"/>
  <c r="AA13" i="14"/>
  <c r="AA14" i="14"/>
  <c r="AA15" i="14"/>
  <c r="AA16" i="14"/>
  <c r="AA17" i="14"/>
  <c r="AA18" i="14"/>
  <c r="AA19" i="14"/>
  <c r="X4" i="14"/>
  <c r="X5" i="14"/>
  <c r="X6" i="14"/>
  <c r="X7" i="14"/>
  <c r="X8" i="14"/>
  <c r="X11" i="14"/>
  <c r="X12" i="14"/>
  <c r="X13" i="14"/>
  <c r="X14" i="14"/>
  <c r="X15" i="14"/>
  <c r="X16" i="14"/>
  <c r="X17" i="14"/>
  <c r="X18" i="14"/>
  <c r="X19" i="14"/>
  <c r="U4" i="14"/>
  <c r="U5" i="14"/>
  <c r="U6" i="14"/>
  <c r="U7" i="14"/>
  <c r="U8" i="14"/>
  <c r="U11" i="14"/>
  <c r="U12" i="14"/>
  <c r="U13" i="14"/>
  <c r="U14" i="14"/>
  <c r="U15" i="14"/>
  <c r="U16" i="14"/>
  <c r="U17" i="14"/>
  <c r="U18" i="14"/>
  <c r="U19" i="14"/>
  <c r="R4" i="14"/>
  <c r="R5" i="14"/>
  <c r="R6" i="14"/>
  <c r="R7" i="14"/>
  <c r="R8" i="14"/>
  <c r="R11" i="14"/>
  <c r="R12" i="14"/>
  <c r="R13" i="14"/>
  <c r="R14" i="14"/>
  <c r="R15" i="14"/>
  <c r="R16" i="14"/>
  <c r="R17" i="14"/>
  <c r="R18" i="14"/>
  <c r="R19" i="14"/>
  <c r="O4" i="14"/>
  <c r="O5" i="14"/>
  <c r="O6" i="14"/>
  <c r="O7" i="14"/>
  <c r="O8" i="14"/>
  <c r="O11" i="14"/>
  <c r="O12" i="14"/>
  <c r="O13" i="14"/>
  <c r="O14" i="14"/>
  <c r="O15" i="14"/>
  <c r="O16" i="14"/>
  <c r="O17" i="14"/>
  <c r="O18" i="14"/>
  <c r="O19" i="14"/>
  <c r="AA3" i="14"/>
  <c r="X3" i="14"/>
  <c r="R3" i="14"/>
  <c r="O3" i="14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203" i="9"/>
  <c r="G203" i="9"/>
  <c r="F204" i="9"/>
  <c r="G204" i="9"/>
  <c r="F205" i="9"/>
  <c r="G205" i="9"/>
  <c r="F206" i="9"/>
  <c r="G206" i="9"/>
  <c r="F207" i="9"/>
  <c r="G207" i="9"/>
  <c r="F208" i="9"/>
  <c r="G208" i="9"/>
  <c r="F209" i="9"/>
  <c r="G209" i="9"/>
  <c r="F210" i="9"/>
  <c r="G210" i="9"/>
  <c r="F211" i="9"/>
  <c r="G211" i="9"/>
  <c r="F212" i="9"/>
  <c r="G212" i="9"/>
  <c r="F213" i="9"/>
  <c r="G213" i="9"/>
  <c r="F214" i="9"/>
  <c r="G214" i="9"/>
  <c r="F215" i="9"/>
  <c r="G215" i="9"/>
  <c r="F216" i="9"/>
  <c r="G216" i="9"/>
  <c r="F217" i="9"/>
  <c r="G217" i="9"/>
  <c r="F218" i="9"/>
  <c r="G218" i="9"/>
  <c r="F219" i="9"/>
  <c r="G219" i="9"/>
  <c r="F220" i="9"/>
  <c r="G220" i="9"/>
  <c r="F221" i="9"/>
  <c r="G221" i="9"/>
  <c r="F222" i="9"/>
  <c r="G222" i="9"/>
  <c r="F223" i="9"/>
  <c r="G223" i="9"/>
  <c r="F224" i="9"/>
  <c r="G224" i="9"/>
  <c r="F225" i="9"/>
  <c r="G225" i="9"/>
  <c r="F226" i="9"/>
  <c r="G226" i="9"/>
  <c r="F227" i="9"/>
  <c r="G227" i="9"/>
  <c r="F228" i="9"/>
  <c r="G228" i="9"/>
  <c r="F229" i="9"/>
  <c r="G229" i="9"/>
  <c r="F230" i="9"/>
  <c r="G230" i="9"/>
  <c r="F231" i="9"/>
  <c r="G231" i="9"/>
  <c r="F232" i="9"/>
  <c r="G232" i="9"/>
  <c r="F233" i="9"/>
  <c r="G233" i="9"/>
  <c r="F234" i="9"/>
  <c r="G234" i="9"/>
  <c r="F235" i="9"/>
  <c r="G235" i="9"/>
  <c r="F236" i="9"/>
  <c r="G236" i="9"/>
  <c r="F237" i="9"/>
  <c r="G237" i="9"/>
  <c r="F238" i="9"/>
  <c r="G238" i="9"/>
  <c r="F239" i="9"/>
  <c r="G239" i="9"/>
  <c r="F240" i="9"/>
  <c r="G240" i="9"/>
  <c r="F241" i="9"/>
  <c r="G241" i="9"/>
  <c r="F242" i="9"/>
  <c r="G242" i="9"/>
  <c r="F243" i="9"/>
  <c r="G243" i="9"/>
  <c r="F244" i="9"/>
  <c r="G244" i="9"/>
  <c r="F245" i="9"/>
  <c r="G245" i="9"/>
  <c r="F246" i="9"/>
  <c r="G246" i="9"/>
  <c r="F247" i="9"/>
  <c r="G247" i="9"/>
  <c r="F248" i="9"/>
  <c r="G248" i="9"/>
  <c r="F249" i="9"/>
  <c r="G249" i="9"/>
  <c r="F250" i="9"/>
  <c r="G250" i="9"/>
  <c r="F251" i="9"/>
  <c r="G251" i="9"/>
  <c r="F252" i="9"/>
  <c r="G252" i="9"/>
  <c r="F253" i="9"/>
  <c r="G253" i="9"/>
  <c r="F254" i="9"/>
  <c r="G254" i="9"/>
  <c r="F255" i="9"/>
  <c r="G255" i="9"/>
  <c r="F256" i="9"/>
  <c r="G256" i="9"/>
  <c r="F257" i="9"/>
  <c r="G257" i="9"/>
  <c r="F258" i="9"/>
  <c r="G258" i="9"/>
  <c r="F259" i="9"/>
  <c r="G259" i="9"/>
  <c r="F260" i="9"/>
  <c r="G260" i="9"/>
  <c r="F261" i="9"/>
  <c r="G261" i="9"/>
  <c r="F262" i="9"/>
  <c r="G262" i="9"/>
  <c r="F263" i="9"/>
  <c r="G263" i="9"/>
  <c r="F264" i="9"/>
  <c r="G264" i="9"/>
  <c r="F265" i="9"/>
  <c r="G265" i="9"/>
  <c r="F266" i="9"/>
  <c r="G266" i="9"/>
  <c r="F267" i="9"/>
  <c r="G267" i="9"/>
  <c r="F268" i="9"/>
  <c r="G268" i="9"/>
  <c r="F269" i="9"/>
  <c r="G269" i="9"/>
  <c r="F270" i="9"/>
  <c r="G270" i="9"/>
  <c r="F271" i="9"/>
  <c r="G271" i="9"/>
  <c r="F272" i="9"/>
  <c r="G272" i="9"/>
  <c r="F273" i="9"/>
  <c r="G273" i="9"/>
  <c r="F274" i="9"/>
  <c r="G274" i="9"/>
  <c r="F275" i="9"/>
  <c r="G275" i="9"/>
  <c r="F276" i="9"/>
  <c r="G276" i="9"/>
  <c r="F277" i="9"/>
  <c r="G277" i="9"/>
  <c r="F278" i="9"/>
  <c r="G278" i="9"/>
  <c r="F279" i="9"/>
  <c r="G279" i="9"/>
  <c r="F280" i="9"/>
  <c r="G280" i="9"/>
  <c r="F281" i="9"/>
  <c r="G281" i="9"/>
  <c r="F282" i="9"/>
  <c r="G282" i="9"/>
  <c r="F283" i="9"/>
  <c r="G283" i="9"/>
  <c r="F284" i="9"/>
  <c r="G284" i="9"/>
  <c r="F285" i="9"/>
  <c r="G285" i="9"/>
  <c r="F286" i="9"/>
  <c r="G286" i="9"/>
  <c r="F287" i="9"/>
  <c r="G287" i="9"/>
  <c r="F288" i="9"/>
  <c r="G288" i="9"/>
  <c r="F289" i="9"/>
  <c r="G289" i="9"/>
  <c r="F290" i="9"/>
  <c r="G290" i="9"/>
  <c r="F291" i="9"/>
  <c r="G291" i="9"/>
  <c r="F292" i="9"/>
  <c r="G292" i="9"/>
  <c r="F293" i="9"/>
  <c r="G293" i="9"/>
  <c r="F294" i="9"/>
  <c r="G294" i="9"/>
  <c r="F295" i="9"/>
  <c r="G295" i="9"/>
  <c r="F296" i="9"/>
  <c r="G296" i="9"/>
  <c r="F297" i="9"/>
  <c r="G297" i="9"/>
  <c r="F298" i="9"/>
  <c r="G298" i="9"/>
  <c r="F299" i="9"/>
  <c r="G299" i="9"/>
  <c r="F300" i="9"/>
  <c r="G300" i="9"/>
  <c r="F301" i="9"/>
  <c r="G301" i="9"/>
  <c r="F302" i="9"/>
  <c r="G302" i="9"/>
  <c r="F303" i="9"/>
  <c r="G303" i="9"/>
  <c r="F304" i="9"/>
  <c r="G304" i="9"/>
  <c r="F305" i="9"/>
  <c r="G305" i="9"/>
  <c r="F306" i="9"/>
  <c r="G306" i="9"/>
  <c r="F307" i="9"/>
  <c r="G307" i="9"/>
  <c r="F308" i="9"/>
  <c r="G308" i="9"/>
  <c r="F309" i="9"/>
  <c r="G309" i="9"/>
  <c r="F310" i="9"/>
  <c r="G310" i="9"/>
  <c r="F311" i="9"/>
  <c r="G311" i="9"/>
  <c r="F312" i="9"/>
  <c r="G312" i="9"/>
  <c r="F313" i="9"/>
  <c r="G313" i="9"/>
  <c r="F314" i="9"/>
  <c r="G314" i="9"/>
  <c r="F315" i="9"/>
  <c r="G315" i="9"/>
  <c r="F316" i="9"/>
  <c r="G316" i="9"/>
  <c r="F317" i="9"/>
  <c r="G317" i="9"/>
  <c r="F318" i="9"/>
  <c r="G318" i="9"/>
  <c r="F319" i="9"/>
  <c r="G319" i="9"/>
  <c r="F320" i="9"/>
  <c r="G320" i="9"/>
  <c r="F321" i="9"/>
  <c r="G321" i="9"/>
  <c r="F322" i="9"/>
  <c r="G322" i="9"/>
  <c r="F323" i="9"/>
  <c r="G323" i="9"/>
  <c r="F324" i="9"/>
  <c r="G324" i="9"/>
  <c r="F325" i="9"/>
  <c r="G325" i="9"/>
  <c r="F326" i="9"/>
  <c r="G326" i="9"/>
  <c r="F327" i="9"/>
  <c r="G327" i="9"/>
  <c r="F328" i="9"/>
  <c r="G328" i="9"/>
  <c r="F329" i="9"/>
  <c r="G329" i="9"/>
  <c r="F330" i="9"/>
  <c r="G330" i="9"/>
  <c r="F331" i="9"/>
  <c r="G331" i="9"/>
  <c r="F332" i="9"/>
  <c r="G332" i="9"/>
  <c r="F333" i="9"/>
  <c r="G333" i="9"/>
  <c r="F334" i="9"/>
  <c r="G334" i="9"/>
  <c r="F335" i="9"/>
  <c r="G335" i="9"/>
  <c r="F336" i="9"/>
  <c r="G336" i="9"/>
  <c r="F337" i="9"/>
  <c r="G337" i="9"/>
  <c r="F338" i="9"/>
  <c r="G338" i="9"/>
  <c r="F339" i="9"/>
  <c r="G339" i="9"/>
  <c r="F340" i="9"/>
  <c r="G340" i="9"/>
  <c r="F341" i="9"/>
  <c r="G341" i="9"/>
  <c r="F342" i="9"/>
  <c r="G342" i="9"/>
  <c r="F343" i="9"/>
  <c r="G343" i="9"/>
  <c r="F344" i="9"/>
  <c r="G344" i="9"/>
  <c r="F345" i="9"/>
  <c r="G345" i="9"/>
  <c r="F346" i="9"/>
  <c r="G346" i="9"/>
  <c r="F347" i="9"/>
  <c r="G347" i="9"/>
  <c r="F348" i="9"/>
  <c r="G348" i="9"/>
  <c r="F349" i="9"/>
  <c r="G349" i="9"/>
  <c r="F350" i="9"/>
  <c r="G350" i="9"/>
  <c r="F351" i="9"/>
  <c r="G351" i="9"/>
  <c r="F352" i="9"/>
  <c r="G352" i="9"/>
  <c r="F353" i="9"/>
  <c r="G353" i="9"/>
  <c r="F354" i="9"/>
  <c r="G354" i="9"/>
  <c r="F355" i="9"/>
  <c r="G355" i="9"/>
  <c r="F356" i="9"/>
  <c r="G356" i="9"/>
  <c r="F357" i="9"/>
  <c r="G357" i="9"/>
  <c r="F358" i="9"/>
  <c r="G358" i="9"/>
  <c r="F359" i="9"/>
  <c r="G359" i="9"/>
  <c r="F360" i="9"/>
  <c r="G360" i="9"/>
  <c r="F361" i="9"/>
  <c r="G361" i="9"/>
  <c r="F362" i="9"/>
  <c r="G362" i="9"/>
  <c r="F363" i="9"/>
  <c r="G363" i="9"/>
  <c r="F364" i="9"/>
  <c r="G364" i="9"/>
  <c r="F365" i="9"/>
  <c r="G365" i="9"/>
  <c r="F366" i="9"/>
  <c r="G366" i="9"/>
  <c r="F367" i="9"/>
  <c r="G367" i="9"/>
  <c r="F368" i="9"/>
  <c r="G368" i="9"/>
  <c r="F369" i="9"/>
  <c r="G369" i="9"/>
  <c r="F370" i="9"/>
  <c r="G370" i="9"/>
  <c r="F371" i="9"/>
  <c r="G371" i="9"/>
  <c r="F372" i="9"/>
  <c r="G372" i="9"/>
  <c r="F373" i="9"/>
  <c r="G373" i="9"/>
  <c r="F374" i="9"/>
  <c r="G374" i="9"/>
  <c r="F375" i="9"/>
  <c r="G375" i="9"/>
  <c r="F376" i="9"/>
  <c r="G376" i="9"/>
  <c r="F377" i="9"/>
  <c r="G377" i="9"/>
  <c r="F378" i="9"/>
  <c r="G378" i="9"/>
  <c r="F379" i="9"/>
  <c r="G379" i="9"/>
  <c r="F380" i="9"/>
  <c r="G380" i="9"/>
  <c r="F381" i="9"/>
  <c r="G381" i="9"/>
  <c r="F382" i="9"/>
  <c r="G382" i="9"/>
  <c r="F383" i="9"/>
  <c r="G383" i="9"/>
  <c r="F384" i="9"/>
  <c r="G384" i="9"/>
  <c r="F385" i="9"/>
  <c r="G385" i="9"/>
  <c r="F386" i="9"/>
  <c r="G386" i="9"/>
  <c r="F387" i="9"/>
  <c r="G387" i="9"/>
  <c r="F388" i="9"/>
  <c r="G388" i="9"/>
  <c r="F389" i="9"/>
  <c r="G389" i="9"/>
  <c r="F390" i="9"/>
  <c r="G390" i="9"/>
  <c r="F391" i="9"/>
  <c r="G391" i="9"/>
  <c r="F392" i="9"/>
  <c r="G392" i="9"/>
  <c r="F393" i="9"/>
  <c r="G393" i="9"/>
  <c r="F394" i="9"/>
  <c r="G394" i="9"/>
  <c r="F395" i="9"/>
  <c r="G395" i="9"/>
  <c r="F396" i="9"/>
  <c r="G396" i="9"/>
  <c r="F397" i="9"/>
  <c r="G397" i="9"/>
  <c r="F398" i="9"/>
  <c r="G398" i="9"/>
  <c r="F399" i="9"/>
  <c r="G399" i="9"/>
  <c r="F400" i="9"/>
  <c r="G400" i="9"/>
  <c r="F401" i="9"/>
  <c r="G401" i="9"/>
  <c r="F402" i="9"/>
  <c r="G402" i="9"/>
  <c r="F403" i="9"/>
  <c r="G403" i="9"/>
  <c r="F404" i="9"/>
  <c r="G404" i="9"/>
  <c r="F405" i="9"/>
  <c r="G405" i="9"/>
  <c r="F406" i="9"/>
  <c r="G406" i="9"/>
  <c r="F407" i="9"/>
  <c r="G407" i="9"/>
  <c r="F408" i="9"/>
  <c r="G408" i="9"/>
  <c r="F409" i="9"/>
  <c r="G409" i="9"/>
  <c r="F410" i="9"/>
  <c r="G410" i="9"/>
  <c r="F411" i="9"/>
  <c r="G411" i="9"/>
  <c r="F412" i="9"/>
  <c r="G412" i="9"/>
  <c r="F413" i="9"/>
  <c r="G413" i="9"/>
  <c r="F414" i="9"/>
  <c r="G414" i="9"/>
  <c r="F415" i="9"/>
  <c r="G415" i="9"/>
  <c r="F416" i="9"/>
  <c r="G416" i="9"/>
  <c r="F417" i="9"/>
  <c r="G417" i="9"/>
  <c r="F418" i="9"/>
  <c r="G418" i="9"/>
  <c r="F419" i="9"/>
  <c r="G419" i="9"/>
  <c r="F420" i="9"/>
  <c r="G420" i="9"/>
  <c r="F421" i="9"/>
  <c r="G421" i="9"/>
  <c r="F422" i="9"/>
  <c r="G422" i="9"/>
  <c r="F423" i="9"/>
  <c r="G423" i="9"/>
  <c r="F424" i="9"/>
  <c r="G424" i="9"/>
  <c r="F425" i="9"/>
  <c r="G425" i="9"/>
  <c r="F426" i="9"/>
  <c r="G426" i="9"/>
  <c r="F427" i="9"/>
  <c r="G427" i="9"/>
  <c r="F428" i="9"/>
  <c r="G428" i="9"/>
  <c r="F429" i="9"/>
  <c r="G429" i="9"/>
  <c r="F430" i="9"/>
  <c r="G430" i="9"/>
  <c r="F431" i="9"/>
  <c r="G431" i="9"/>
  <c r="F432" i="9"/>
  <c r="G432" i="9"/>
  <c r="F433" i="9"/>
  <c r="G433" i="9"/>
  <c r="F434" i="9"/>
  <c r="G434" i="9"/>
  <c r="F435" i="9"/>
  <c r="G435" i="9"/>
  <c r="F436" i="9"/>
  <c r="G436" i="9"/>
  <c r="F437" i="9"/>
  <c r="G437" i="9"/>
  <c r="F438" i="9"/>
  <c r="G438" i="9"/>
  <c r="F439" i="9"/>
  <c r="G439" i="9"/>
  <c r="F440" i="9"/>
  <c r="G440" i="9"/>
  <c r="F441" i="9"/>
  <c r="G441" i="9"/>
  <c r="F442" i="9"/>
  <c r="G442" i="9"/>
  <c r="F443" i="9"/>
  <c r="G443" i="9"/>
  <c r="F444" i="9"/>
  <c r="G444" i="9"/>
  <c r="F445" i="9"/>
  <c r="G445" i="9"/>
  <c r="F446" i="9"/>
  <c r="G446" i="9"/>
  <c r="F447" i="9"/>
  <c r="G447" i="9"/>
  <c r="F448" i="9"/>
  <c r="G448" i="9"/>
  <c r="F449" i="9"/>
  <c r="G449" i="9"/>
  <c r="F450" i="9"/>
  <c r="G450" i="9"/>
  <c r="F451" i="9"/>
  <c r="G451" i="9"/>
  <c r="F452" i="9"/>
  <c r="G452" i="9"/>
  <c r="F453" i="9"/>
  <c r="G453" i="9"/>
  <c r="F454" i="9"/>
  <c r="G454" i="9"/>
  <c r="F455" i="9"/>
  <c r="G455" i="9"/>
  <c r="F456" i="9"/>
  <c r="G456" i="9"/>
  <c r="F457" i="9"/>
  <c r="G457" i="9"/>
  <c r="F458" i="9"/>
  <c r="G458" i="9"/>
  <c r="F459" i="9"/>
  <c r="G459" i="9"/>
  <c r="F460" i="9"/>
  <c r="G460" i="9"/>
  <c r="F461" i="9"/>
  <c r="G461" i="9"/>
  <c r="F462" i="9"/>
  <c r="G462" i="9"/>
  <c r="F463" i="9"/>
  <c r="G463" i="9"/>
  <c r="F464" i="9"/>
  <c r="G464" i="9"/>
  <c r="F465" i="9"/>
  <c r="G465" i="9"/>
  <c r="F466" i="9"/>
  <c r="G466" i="9"/>
  <c r="F467" i="9"/>
  <c r="G467" i="9"/>
  <c r="F468" i="9"/>
  <c r="G468" i="9"/>
  <c r="F469" i="9"/>
  <c r="G469" i="9"/>
  <c r="F470" i="9"/>
  <c r="G470" i="9"/>
  <c r="F471" i="9"/>
  <c r="G471" i="9"/>
  <c r="F472" i="9"/>
  <c r="G472" i="9"/>
  <c r="F473" i="9"/>
  <c r="G473" i="9"/>
  <c r="F474" i="9"/>
  <c r="G474" i="9"/>
  <c r="F475" i="9"/>
  <c r="G475" i="9"/>
  <c r="F476" i="9"/>
  <c r="G476" i="9"/>
  <c r="F477" i="9"/>
  <c r="G477" i="9"/>
  <c r="F478" i="9"/>
  <c r="G478" i="9"/>
  <c r="F479" i="9"/>
  <c r="G479" i="9"/>
  <c r="F480" i="9"/>
  <c r="G480" i="9"/>
  <c r="F481" i="9"/>
  <c r="G481" i="9"/>
  <c r="F482" i="9"/>
  <c r="G482" i="9"/>
  <c r="F483" i="9"/>
  <c r="G483" i="9"/>
  <c r="F484" i="9"/>
  <c r="G484" i="9"/>
  <c r="F485" i="9"/>
  <c r="G485" i="9"/>
  <c r="F486" i="9"/>
  <c r="G486" i="9"/>
  <c r="F487" i="9"/>
  <c r="G487" i="9"/>
  <c r="F488" i="9"/>
  <c r="G488" i="9"/>
  <c r="F489" i="9"/>
  <c r="G489" i="9"/>
  <c r="F490" i="9"/>
  <c r="G490" i="9"/>
  <c r="F491" i="9"/>
  <c r="G491" i="9"/>
  <c r="F492" i="9"/>
  <c r="G492" i="9"/>
  <c r="F493" i="9"/>
  <c r="G493" i="9"/>
  <c r="F494" i="9"/>
  <c r="G494" i="9"/>
  <c r="F495" i="9"/>
  <c r="G495" i="9"/>
  <c r="F496" i="9"/>
  <c r="G496" i="9"/>
  <c r="F497" i="9"/>
  <c r="G497" i="9"/>
  <c r="F498" i="9"/>
  <c r="G498" i="9"/>
  <c r="F499" i="9"/>
  <c r="G499" i="9"/>
  <c r="F500" i="9"/>
  <c r="G500" i="9"/>
  <c r="F501" i="9"/>
  <c r="G501" i="9"/>
  <c r="F502" i="9"/>
  <c r="G502" i="9"/>
  <c r="F503" i="9"/>
  <c r="G503" i="9"/>
  <c r="F504" i="9"/>
  <c r="G504" i="9"/>
  <c r="F505" i="9"/>
  <c r="G505" i="9"/>
  <c r="F506" i="9"/>
  <c r="G506" i="9"/>
  <c r="F507" i="9"/>
  <c r="G507" i="9"/>
  <c r="F508" i="9"/>
  <c r="G508" i="9"/>
  <c r="F509" i="9"/>
  <c r="G509" i="9"/>
  <c r="F510" i="9"/>
  <c r="G510" i="9"/>
  <c r="F511" i="9"/>
  <c r="G511" i="9"/>
  <c r="F512" i="9"/>
  <c r="G512" i="9"/>
  <c r="F513" i="9"/>
  <c r="G513" i="9"/>
  <c r="F514" i="9"/>
  <c r="G514" i="9"/>
  <c r="F515" i="9"/>
  <c r="G515" i="9"/>
  <c r="F516" i="9"/>
  <c r="G516" i="9"/>
  <c r="F517" i="9"/>
  <c r="G517" i="9"/>
  <c r="F518" i="9"/>
  <c r="G518" i="9"/>
  <c r="F519" i="9"/>
  <c r="G519" i="9"/>
  <c r="F520" i="9"/>
  <c r="G520" i="9"/>
  <c r="F521" i="9"/>
  <c r="G521" i="9"/>
  <c r="F522" i="9"/>
  <c r="G522" i="9"/>
  <c r="F523" i="9"/>
  <c r="G523" i="9"/>
  <c r="F524" i="9"/>
  <c r="G524" i="9"/>
  <c r="F525" i="9"/>
  <c r="G525" i="9"/>
  <c r="F526" i="9"/>
  <c r="G526" i="9"/>
  <c r="F527" i="9"/>
  <c r="G527" i="9"/>
  <c r="F528" i="9"/>
  <c r="G528" i="9"/>
  <c r="F529" i="9"/>
  <c r="G529" i="9"/>
  <c r="F530" i="9"/>
  <c r="G530" i="9"/>
  <c r="F531" i="9"/>
  <c r="G531" i="9"/>
  <c r="F532" i="9"/>
  <c r="G532" i="9"/>
  <c r="F533" i="9"/>
  <c r="G533" i="9"/>
  <c r="F534" i="9"/>
  <c r="G534" i="9"/>
  <c r="F535" i="9"/>
  <c r="G535" i="9"/>
  <c r="F536" i="9"/>
  <c r="G536" i="9"/>
  <c r="F537" i="9"/>
  <c r="G537" i="9"/>
  <c r="F538" i="9"/>
  <c r="G538" i="9"/>
  <c r="F539" i="9"/>
  <c r="G539" i="9"/>
  <c r="F540" i="9"/>
  <c r="G540" i="9"/>
  <c r="F541" i="9"/>
  <c r="G541" i="9"/>
  <c r="F542" i="9"/>
  <c r="G542" i="9"/>
  <c r="F543" i="9"/>
  <c r="G543" i="9"/>
  <c r="F544" i="9"/>
  <c r="G544" i="9"/>
  <c r="F545" i="9"/>
  <c r="G545" i="9"/>
  <c r="F546" i="9"/>
  <c r="G546" i="9"/>
  <c r="F547" i="9"/>
  <c r="G547" i="9"/>
  <c r="F548" i="9"/>
  <c r="G548" i="9"/>
  <c r="F549" i="9"/>
  <c r="G549" i="9"/>
  <c r="F550" i="9"/>
  <c r="G550" i="9"/>
  <c r="F551" i="9"/>
  <c r="G551" i="9"/>
  <c r="F552" i="9"/>
  <c r="G552" i="9"/>
  <c r="F553" i="9"/>
  <c r="G553" i="9"/>
  <c r="F554" i="9"/>
  <c r="G554" i="9"/>
  <c r="F555" i="9"/>
  <c r="G555" i="9"/>
  <c r="F556" i="9"/>
  <c r="G556" i="9"/>
  <c r="F557" i="9"/>
  <c r="G557" i="9"/>
  <c r="F558" i="9"/>
  <c r="G558" i="9"/>
  <c r="F559" i="9"/>
  <c r="G559" i="9"/>
  <c r="F560" i="9"/>
  <c r="G560" i="9"/>
  <c r="F561" i="9"/>
  <c r="G561" i="9"/>
  <c r="F562" i="9"/>
  <c r="G562" i="9"/>
  <c r="F563" i="9"/>
  <c r="G563" i="9"/>
  <c r="F564" i="9"/>
  <c r="G564" i="9"/>
  <c r="F565" i="9"/>
  <c r="G565" i="9"/>
  <c r="F566" i="9"/>
  <c r="G566" i="9"/>
  <c r="F567" i="9"/>
  <c r="G567" i="9"/>
  <c r="F568" i="9"/>
  <c r="G568" i="9"/>
  <c r="F569" i="9"/>
  <c r="G569" i="9"/>
  <c r="F570" i="9"/>
  <c r="G570" i="9"/>
  <c r="F571" i="9"/>
  <c r="G571" i="9"/>
  <c r="F572" i="9"/>
  <c r="G572" i="9"/>
  <c r="F573" i="9"/>
  <c r="G573" i="9"/>
  <c r="F574" i="9"/>
  <c r="G574" i="9"/>
  <c r="F575" i="9"/>
  <c r="G575" i="9"/>
  <c r="F576" i="9"/>
  <c r="G576" i="9"/>
  <c r="F577" i="9"/>
  <c r="G577" i="9"/>
  <c r="F578" i="9"/>
  <c r="G578" i="9"/>
  <c r="F579" i="9"/>
  <c r="G579" i="9"/>
  <c r="F580" i="9"/>
  <c r="G580" i="9"/>
  <c r="F581" i="9"/>
  <c r="G581" i="9"/>
  <c r="F582" i="9"/>
  <c r="G582" i="9"/>
  <c r="F583" i="9"/>
  <c r="G583" i="9"/>
  <c r="F584" i="9"/>
  <c r="G584" i="9"/>
  <c r="F585" i="9"/>
  <c r="G585" i="9"/>
  <c r="F586" i="9"/>
  <c r="G586" i="9"/>
  <c r="F587" i="9"/>
  <c r="G587" i="9"/>
  <c r="F588" i="9"/>
  <c r="G588" i="9"/>
  <c r="F589" i="9"/>
  <c r="G589" i="9"/>
  <c r="F590" i="9"/>
  <c r="G590" i="9"/>
  <c r="F591" i="9"/>
  <c r="G591" i="9"/>
  <c r="F592" i="9"/>
  <c r="G592" i="9"/>
  <c r="F593" i="9"/>
  <c r="G593" i="9"/>
  <c r="F594" i="9"/>
  <c r="G594" i="9"/>
  <c r="F595" i="9"/>
  <c r="G595" i="9"/>
  <c r="F596" i="9"/>
  <c r="G596" i="9"/>
  <c r="F597" i="9"/>
  <c r="G597" i="9"/>
  <c r="F598" i="9"/>
  <c r="G598" i="9"/>
  <c r="F599" i="9"/>
  <c r="G599" i="9"/>
  <c r="F600" i="9"/>
  <c r="G600" i="9"/>
  <c r="F601" i="9"/>
  <c r="G601" i="9"/>
  <c r="F602" i="9"/>
  <c r="G602" i="9"/>
  <c r="F603" i="9"/>
  <c r="G603" i="9"/>
  <c r="F604" i="9"/>
  <c r="G604" i="9"/>
  <c r="F605" i="9"/>
  <c r="G605" i="9"/>
  <c r="F606" i="9"/>
  <c r="G606" i="9"/>
  <c r="F607" i="9"/>
  <c r="G607" i="9"/>
  <c r="F608" i="9"/>
  <c r="G608" i="9"/>
  <c r="F609" i="9"/>
  <c r="G609" i="9"/>
  <c r="F610" i="9"/>
  <c r="G610" i="9"/>
  <c r="F611" i="9"/>
  <c r="G611" i="9"/>
  <c r="F612" i="9"/>
  <c r="G612" i="9"/>
  <c r="F613" i="9"/>
  <c r="G613" i="9"/>
  <c r="F614" i="9"/>
  <c r="G614" i="9"/>
  <c r="F615" i="9"/>
  <c r="G615" i="9"/>
  <c r="F616" i="9"/>
  <c r="G616" i="9"/>
  <c r="F617" i="9"/>
  <c r="G617" i="9"/>
  <c r="F618" i="9"/>
  <c r="G618" i="9"/>
  <c r="F619" i="9"/>
  <c r="G619" i="9"/>
  <c r="F620" i="9"/>
  <c r="G620" i="9"/>
  <c r="F621" i="9"/>
  <c r="G621" i="9"/>
  <c r="F622" i="9"/>
  <c r="G622" i="9"/>
  <c r="F623" i="9"/>
  <c r="G623" i="9"/>
  <c r="F624" i="9"/>
  <c r="G624" i="9"/>
  <c r="F625" i="9"/>
  <c r="G625" i="9"/>
  <c r="F626" i="9"/>
  <c r="G626" i="9"/>
  <c r="F627" i="9"/>
  <c r="G627" i="9"/>
  <c r="F628" i="9"/>
  <c r="G628" i="9"/>
  <c r="F629" i="9"/>
  <c r="G629" i="9"/>
  <c r="F630" i="9"/>
  <c r="G630" i="9"/>
  <c r="F631" i="9"/>
  <c r="G631" i="9"/>
  <c r="F632" i="9"/>
  <c r="G632" i="9"/>
  <c r="F633" i="9"/>
  <c r="G633" i="9"/>
  <c r="F634" i="9"/>
  <c r="G634" i="9"/>
  <c r="F635" i="9"/>
  <c r="G635" i="9"/>
  <c r="F636" i="9"/>
  <c r="G636" i="9"/>
  <c r="F637" i="9"/>
  <c r="G637" i="9"/>
  <c r="F638" i="9"/>
  <c r="G638" i="9"/>
  <c r="F639" i="9"/>
  <c r="G639" i="9"/>
  <c r="F640" i="9"/>
  <c r="G640" i="9"/>
  <c r="F641" i="9"/>
  <c r="G641" i="9"/>
  <c r="F642" i="9"/>
  <c r="G642" i="9"/>
  <c r="F643" i="9"/>
  <c r="G643" i="9"/>
  <c r="F644" i="9"/>
  <c r="G644" i="9"/>
  <c r="F645" i="9"/>
  <c r="G645" i="9"/>
  <c r="F646" i="9"/>
  <c r="G646" i="9"/>
  <c r="F647" i="9"/>
  <c r="G647" i="9"/>
  <c r="F648" i="9"/>
  <c r="G648" i="9"/>
  <c r="F649" i="9"/>
  <c r="G649" i="9"/>
  <c r="F650" i="9"/>
  <c r="G650" i="9"/>
  <c r="F651" i="9"/>
  <c r="G651" i="9"/>
  <c r="F652" i="9"/>
  <c r="G652" i="9"/>
  <c r="F653" i="9"/>
  <c r="G653" i="9"/>
  <c r="F654" i="9"/>
  <c r="G654" i="9"/>
  <c r="F655" i="9"/>
  <c r="G655" i="9"/>
  <c r="F656" i="9"/>
  <c r="G656" i="9"/>
  <c r="F657" i="9"/>
  <c r="G657" i="9"/>
  <c r="F658" i="9"/>
  <c r="G658" i="9"/>
  <c r="F659" i="9"/>
  <c r="G659" i="9"/>
  <c r="F660" i="9"/>
  <c r="G660" i="9"/>
  <c r="F661" i="9"/>
  <c r="G661" i="9"/>
  <c r="F662" i="9"/>
  <c r="G662" i="9"/>
  <c r="F663" i="9"/>
  <c r="G663" i="9"/>
  <c r="F664" i="9"/>
  <c r="G664" i="9"/>
  <c r="F665" i="9"/>
  <c r="G665" i="9"/>
  <c r="F666" i="9"/>
  <c r="G666" i="9"/>
  <c r="F667" i="9"/>
  <c r="G667" i="9"/>
  <c r="F668" i="9"/>
  <c r="G668" i="9"/>
  <c r="F669" i="9"/>
  <c r="G669" i="9"/>
  <c r="F670" i="9"/>
  <c r="G670" i="9"/>
  <c r="F671" i="9"/>
  <c r="G671" i="9"/>
  <c r="F672" i="9"/>
  <c r="G672" i="9"/>
  <c r="F673" i="9"/>
  <c r="G673" i="9"/>
  <c r="F674" i="9"/>
  <c r="G674" i="9"/>
  <c r="F675" i="9"/>
  <c r="G675" i="9"/>
  <c r="F676" i="9"/>
  <c r="G676" i="9"/>
  <c r="F677" i="9"/>
  <c r="G677" i="9"/>
  <c r="F678" i="9"/>
  <c r="G678" i="9"/>
  <c r="F679" i="9"/>
  <c r="G679" i="9"/>
  <c r="F680" i="9"/>
  <c r="G680" i="9"/>
  <c r="F681" i="9"/>
  <c r="G681" i="9"/>
  <c r="F682" i="9"/>
  <c r="G682" i="9"/>
  <c r="F683" i="9"/>
  <c r="G683" i="9"/>
  <c r="F684" i="9"/>
  <c r="G684" i="9"/>
  <c r="F685" i="9"/>
  <c r="G685" i="9"/>
  <c r="F686" i="9"/>
  <c r="G686" i="9"/>
  <c r="F687" i="9"/>
  <c r="G687" i="9"/>
  <c r="F688" i="9"/>
  <c r="G688" i="9"/>
  <c r="F689" i="9"/>
  <c r="G689" i="9"/>
  <c r="F690" i="9"/>
  <c r="G690" i="9"/>
  <c r="F691" i="9"/>
  <c r="G691" i="9"/>
  <c r="F692" i="9"/>
  <c r="G692" i="9"/>
  <c r="F693" i="9"/>
  <c r="G693" i="9"/>
  <c r="F694" i="9"/>
  <c r="G694" i="9"/>
  <c r="F695" i="9"/>
  <c r="G695" i="9"/>
  <c r="F696" i="9"/>
  <c r="G696" i="9"/>
  <c r="F697" i="9"/>
  <c r="G697" i="9"/>
  <c r="F698" i="9"/>
  <c r="G698" i="9"/>
  <c r="F699" i="9"/>
  <c r="G699" i="9"/>
  <c r="F700" i="9"/>
  <c r="G700" i="9"/>
  <c r="F701" i="9"/>
  <c r="G701" i="9"/>
  <c r="F702" i="9"/>
  <c r="G702" i="9"/>
  <c r="F703" i="9"/>
  <c r="G703" i="9"/>
  <c r="F704" i="9"/>
  <c r="G704" i="9"/>
  <c r="F705" i="9"/>
  <c r="G705" i="9"/>
  <c r="F706" i="9"/>
  <c r="G706" i="9"/>
  <c r="F707" i="9"/>
  <c r="G707" i="9"/>
  <c r="F708" i="9"/>
  <c r="G708" i="9"/>
  <c r="F709" i="9"/>
  <c r="G709" i="9"/>
  <c r="F710" i="9"/>
  <c r="G710" i="9"/>
  <c r="F711" i="9"/>
  <c r="G711" i="9"/>
  <c r="F712" i="9"/>
  <c r="G712" i="9"/>
  <c r="F713" i="9"/>
  <c r="G713" i="9"/>
  <c r="F714" i="9"/>
  <c r="G714" i="9"/>
  <c r="F715" i="9"/>
  <c r="G715" i="9"/>
  <c r="F716" i="9"/>
  <c r="G716" i="9"/>
  <c r="F717" i="9"/>
  <c r="G717" i="9"/>
  <c r="F718" i="9"/>
  <c r="G718" i="9"/>
  <c r="F719" i="9"/>
  <c r="G719" i="9"/>
  <c r="F720" i="9"/>
  <c r="G720" i="9"/>
  <c r="F721" i="9"/>
  <c r="G721" i="9"/>
  <c r="F722" i="9"/>
  <c r="G722" i="9"/>
  <c r="F723" i="9"/>
  <c r="G723" i="9"/>
  <c r="F724" i="9"/>
  <c r="G724" i="9"/>
  <c r="F725" i="9"/>
  <c r="G725" i="9"/>
  <c r="F726" i="9"/>
  <c r="G726" i="9"/>
  <c r="F727" i="9"/>
  <c r="G727" i="9"/>
  <c r="F728" i="9"/>
  <c r="G728" i="9"/>
  <c r="F729" i="9"/>
  <c r="G729" i="9"/>
  <c r="F730" i="9"/>
  <c r="G730" i="9"/>
  <c r="F731" i="9"/>
  <c r="G731" i="9"/>
  <c r="F732" i="9"/>
  <c r="G732" i="9"/>
  <c r="F733" i="9"/>
  <c r="G733" i="9"/>
  <c r="F734" i="9"/>
  <c r="G734" i="9"/>
  <c r="F735" i="9"/>
  <c r="G735" i="9"/>
  <c r="F736" i="9"/>
  <c r="G736" i="9"/>
  <c r="F737" i="9"/>
  <c r="G737" i="9"/>
  <c r="F738" i="9"/>
  <c r="G738" i="9"/>
  <c r="F739" i="9"/>
  <c r="G739" i="9"/>
  <c r="F740" i="9"/>
  <c r="G740" i="9"/>
  <c r="F741" i="9"/>
  <c r="G741" i="9"/>
  <c r="F742" i="9"/>
  <c r="G742" i="9"/>
  <c r="F743" i="9"/>
  <c r="G743" i="9"/>
  <c r="F744" i="9"/>
  <c r="G744" i="9"/>
  <c r="F745" i="9"/>
  <c r="G745" i="9"/>
  <c r="F746" i="9"/>
  <c r="G746" i="9"/>
  <c r="F747" i="9"/>
  <c r="G747" i="9"/>
  <c r="F748" i="9"/>
  <c r="G748" i="9"/>
  <c r="F749" i="9"/>
  <c r="G749" i="9"/>
  <c r="F750" i="9"/>
  <c r="G750" i="9"/>
  <c r="F751" i="9"/>
  <c r="G751" i="9"/>
  <c r="F752" i="9"/>
  <c r="G752" i="9"/>
  <c r="F753" i="9"/>
  <c r="G753" i="9"/>
  <c r="F754" i="9"/>
  <c r="G754" i="9"/>
  <c r="F755" i="9"/>
  <c r="G755" i="9"/>
  <c r="F756" i="9"/>
  <c r="G756" i="9"/>
  <c r="F757" i="9"/>
  <c r="G757" i="9"/>
  <c r="F758" i="9"/>
  <c r="G758" i="9"/>
  <c r="F759" i="9"/>
  <c r="G759" i="9"/>
  <c r="F760" i="9"/>
  <c r="G760" i="9"/>
  <c r="F761" i="9"/>
  <c r="G761" i="9"/>
  <c r="F762" i="9"/>
  <c r="G762" i="9"/>
  <c r="F763" i="9"/>
  <c r="G763" i="9"/>
  <c r="F764" i="9"/>
  <c r="G764" i="9"/>
  <c r="F765" i="9"/>
  <c r="G765" i="9"/>
  <c r="F766" i="9"/>
  <c r="G766" i="9"/>
  <c r="F767" i="9"/>
  <c r="G767" i="9"/>
  <c r="F768" i="9"/>
  <c r="G768" i="9"/>
  <c r="F769" i="9"/>
  <c r="G769" i="9"/>
  <c r="F770" i="9"/>
  <c r="G770" i="9"/>
  <c r="F771" i="9"/>
  <c r="G771" i="9"/>
  <c r="F772" i="9"/>
  <c r="G772" i="9"/>
  <c r="F773" i="9"/>
  <c r="G773" i="9"/>
  <c r="F774" i="9"/>
  <c r="G774" i="9"/>
  <c r="F775" i="9"/>
  <c r="G775" i="9"/>
  <c r="F776" i="9"/>
  <c r="G776" i="9"/>
  <c r="F777" i="9"/>
  <c r="G777" i="9"/>
  <c r="F778" i="9"/>
  <c r="G778" i="9"/>
  <c r="F779" i="9"/>
  <c r="G779" i="9"/>
  <c r="F780" i="9"/>
  <c r="G780" i="9"/>
  <c r="F781" i="9"/>
  <c r="G781" i="9"/>
  <c r="F782" i="9"/>
  <c r="G782" i="9"/>
  <c r="F783" i="9"/>
  <c r="G783" i="9"/>
  <c r="F784" i="9"/>
  <c r="G784" i="9"/>
  <c r="F785" i="9"/>
  <c r="G785" i="9"/>
  <c r="F786" i="9"/>
  <c r="G786" i="9"/>
  <c r="F787" i="9"/>
  <c r="G787" i="9"/>
  <c r="F788" i="9"/>
  <c r="G788" i="9"/>
  <c r="F789" i="9"/>
  <c r="G789" i="9"/>
  <c r="F790" i="9"/>
  <c r="G790" i="9"/>
  <c r="F791" i="9"/>
  <c r="G791" i="9"/>
  <c r="F792" i="9"/>
  <c r="G792" i="9"/>
  <c r="F793" i="9"/>
  <c r="G793" i="9"/>
  <c r="F794" i="9"/>
  <c r="G794" i="9"/>
  <c r="F795" i="9"/>
  <c r="G795" i="9"/>
  <c r="F796" i="9"/>
  <c r="G796" i="9"/>
  <c r="F797" i="9"/>
  <c r="G797" i="9"/>
  <c r="F798" i="9"/>
  <c r="G798" i="9"/>
  <c r="F799" i="9"/>
  <c r="G799" i="9"/>
  <c r="F800" i="9"/>
  <c r="G800" i="9"/>
  <c r="F801" i="9"/>
  <c r="G801" i="9"/>
  <c r="F802" i="9"/>
  <c r="G802" i="9"/>
  <c r="F803" i="9"/>
  <c r="G803" i="9"/>
  <c r="F804" i="9"/>
  <c r="G804" i="9"/>
  <c r="F805" i="9"/>
  <c r="G805" i="9"/>
  <c r="F806" i="9"/>
  <c r="G806" i="9"/>
  <c r="F807" i="9"/>
  <c r="G807" i="9"/>
  <c r="F808" i="9"/>
  <c r="G808" i="9"/>
  <c r="F809" i="9"/>
  <c r="G809" i="9"/>
  <c r="F810" i="9"/>
  <c r="G810" i="9"/>
  <c r="F811" i="9"/>
  <c r="G811" i="9"/>
  <c r="F812" i="9"/>
  <c r="G812" i="9"/>
  <c r="F813" i="9"/>
  <c r="G813" i="9"/>
  <c r="F814" i="9"/>
  <c r="G814" i="9"/>
  <c r="F815" i="9"/>
  <c r="G815" i="9"/>
  <c r="F816" i="9"/>
  <c r="G816" i="9"/>
  <c r="F817" i="9"/>
  <c r="G817" i="9"/>
  <c r="F818" i="9"/>
  <c r="G818" i="9"/>
  <c r="F819" i="9"/>
  <c r="G819" i="9"/>
  <c r="F820" i="9"/>
  <c r="G820" i="9"/>
  <c r="F821" i="9"/>
  <c r="G821" i="9"/>
  <c r="F822" i="9"/>
  <c r="G822" i="9"/>
  <c r="F823" i="9"/>
  <c r="G823" i="9"/>
  <c r="F824" i="9"/>
  <c r="G824" i="9"/>
  <c r="F825" i="9"/>
  <c r="G825" i="9"/>
  <c r="F826" i="9"/>
  <c r="G826" i="9"/>
  <c r="F827" i="9"/>
  <c r="G827" i="9"/>
  <c r="F828" i="9"/>
  <c r="G828" i="9"/>
  <c r="F829" i="9"/>
  <c r="G829" i="9"/>
  <c r="F830" i="9"/>
  <c r="G830" i="9"/>
  <c r="F831" i="9"/>
  <c r="G831" i="9"/>
  <c r="F832" i="9"/>
  <c r="G832" i="9"/>
  <c r="F833" i="9"/>
  <c r="G833" i="9"/>
  <c r="F834" i="9"/>
  <c r="G834" i="9"/>
  <c r="F835" i="9"/>
  <c r="G835" i="9"/>
  <c r="F836" i="9"/>
  <c r="G836" i="9"/>
  <c r="F837" i="9"/>
  <c r="G837" i="9"/>
  <c r="F838" i="9"/>
  <c r="G838" i="9"/>
  <c r="F839" i="9"/>
  <c r="G839" i="9"/>
  <c r="F840" i="9"/>
  <c r="G840" i="9"/>
  <c r="F841" i="9"/>
  <c r="G841" i="9"/>
  <c r="F842" i="9"/>
  <c r="G842" i="9"/>
  <c r="F843" i="9"/>
  <c r="G843" i="9"/>
  <c r="F844" i="9"/>
  <c r="G844" i="9"/>
  <c r="F845" i="9"/>
  <c r="G845" i="9"/>
  <c r="F846" i="9"/>
  <c r="G846" i="9"/>
  <c r="F847" i="9"/>
  <c r="G847" i="9"/>
  <c r="F848" i="9"/>
  <c r="G848" i="9"/>
  <c r="F849" i="9"/>
  <c r="G849" i="9"/>
  <c r="F850" i="9"/>
  <c r="G850" i="9"/>
  <c r="F851" i="9"/>
  <c r="G851" i="9"/>
  <c r="F852" i="9"/>
  <c r="G852" i="9"/>
  <c r="F853" i="9"/>
  <c r="G853" i="9"/>
  <c r="F854" i="9"/>
  <c r="G854" i="9"/>
  <c r="F855" i="9"/>
  <c r="G855" i="9"/>
  <c r="F856" i="9"/>
  <c r="G856" i="9"/>
  <c r="F857" i="9"/>
  <c r="G857" i="9"/>
  <c r="F858" i="9"/>
  <c r="G858" i="9"/>
  <c r="F859" i="9"/>
  <c r="G859" i="9"/>
  <c r="F860" i="9"/>
  <c r="G860" i="9"/>
  <c r="F861" i="9"/>
  <c r="G861" i="9"/>
  <c r="F862" i="9"/>
  <c r="G862" i="9"/>
  <c r="F863" i="9"/>
  <c r="G863" i="9"/>
  <c r="F864" i="9"/>
  <c r="G864" i="9"/>
  <c r="F865" i="9"/>
  <c r="G865" i="9"/>
  <c r="F866" i="9"/>
  <c r="G866" i="9"/>
  <c r="F867" i="9"/>
  <c r="G867" i="9"/>
  <c r="F868" i="9"/>
  <c r="G868" i="9"/>
  <c r="F869" i="9"/>
  <c r="G869" i="9"/>
  <c r="F870" i="9"/>
  <c r="G870" i="9"/>
  <c r="F871" i="9"/>
  <c r="G871" i="9"/>
  <c r="F872" i="9"/>
  <c r="G872" i="9"/>
  <c r="F873" i="9"/>
  <c r="G873" i="9"/>
  <c r="F874" i="9"/>
  <c r="G874" i="9"/>
  <c r="F875" i="9"/>
  <c r="G875" i="9"/>
  <c r="F876" i="9"/>
  <c r="G876" i="9"/>
  <c r="F877" i="9"/>
  <c r="G877" i="9"/>
  <c r="F878" i="9"/>
  <c r="G878" i="9"/>
  <c r="F879" i="9"/>
  <c r="G879" i="9"/>
  <c r="F880" i="9"/>
  <c r="G880" i="9"/>
  <c r="F881" i="9"/>
  <c r="G881" i="9"/>
  <c r="F882" i="9"/>
  <c r="G882" i="9"/>
  <c r="F883" i="9"/>
  <c r="G883" i="9"/>
  <c r="F884" i="9"/>
  <c r="G884" i="9"/>
  <c r="F885" i="9"/>
  <c r="G885" i="9"/>
  <c r="F886" i="9"/>
  <c r="G886" i="9"/>
  <c r="F887" i="9"/>
  <c r="G887" i="9"/>
  <c r="F888" i="9"/>
  <c r="G888" i="9"/>
  <c r="F889" i="9"/>
  <c r="G889" i="9"/>
  <c r="F890" i="9"/>
  <c r="G890" i="9"/>
  <c r="F891" i="9"/>
  <c r="G891" i="9"/>
  <c r="F892" i="9"/>
  <c r="G892" i="9"/>
  <c r="F893" i="9"/>
  <c r="G893" i="9"/>
  <c r="F894" i="9"/>
  <c r="G894" i="9"/>
  <c r="F895" i="9"/>
  <c r="G895" i="9"/>
  <c r="F896" i="9"/>
  <c r="G896" i="9"/>
  <c r="F897" i="9"/>
  <c r="G897" i="9"/>
  <c r="F898" i="9"/>
  <c r="G898" i="9"/>
  <c r="F899" i="9"/>
  <c r="G899" i="9"/>
  <c r="F900" i="9"/>
  <c r="G900" i="9"/>
  <c r="F901" i="9"/>
  <c r="G901" i="9"/>
  <c r="F902" i="9"/>
  <c r="G902" i="9"/>
  <c r="F903" i="9"/>
  <c r="G903" i="9"/>
  <c r="F904" i="9"/>
  <c r="G904" i="9"/>
  <c r="F905" i="9"/>
  <c r="G905" i="9"/>
  <c r="F906" i="9"/>
  <c r="G906" i="9"/>
  <c r="F907" i="9"/>
  <c r="G907" i="9"/>
  <c r="F908" i="9"/>
  <c r="G908" i="9"/>
  <c r="F909" i="9"/>
  <c r="G909" i="9"/>
  <c r="F910" i="9"/>
  <c r="G910" i="9"/>
  <c r="F911" i="9"/>
  <c r="G911" i="9"/>
  <c r="F912" i="9"/>
  <c r="G912" i="9"/>
  <c r="F913" i="9"/>
  <c r="G913" i="9"/>
  <c r="F914" i="9"/>
  <c r="G914" i="9"/>
  <c r="F915" i="9"/>
  <c r="G915" i="9"/>
  <c r="F916" i="9"/>
  <c r="G916" i="9"/>
  <c r="F917" i="9"/>
  <c r="G917" i="9"/>
  <c r="F918" i="9"/>
  <c r="G918" i="9"/>
  <c r="F919" i="9"/>
  <c r="G919" i="9"/>
  <c r="F920" i="9"/>
  <c r="G920" i="9"/>
  <c r="F921" i="9"/>
  <c r="G921" i="9"/>
  <c r="F922" i="9"/>
  <c r="G922" i="9"/>
  <c r="F923" i="9"/>
  <c r="G923" i="9"/>
  <c r="F924" i="9"/>
  <c r="G924" i="9"/>
  <c r="F925" i="9"/>
  <c r="G925" i="9"/>
  <c r="F926" i="9"/>
  <c r="G926" i="9"/>
  <c r="F927" i="9"/>
  <c r="G927" i="9"/>
  <c r="F928" i="9"/>
  <c r="G928" i="9"/>
  <c r="F929" i="9"/>
  <c r="G929" i="9"/>
  <c r="F930" i="9"/>
  <c r="G930" i="9"/>
  <c r="F931" i="9"/>
  <c r="G931" i="9"/>
  <c r="F932" i="9"/>
  <c r="G932" i="9"/>
  <c r="F933" i="9"/>
  <c r="G933" i="9"/>
  <c r="F934" i="9"/>
  <c r="G934" i="9"/>
  <c r="F935" i="9"/>
  <c r="G935" i="9"/>
  <c r="F936" i="9"/>
  <c r="G936" i="9"/>
  <c r="F937" i="9"/>
  <c r="G937" i="9"/>
  <c r="F938" i="9"/>
  <c r="G938" i="9"/>
  <c r="F939" i="9"/>
  <c r="G939" i="9"/>
  <c r="F940" i="9"/>
  <c r="G940" i="9"/>
  <c r="F941" i="9"/>
  <c r="G941" i="9"/>
  <c r="F942" i="9"/>
  <c r="G942" i="9"/>
  <c r="F943" i="9"/>
  <c r="G943" i="9"/>
  <c r="F944" i="9"/>
  <c r="G944" i="9"/>
  <c r="F945" i="9"/>
  <c r="G945" i="9"/>
  <c r="F946" i="9"/>
  <c r="G946" i="9"/>
  <c r="F947" i="9"/>
  <c r="G947" i="9"/>
  <c r="F948" i="9"/>
  <c r="G948" i="9"/>
  <c r="F949" i="9"/>
  <c r="G949" i="9"/>
  <c r="F950" i="9"/>
  <c r="G950" i="9"/>
  <c r="F951" i="9"/>
  <c r="G951" i="9"/>
  <c r="F952" i="9"/>
  <c r="G952" i="9"/>
  <c r="F953" i="9"/>
  <c r="G953" i="9"/>
  <c r="F954" i="9"/>
  <c r="G954" i="9"/>
  <c r="F955" i="9"/>
  <c r="G955" i="9"/>
  <c r="F956" i="9"/>
  <c r="G956" i="9"/>
  <c r="F957" i="9"/>
  <c r="G957" i="9"/>
  <c r="F958" i="9"/>
  <c r="G958" i="9"/>
  <c r="F959" i="9"/>
  <c r="G959" i="9"/>
  <c r="F960" i="9"/>
  <c r="G960" i="9"/>
  <c r="F961" i="9"/>
  <c r="G961" i="9"/>
  <c r="F962" i="9"/>
  <c r="G962" i="9"/>
  <c r="F963" i="9"/>
  <c r="G963" i="9"/>
  <c r="F964" i="9"/>
  <c r="G964" i="9"/>
  <c r="F965" i="9"/>
  <c r="G965" i="9"/>
  <c r="F966" i="9"/>
  <c r="G966" i="9"/>
  <c r="F967" i="9"/>
  <c r="G967" i="9"/>
  <c r="F968" i="9"/>
  <c r="G968" i="9"/>
  <c r="F969" i="9"/>
  <c r="G969" i="9"/>
  <c r="F970" i="9"/>
  <c r="G970" i="9"/>
  <c r="F971" i="9"/>
  <c r="G971" i="9"/>
  <c r="F972" i="9"/>
  <c r="G972" i="9"/>
  <c r="F973" i="9"/>
  <c r="G973" i="9"/>
  <c r="F974" i="9"/>
  <c r="G974" i="9"/>
  <c r="F975" i="9"/>
  <c r="G975" i="9"/>
  <c r="F976" i="9"/>
  <c r="G976" i="9"/>
  <c r="F977" i="9"/>
  <c r="G977" i="9"/>
  <c r="F978" i="9"/>
  <c r="G978" i="9"/>
  <c r="F979" i="9"/>
  <c r="G979" i="9"/>
  <c r="F980" i="9"/>
  <c r="G980" i="9"/>
  <c r="F981" i="9"/>
  <c r="G981" i="9"/>
  <c r="F982" i="9"/>
  <c r="G982" i="9"/>
  <c r="F983" i="9"/>
  <c r="G983" i="9"/>
  <c r="F984" i="9"/>
  <c r="G984" i="9"/>
  <c r="F985" i="9"/>
  <c r="G985" i="9"/>
  <c r="F986" i="9"/>
  <c r="G986" i="9"/>
  <c r="F987" i="9"/>
  <c r="G987" i="9"/>
  <c r="F988" i="9"/>
  <c r="G988" i="9"/>
  <c r="F989" i="9"/>
  <c r="G989" i="9"/>
  <c r="F990" i="9"/>
  <c r="G990" i="9"/>
  <c r="F991" i="9"/>
  <c r="G991" i="9"/>
  <c r="F992" i="9"/>
  <c r="G992" i="9"/>
  <c r="F993" i="9"/>
  <c r="G993" i="9"/>
  <c r="F994" i="9"/>
  <c r="G994" i="9"/>
  <c r="F995" i="9"/>
  <c r="G995" i="9"/>
  <c r="F996" i="9"/>
  <c r="G996" i="9"/>
  <c r="F997" i="9"/>
  <c r="G997" i="9"/>
  <c r="F998" i="9"/>
  <c r="G998" i="9"/>
  <c r="F999" i="9"/>
  <c r="G999" i="9"/>
  <c r="F1000" i="9"/>
  <c r="G1000" i="9"/>
  <c r="F1001" i="9"/>
  <c r="G1001" i="9"/>
  <c r="F1002" i="9"/>
  <c r="G1002" i="9"/>
  <c r="F1003" i="9"/>
  <c r="G1003" i="9"/>
  <c r="F1004" i="9"/>
  <c r="G1004" i="9"/>
  <c r="F1005" i="9"/>
  <c r="G1005" i="9"/>
  <c r="F1006" i="9"/>
  <c r="G1006" i="9"/>
  <c r="F1007" i="9"/>
  <c r="G1007" i="9"/>
  <c r="F1008" i="9"/>
  <c r="G1008" i="9"/>
  <c r="F1009" i="9"/>
  <c r="G1009" i="9"/>
  <c r="F1010" i="9"/>
  <c r="G1010" i="9"/>
  <c r="F1011" i="9"/>
  <c r="G1011" i="9"/>
  <c r="F1012" i="9"/>
  <c r="G1012" i="9"/>
  <c r="F1013" i="9"/>
  <c r="G1013" i="9"/>
  <c r="F1014" i="9"/>
  <c r="G1014" i="9"/>
  <c r="F1015" i="9"/>
  <c r="G1015" i="9"/>
  <c r="F1016" i="9"/>
  <c r="G1016" i="9"/>
  <c r="F1017" i="9"/>
  <c r="G1017" i="9"/>
  <c r="F1018" i="9"/>
  <c r="G1018" i="9"/>
  <c r="F1019" i="9"/>
  <c r="G1019" i="9"/>
  <c r="F1020" i="9"/>
  <c r="G1020" i="9"/>
  <c r="F1021" i="9"/>
  <c r="G1021" i="9"/>
  <c r="F1022" i="9"/>
  <c r="G1022" i="9"/>
  <c r="F1023" i="9"/>
  <c r="G1023" i="9"/>
  <c r="F1024" i="9"/>
  <c r="G1024" i="9"/>
  <c r="F1025" i="9"/>
  <c r="G1025" i="9"/>
  <c r="F1026" i="9"/>
  <c r="G1026" i="9"/>
  <c r="F1027" i="9"/>
  <c r="G1027" i="9"/>
  <c r="F1028" i="9"/>
  <c r="G1028" i="9"/>
  <c r="F1029" i="9"/>
  <c r="G1029" i="9"/>
  <c r="F1030" i="9"/>
  <c r="G1030" i="9"/>
  <c r="F1031" i="9"/>
  <c r="G1031" i="9"/>
  <c r="F1032" i="9"/>
  <c r="G1032" i="9"/>
  <c r="F1033" i="9"/>
  <c r="G1033" i="9"/>
  <c r="F1034" i="9"/>
  <c r="G1034" i="9"/>
  <c r="F1035" i="9"/>
  <c r="G1035" i="9"/>
  <c r="F1036" i="9"/>
  <c r="G1036" i="9"/>
  <c r="F1037" i="9"/>
  <c r="G1037" i="9"/>
  <c r="F1038" i="9"/>
  <c r="G1038" i="9"/>
  <c r="F1039" i="9"/>
  <c r="G1039" i="9"/>
  <c r="F1040" i="9"/>
  <c r="G1040" i="9"/>
  <c r="F1041" i="9"/>
  <c r="G1041" i="9"/>
  <c r="F1042" i="9"/>
  <c r="G1042" i="9"/>
  <c r="F1043" i="9"/>
  <c r="G1043" i="9"/>
  <c r="F1044" i="9"/>
  <c r="G1044" i="9"/>
  <c r="F1045" i="9"/>
  <c r="G1045" i="9"/>
  <c r="F1046" i="9"/>
  <c r="G1046" i="9"/>
  <c r="F1047" i="9"/>
  <c r="G1047" i="9"/>
  <c r="F1048" i="9"/>
  <c r="G1048" i="9"/>
  <c r="F1049" i="9"/>
  <c r="G1049" i="9"/>
  <c r="F1050" i="9"/>
  <c r="G1050" i="9"/>
  <c r="F1051" i="9"/>
  <c r="G1051" i="9"/>
  <c r="F1052" i="9"/>
  <c r="G1052" i="9"/>
  <c r="F1053" i="9"/>
  <c r="G1053" i="9"/>
  <c r="F1054" i="9"/>
  <c r="G1054" i="9"/>
  <c r="F1055" i="9"/>
  <c r="G1055" i="9"/>
  <c r="F1056" i="9"/>
  <c r="G1056" i="9"/>
  <c r="F1057" i="9"/>
  <c r="G1057" i="9"/>
  <c r="F1058" i="9"/>
  <c r="G1058" i="9"/>
  <c r="F1059" i="9"/>
  <c r="G1059" i="9"/>
  <c r="F1060" i="9"/>
  <c r="G1060" i="9"/>
  <c r="F1061" i="9"/>
  <c r="G1061" i="9"/>
  <c r="F1062" i="9"/>
  <c r="G1062" i="9"/>
  <c r="F1063" i="9"/>
  <c r="G1063" i="9"/>
  <c r="F1064" i="9"/>
  <c r="G1064" i="9"/>
  <c r="F1065" i="9"/>
  <c r="G1065" i="9"/>
  <c r="F1066" i="9"/>
  <c r="G1066" i="9"/>
  <c r="F1067" i="9"/>
  <c r="G1067" i="9"/>
  <c r="F1068" i="9"/>
  <c r="G1068" i="9"/>
  <c r="F1069" i="9"/>
  <c r="G1069" i="9"/>
  <c r="F1070" i="9"/>
  <c r="G1070" i="9"/>
  <c r="F1071" i="9"/>
  <c r="G1071" i="9"/>
  <c r="F1072" i="9"/>
  <c r="G1072" i="9"/>
  <c r="F1073" i="9"/>
  <c r="G1073" i="9"/>
  <c r="F1074" i="9"/>
  <c r="G1074" i="9"/>
  <c r="F1075" i="9"/>
  <c r="G1075" i="9"/>
  <c r="F1076" i="9"/>
  <c r="G1076" i="9"/>
  <c r="F1077" i="9"/>
  <c r="G1077" i="9"/>
  <c r="F1078" i="9"/>
  <c r="G1078" i="9"/>
  <c r="F1079" i="9"/>
  <c r="G1079" i="9"/>
  <c r="F1080" i="9"/>
  <c r="G1080" i="9"/>
  <c r="F1081" i="9"/>
  <c r="G1081" i="9"/>
  <c r="F1082" i="9"/>
  <c r="G1082" i="9"/>
  <c r="F1083" i="9"/>
  <c r="G1083" i="9"/>
  <c r="F1084" i="9"/>
  <c r="G1084" i="9"/>
  <c r="F1085" i="9"/>
  <c r="G1085" i="9"/>
  <c r="F1086" i="9"/>
  <c r="G1086" i="9"/>
  <c r="F1087" i="9"/>
  <c r="G1087" i="9"/>
  <c r="F1088" i="9"/>
  <c r="G1088" i="9"/>
  <c r="F1089" i="9"/>
  <c r="G1089" i="9"/>
  <c r="F1090" i="9"/>
  <c r="G1090" i="9"/>
  <c r="F1091" i="9"/>
  <c r="G1091" i="9"/>
  <c r="F1092" i="9"/>
  <c r="G1092" i="9"/>
  <c r="F1093" i="9"/>
  <c r="G1093" i="9"/>
  <c r="F1094" i="9"/>
  <c r="G1094" i="9"/>
  <c r="F1095" i="9"/>
  <c r="G1095" i="9"/>
  <c r="F1096" i="9"/>
  <c r="G1096" i="9"/>
  <c r="F1097" i="9"/>
  <c r="G1097" i="9"/>
  <c r="F1098" i="9"/>
  <c r="G1098" i="9"/>
  <c r="F1099" i="9"/>
  <c r="G1099" i="9"/>
  <c r="F1100" i="9"/>
  <c r="G1100" i="9"/>
  <c r="F1101" i="9"/>
  <c r="G1101" i="9"/>
  <c r="F1102" i="9"/>
  <c r="G1102" i="9"/>
  <c r="F1103" i="9"/>
  <c r="G1103" i="9"/>
  <c r="F1104" i="9"/>
  <c r="G1104" i="9"/>
  <c r="F1105" i="9"/>
  <c r="G1105" i="9"/>
  <c r="F1106" i="9"/>
  <c r="G1106" i="9"/>
  <c r="F1107" i="9"/>
  <c r="G1107" i="9"/>
  <c r="F1108" i="9"/>
  <c r="G1108" i="9"/>
  <c r="F1109" i="9"/>
  <c r="G1109" i="9"/>
  <c r="F1110" i="9"/>
  <c r="G1110" i="9"/>
  <c r="F1111" i="9"/>
  <c r="G1111" i="9"/>
  <c r="F1112" i="9"/>
  <c r="G1112" i="9"/>
  <c r="F1113" i="9"/>
  <c r="G1113" i="9"/>
  <c r="F1114" i="9"/>
  <c r="G1114" i="9"/>
  <c r="F1115" i="9"/>
  <c r="G1115" i="9"/>
  <c r="F1116" i="9"/>
  <c r="G1116" i="9"/>
  <c r="F1117" i="9"/>
  <c r="G1117" i="9"/>
  <c r="F1118" i="9"/>
  <c r="G1118" i="9"/>
  <c r="F1119" i="9"/>
  <c r="G1119" i="9"/>
  <c r="F1120" i="9"/>
  <c r="G1120" i="9"/>
  <c r="F1121" i="9"/>
  <c r="G1121" i="9"/>
  <c r="F1122" i="9"/>
  <c r="G1122" i="9"/>
  <c r="F1123" i="9"/>
  <c r="G1123" i="9"/>
  <c r="F1124" i="9"/>
  <c r="G1124" i="9"/>
  <c r="F1125" i="9"/>
  <c r="G1125" i="9"/>
  <c r="F1126" i="9"/>
  <c r="G1126" i="9"/>
  <c r="F1127" i="9"/>
  <c r="G1127" i="9"/>
  <c r="F1128" i="9"/>
  <c r="G1128" i="9"/>
  <c r="F1129" i="9"/>
  <c r="G1129" i="9"/>
  <c r="F1130" i="9"/>
  <c r="G1130" i="9"/>
  <c r="F1131" i="9"/>
  <c r="G1131" i="9"/>
  <c r="F1132" i="9"/>
  <c r="G1132" i="9"/>
  <c r="F1133" i="9"/>
  <c r="G1133" i="9"/>
  <c r="F1134" i="9"/>
  <c r="G1134" i="9"/>
  <c r="F1135" i="9"/>
  <c r="G1135" i="9"/>
  <c r="F1136" i="9"/>
  <c r="G1136" i="9"/>
  <c r="F1137" i="9"/>
  <c r="G1137" i="9"/>
  <c r="F1138" i="9"/>
  <c r="G1138" i="9"/>
  <c r="F1139" i="9"/>
  <c r="G1139" i="9"/>
  <c r="F1140" i="9"/>
  <c r="G1140" i="9"/>
  <c r="F1141" i="9"/>
  <c r="G1141" i="9"/>
  <c r="F1142" i="9"/>
  <c r="G1142" i="9"/>
  <c r="F1143" i="9"/>
  <c r="G1143" i="9"/>
  <c r="F1144" i="9"/>
  <c r="G1144" i="9"/>
  <c r="F1145" i="9"/>
  <c r="G1145" i="9"/>
  <c r="F1146" i="9"/>
  <c r="G1146" i="9"/>
  <c r="F1147" i="9"/>
  <c r="G1147" i="9"/>
  <c r="F1148" i="9"/>
  <c r="G1148" i="9"/>
  <c r="F1149" i="9"/>
  <c r="G1149" i="9"/>
  <c r="F1150" i="9"/>
  <c r="G1150" i="9"/>
  <c r="F1151" i="9"/>
  <c r="G1151" i="9"/>
  <c r="F1152" i="9"/>
  <c r="G1152" i="9"/>
  <c r="F1153" i="9"/>
  <c r="G1153" i="9"/>
  <c r="F1154" i="9"/>
  <c r="G1154" i="9"/>
  <c r="F1155" i="9"/>
  <c r="G1155" i="9"/>
  <c r="F1156" i="9"/>
  <c r="G1156" i="9"/>
  <c r="F1157" i="9"/>
  <c r="G1157" i="9"/>
  <c r="F1158" i="9"/>
  <c r="G1158" i="9"/>
  <c r="F1159" i="9"/>
  <c r="G1159" i="9"/>
  <c r="F1160" i="9"/>
  <c r="G1160" i="9"/>
  <c r="F1161" i="9"/>
  <c r="G1161" i="9"/>
  <c r="F1162" i="9"/>
  <c r="G1162" i="9"/>
  <c r="F1163" i="9"/>
  <c r="G1163" i="9"/>
  <c r="F1164" i="9"/>
  <c r="G1164" i="9"/>
  <c r="F1165" i="9"/>
  <c r="G1165" i="9"/>
  <c r="F1166" i="9"/>
  <c r="G1166" i="9"/>
  <c r="F1167" i="9"/>
  <c r="G1167" i="9"/>
  <c r="F1168" i="9"/>
  <c r="G1168" i="9"/>
  <c r="F1169" i="9"/>
  <c r="G1169" i="9"/>
  <c r="F1170" i="9"/>
  <c r="G1170" i="9"/>
  <c r="F1171" i="9"/>
  <c r="G1171" i="9"/>
  <c r="F1172" i="9"/>
  <c r="G1172" i="9"/>
  <c r="F1173" i="9"/>
  <c r="G1173" i="9"/>
  <c r="F1174" i="9"/>
  <c r="G1174" i="9"/>
  <c r="F1175" i="9"/>
  <c r="G1175" i="9"/>
  <c r="F1176" i="9"/>
  <c r="G1176" i="9"/>
  <c r="F1177" i="9"/>
  <c r="G1177" i="9"/>
  <c r="F1178" i="9"/>
  <c r="G1178" i="9"/>
  <c r="F1179" i="9"/>
  <c r="G1179" i="9"/>
  <c r="F1180" i="9"/>
  <c r="G1180" i="9"/>
  <c r="F1181" i="9"/>
  <c r="G1181" i="9"/>
  <c r="F1182" i="9"/>
  <c r="G1182" i="9"/>
  <c r="F1183" i="9"/>
  <c r="G1183" i="9"/>
  <c r="F1184" i="9"/>
  <c r="G1184" i="9"/>
  <c r="F1185" i="9"/>
  <c r="G1185" i="9"/>
  <c r="F1186" i="9"/>
  <c r="G1186" i="9"/>
  <c r="F1187" i="9"/>
  <c r="G1187" i="9"/>
  <c r="F1188" i="9"/>
  <c r="G1188" i="9"/>
  <c r="F1189" i="9"/>
  <c r="G1189" i="9"/>
  <c r="F1190" i="9"/>
  <c r="G1190" i="9"/>
  <c r="F1191" i="9"/>
  <c r="G1191" i="9"/>
  <c r="F1192" i="9"/>
  <c r="G1192" i="9"/>
  <c r="F1193" i="9"/>
  <c r="G1193" i="9"/>
  <c r="F1194" i="9"/>
  <c r="G1194" i="9"/>
  <c r="F1195" i="9"/>
  <c r="G1195" i="9"/>
  <c r="F1196" i="9"/>
  <c r="G1196" i="9"/>
  <c r="F1197" i="9"/>
  <c r="G1197" i="9"/>
  <c r="F1198" i="9"/>
  <c r="G1198" i="9"/>
  <c r="F1199" i="9"/>
  <c r="G1199" i="9"/>
  <c r="F1200" i="9"/>
  <c r="G1200" i="9"/>
  <c r="F1201" i="9"/>
  <c r="G1201" i="9"/>
  <c r="F1202" i="9"/>
  <c r="G1202" i="9"/>
  <c r="F1203" i="9"/>
  <c r="G1203" i="9"/>
  <c r="F1204" i="9"/>
  <c r="G1204" i="9"/>
  <c r="F1205" i="9"/>
  <c r="G1205" i="9"/>
  <c r="F1206" i="9"/>
  <c r="G1206" i="9"/>
  <c r="F1207" i="9"/>
  <c r="G1207" i="9"/>
  <c r="F1208" i="9"/>
  <c r="G1208" i="9"/>
  <c r="F1209" i="9"/>
  <c r="G1209" i="9"/>
  <c r="F1210" i="9"/>
  <c r="G1210" i="9"/>
  <c r="F1211" i="9"/>
  <c r="G1211" i="9"/>
  <c r="F1212" i="9"/>
  <c r="G1212" i="9"/>
  <c r="F1213" i="9"/>
  <c r="G1213" i="9"/>
  <c r="F1214" i="9"/>
  <c r="G1214" i="9"/>
  <c r="F1215" i="9"/>
  <c r="G1215" i="9"/>
  <c r="F1216" i="9"/>
  <c r="G1216" i="9"/>
  <c r="F1217" i="9"/>
  <c r="G1217" i="9"/>
  <c r="F1218" i="9"/>
  <c r="G1218" i="9"/>
  <c r="F1219" i="9"/>
  <c r="G1219" i="9"/>
  <c r="F1220" i="9"/>
  <c r="G1220" i="9"/>
  <c r="F1221" i="9"/>
  <c r="G1221" i="9"/>
  <c r="F1222" i="9"/>
  <c r="G1222" i="9"/>
  <c r="F1223" i="9"/>
  <c r="G1223" i="9"/>
  <c r="F1224" i="9"/>
  <c r="G1224" i="9"/>
  <c r="F1225" i="9"/>
  <c r="G1225" i="9"/>
  <c r="F1226" i="9"/>
  <c r="G1226" i="9"/>
  <c r="F1227" i="9"/>
  <c r="G1227" i="9"/>
  <c r="F1228" i="9"/>
  <c r="G1228" i="9"/>
  <c r="F1229" i="9"/>
  <c r="G1229" i="9"/>
  <c r="F1230" i="9"/>
  <c r="G1230" i="9"/>
  <c r="F1231" i="9"/>
  <c r="G1231" i="9"/>
  <c r="F1232" i="9"/>
  <c r="G1232" i="9"/>
  <c r="F1233" i="9"/>
  <c r="G1233" i="9"/>
  <c r="F1234" i="9"/>
  <c r="G1234" i="9"/>
  <c r="F1235" i="9"/>
  <c r="G1235" i="9"/>
  <c r="F1236" i="9"/>
  <c r="G1236" i="9"/>
  <c r="F1237" i="9"/>
  <c r="G1237" i="9"/>
  <c r="F1238" i="9"/>
  <c r="G1238" i="9"/>
  <c r="F1239" i="9"/>
  <c r="G1239" i="9"/>
  <c r="F1240" i="9"/>
  <c r="G1240" i="9"/>
  <c r="F1241" i="9"/>
  <c r="G1241" i="9"/>
  <c r="F1242" i="9"/>
  <c r="G1242" i="9"/>
  <c r="F1243" i="9"/>
  <c r="G1243" i="9"/>
  <c r="F1244" i="9"/>
  <c r="G1244" i="9"/>
  <c r="F1245" i="9"/>
  <c r="G1245" i="9"/>
  <c r="F2" i="9"/>
  <c r="G2" i="9"/>
  <c r="F3" i="2"/>
  <c r="H4" i="3"/>
  <c r="G3" i="2"/>
  <c r="F4" i="2"/>
  <c r="L4" i="3"/>
  <c r="G4" i="2"/>
  <c r="K4" i="3"/>
  <c r="F5" i="2"/>
  <c r="P4" i="3"/>
  <c r="G5" i="2"/>
  <c r="O4" i="3"/>
  <c r="F6" i="2"/>
  <c r="D29" i="3"/>
  <c r="G6" i="2"/>
  <c r="C29" i="3"/>
  <c r="F7" i="2"/>
  <c r="H29" i="3"/>
  <c r="G7" i="2"/>
  <c r="G29" i="3"/>
  <c r="G50" i="3" s="1"/>
  <c r="F8" i="2"/>
  <c r="L29" i="3"/>
  <c r="G8" i="2"/>
  <c r="K29" i="3"/>
  <c r="F9" i="2"/>
  <c r="P29" i="3"/>
  <c r="G9" i="2"/>
  <c r="O29" i="3"/>
  <c r="F10" i="2"/>
  <c r="P30" i="3"/>
  <c r="G10" i="2"/>
  <c r="O30" i="3"/>
  <c r="F11" i="2"/>
  <c r="L30" i="3"/>
  <c r="G11" i="2"/>
  <c r="K30" i="3"/>
  <c r="F12" i="2"/>
  <c r="H30" i="3"/>
  <c r="G12" i="2"/>
  <c r="G30" i="3"/>
  <c r="F13" i="2"/>
  <c r="D30" i="3"/>
  <c r="G13" i="2"/>
  <c r="C30" i="3"/>
  <c r="F14" i="2"/>
  <c r="P5" i="3"/>
  <c r="G14" i="2"/>
  <c r="O5" i="3"/>
  <c r="F15" i="2"/>
  <c r="L5" i="3"/>
  <c r="G15" i="2"/>
  <c r="K5" i="3"/>
  <c r="F16" i="2"/>
  <c r="H5" i="3"/>
  <c r="G16" i="2"/>
  <c r="G5" i="3"/>
  <c r="F17" i="2"/>
  <c r="D5" i="3"/>
  <c r="G17" i="2"/>
  <c r="C5" i="3"/>
  <c r="F18" i="2"/>
  <c r="D31" i="3"/>
  <c r="G18" i="2"/>
  <c r="C31" i="3"/>
  <c r="F19" i="2"/>
  <c r="H31" i="3"/>
  <c r="G19" i="2"/>
  <c r="G31" i="3"/>
  <c r="F20" i="2"/>
  <c r="L31" i="3"/>
  <c r="G20" i="2"/>
  <c r="K31" i="3"/>
  <c r="F21" i="2"/>
  <c r="P31" i="3"/>
  <c r="G21" i="2"/>
  <c r="O31" i="3"/>
  <c r="F22" i="2"/>
  <c r="D6" i="3"/>
  <c r="G22" i="2"/>
  <c r="C6" i="3"/>
  <c r="C22" i="3" s="1"/>
  <c r="F23" i="2"/>
  <c r="H6" i="3"/>
  <c r="G23" i="2"/>
  <c r="G6" i="3"/>
  <c r="F24" i="2"/>
  <c r="L6" i="3"/>
  <c r="G24" i="2"/>
  <c r="K6" i="3"/>
  <c r="F25" i="2"/>
  <c r="P6" i="3"/>
  <c r="G25" i="2"/>
  <c r="O6" i="3"/>
  <c r="O22" i="3" s="1"/>
  <c r="F26" i="2"/>
  <c r="P7" i="3"/>
  <c r="G26" i="2"/>
  <c r="O7" i="3"/>
  <c r="F27" i="2"/>
  <c r="L7" i="3"/>
  <c r="G27" i="2"/>
  <c r="K7" i="3"/>
  <c r="F28" i="2"/>
  <c r="H7" i="3"/>
  <c r="G28" i="2"/>
  <c r="G7" i="3"/>
  <c r="F29" i="2"/>
  <c r="D7" i="3"/>
  <c r="G29" i="2"/>
  <c r="C7" i="3"/>
  <c r="F30" i="2"/>
  <c r="P32" i="3"/>
  <c r="G30" i="2"/>
  <c r="O32" i="3"/>
  <c r="F31" i="2"/>
  <c r="L32" i="3"/>
  <c r="G31" i="2"/>
  <c r="K32" i="3"/>
  <c r="F32" i="2"/>
  <c r="H32" i="3"/>
  <c r="G32" i="2"/>
  <c r="G32" i="3"/>
  <c r="F33" i="2"/>
  <c r="D32" i="3"/>
  <c r="G33" i="2"/>
  <c r="C32" i="3"/>
  <c r="F34" i="2"/>
  <c r="H8" i="3"/>
  <c r="G34" i="2"/>
  <c r="G8" i="3"/>
  <c r="F35" i="2"/>
  <c r="D8" i="3"/>
  <c r="G35" i="2"/>
  <c r="C8" i="3"/>
  <c r="F36" i="2"/>
  <c r="P8" i="3"/>
  <c r="G36" i="2"/>
  <c r="O8" i="3"/>
  <c r="F37" i="2"/>
  <c r="L8" i="3"/>
  <c r="G37" i="2"/>
  <c r="K8" i="3"/>
  <c r="F38" i="2"/>
  <c r="H33" i="3"/>
  <c r="G38" i="2"/>
  <c r="G33" i="3"/>
  <c r="F39" i="2"/>
  <c r="D33" i="3"/>
  <c r="G39" i="2"/>
  <c r="C33" i="3"/>
  <c r="F40" i="2"/>
  <c r="P33" i="3"/>
  <c r="G40" i="2"/>
  <c r="O33" i="3"/>
  <c r="F41" i="2"/>
  <c r="L33" i="3"/>
  <c r="G41" i="2"/>
  <c r="K33" i="3"/>
  <c r="F42" i="2"/>
  <c r="L34" i="3"/>
  <c r="G42" i="2"/>
  <c r="K34" i="3"/>
  <c r="F43" i="2"/>
  <c r="P34" i="3"/>
  <c r="G43" i="2"/>
  <c r="O34" i="3"/>
  <c r="F44" i="2"/>
  <c r="D34" i="3"/>
  <c r="G44" i="2"/>
  <c r="C34" i="3"/>
  <c r="F45" i="2"/>
  <c r="H34" i="3"/>
  <c r="G45" i="2"/>
  <c r="G34" i="3"/>
  <c r="F46" i="2"/>
  <c r="L9" i="3"/>
  <c r="G46" i="2"/>
  <c r="K9" i="3"/>
  <c r="F47" i="2"/>
  <c r="P9" i="3"/>
  <c r="G47" i="2"/>
  <c r="O9" i="3"/>
  <c r="F48" i="2"/>
  <c r="G48" i="2"/>
  <c r="C9" i="3"/>
  <c r="F49" i="2"/>
  <c r="H9" i="3"/>
  <c r="G49" i="2"/>
  <c r="G9" i="3"/>
  <c r="F50" i="2"/>
  <c r="H35" i="3"/>
  <c r="G50" i="2"/>
  <c r="G35" i="3"/>
  <c r="F51" i="2"/>
  <c r="D35" i="3"/>
  <c r="G51" i="2"/>
  <c r="C35" i="3"/>
  <c r="F52" i="2"/>
  <c r="P35" i="3"/>
  <c r="G52" i="2"/>
  <c r="O35" i="3"/>
  <c r="F53" i="2"/>
  <c r="L35" i="3"/>
  <c r="G53" i="2"/>
  <c r="K35" i="3"/>
  <c r="F54" i="2"/>
  <c r="H10" i="3"/>
  <c r="G54" i="2"/>
  <c r="G10" i="3"/>
  <c r="F55" i="2"/>
  <c r="D10" i="3"/>
  <c r="G55" i="2"/>
  <c r="C10" i="3"/>
  <c r="F56" i="2"/>
  <c r="P10" i="3"/>
  <c r="G56" i="2"/>
  <c r="O10" i="3"/>
  <c r="F57" i="2"/>
  <c r="L10" i="3"/>
  <c r="G57" i="2"/>
  <c r="K10" i="3"/>
  <c r="F58" i="2"/>
  <c r="L11" i="3"/>
  <c r="G58" i="2"/>
  <c r="K11" i="3"/>
  <c r="F59" i="2"/>
  <c r="P11" i="3"/>
  <c r="G59" i="2"/>
  <c r="O11" i="3"/>
  <c r="F60" i="2"/>
  <c r="D11" i="3"/>
  <c r="G60" i="2"/>
  <c r="C11" i="3"/>
  <c r="F61" i="2"/>
  <c r="H11" i="3"/>
  <c r="G61" i="2"/>
  <c r="G11" i="3"/>
  <c r="F62" i="2"/>
  <c r="L36" i="3"/>
  <c r="G62" i="2"/>
  <c r="K36" i="3"/>
  <c r="F63" i="2"/>
  <c r="P36" i="3"/>
  <c r="G63" i="2"/>
  <c r="O36" i="3"/>
  <c r="F64" i="2"/>
  <c r="D36" i="3"/>
  <c r="G64" i="2"/>
  <c r="C36" i="3"/>
  <c r="F65" i="2"/>
  <c r="H36" i="3"/>
  <c r="G65" i="2"/>
  <c r="G36" i="3"/>
  <c r="F66" i="2"/>
  <c r="L12" i="3"/>
  <c r="G66" i="2"/>
  <c r="K12" i="3"/>
  <c r="F67" i="2"/>
  <c r="P12" i="3"/>
  <c r="G67" i="2"/>
  <c r="O12" i="3"/>
  <c r="F68" i="2"/>
  <c r="D12" i="3"/>
  <c r="G68" i="2"/>
  <c r="C12" i="3"/>
  <c r="F69" i="2"/>
  <c r="H12" i="3"/>
  <c r="G69" i="2"/>
  <c r="G12" i="3"/>
  <c r="F70" i="2"/>
  <c r="L37" i="3"/>
  <c r="G70" i="2"/>
  <c r="K37" i="3"/>
  <c r="F71" i="2"/>
  <c r="P37" i="3"/>
  <c r="G71" i="2"/>
  <c r="O37" i="3"/>
  <c r="O48" i="3" s="1"/>
  <c r="F72" i="2"/>
  <c r="D37" i="3"/>
  <c r="G72" i="2"/>
  <c r="C37" i="3"/>
  <c r="F73" i="2"/>
  <c r="H37" i="3"/>
  <c r="G73" i="2"/>
  <c r="G37" i="3"/>
  <c r="F74" i="2"/>
  <c r="H38" i="3"/>
  <c r="G74" i="2"/>
  <c r="G38" i="3"/>
  <c r="F75" i="2"/>
  <c r="D38" i="3"/>
  <c r="G75" i="2"/>
  <c r="C38" i="3"/>
  <c r="F76" i="2"/>
  <c r="P38" i="3"/>
  <c r="G76" i="2"/>
  <c r="O38" i="3"/>
  <c r="F77" i="2"/>
  <c r="L38" i="3"/>
  <c r="G77" i="2"/>
  <c r="K38" i="3"/>
  <c r="F78" i="2"/>
  <c r="H13" i="3"/>
  <c r="G78" i="2"/>
  <c r="G13" i="3"/>
  <c r="F79" i="2"/>
  <c r="D13" i="3"/>
  <c r="G79" i="2"/>
  <c r="C13" i="3"/>
  <c r="F80" i="2"/>
  <c r="P13" i="3"/>
  <c r="G80" i="2"/>
  <c r="O13" i="3"/>
  <c r="F81" i="2"/>
  <c r="L13" i="3"/>
  <c r="G81" i="2"/>
  <c r="K13" i="3"/>
  <c r="F82" i="2"/>
  <c r="L39" i="3"/>
  <c r="G82" i="2"/>
  <c r="K39" i="3"/>
  <c r="F83" i="2"/>
  <c r="P39" i="3"/>
  <c r="G83" i="2"/>
  <c r="O39" i="3"/>
  <c r="F84" i="2"/>
  <c r="D39" i="3"/>
  <c r="G84" i="2"/>
  <c r="C39" i="3"/>
  <c r="F85" i="2"/>
  <c r="H39" i="3"/>
  <c r="G85" i="2"/>
  <c r="G39" i="3"/>
  <c r="F86" i="2"/>
  <c r="L14" i="3"/>
  <c r="G86" i="2"/>
  <c r="K14" i="3"/>
  <c r="F87" i="2"/>
  <c r="P14" i="3"/>
  <c r="G87" i="2"/>
  <c r="O14" i="3"/>
  <c r="F88" i="2"/>
  <c r="D14" i="3"/>
  <c r="G88" i="2"/>
  <c r="C14" i="3"/>
  <c r="F89" i="2"/>
  <c r="H14" i="3"/>
  <c r="G89" i="2"/>
  <c r="G14" i="3"/>
  <c r="F90" i="2"/>
  <c r="H15" i="3"/>
  <c r="G90" i="2"/>
  <c r="G15" i="3"/>
  <c r="F91" i="2"/>
  <c r="D15" i="3"/>
  <c r="G91" i="2"/>
  <c r="C15" i="3"/>
  <c r="F92" i="2"/>
  <c r="P15" i="3"/>
  <c r="G92" i="2"/>
  <c r="O15" i="3"/>
  <c r="F93" i="2"/>
  <c r="L15" i="3"/>
  <c r="G93" i="2"/>
  <c r="K15" i="3"/>
  <c r="F94" i="2"/>
  <c r="H40" i="3"/>
  <c r="G94" i="2"/>
  <c r="G40" i="3"/>
  <c r="G41" i="3"/>
  <c r="F95" i="2"/>
  <c r="D40" i="3"/>
  <c r="G95" i="2"/>
  <c r="C40" i="3"/>
  <c r="F96" i="2"/>
  <c r="P40" i="3"/>
  <c r="G96" i="2"/>
  <c r="O40" i="3"/>
  <c r="F97" i="2"/>
  <c r="L40" i="3"/>
  <c r="G97" i="2"/>
  <c r="K40" i="3"/>
  <c r="F98" i="2"/>
  <c r="P16" i="3"/>
  <c r="G98" i="2"/>
  <c r="O16" i="3"/>
  <c r="F99" i="2"/>
  <c r="L16" i="3"/>
  <c r="G99" i="2"/>
  <c r="K16" i="3"/>
  <c r="F100" i="2"/>
  <c r="H16" i="3"/>
  <c r="G100" i="2"/>
  <c r="G16" i="3"/>
  <c r="F101" i="2"/>
  <c r="D16" i="3"/>
  <c r="G101" i="2"/>
  <c r="C16" i="3"/>
  <c r="F102" i="2"/>
  <c r="P41" i="3"/>
  <c r="G102" i="2"/>
  <c r="O41" i="3"/>
  <c r="F103" i="2"/>
  <c r="L41" i="3"/>
  <c r="G103" i="2"/>
  <c r="K41" i="3"/>
  <c r="F104" i="2"/>
  <c r="H41" i="3"/>
  <c r="G104" i="2"/>
  <c r="F105" i="2"/>
  <c r="D41" i="3"/>
  <c r="G105" i="2"/>
  <c r="C41" i="3"/>
  <c r="F106" i="2"/>
  <c r="D42" i="3"/>
  <c r="G106" i="2"/>
  <c r="C42" i="3"/>
  <c r="F107" i="2"/>
  <c r="H42" i="3"/>
  <c r="G107" i="2"/>
  <c r="G42" i="3"/>
  <c r="F108" i="2"/>
  <c r="L42" i="3"/>
  <c r="G108" i="2"/>
  <c r="K42" i="3"/>
  <c r="F109" i="2"/>
  <c r="P42" i="3"/>
  <c r="G109" i="2"/>
  <c r="O42" i="3"/>
  <c r="F110" i="2"/>
  <c r="D17" i="3"/>
  <c r="G110" i="2"/>
  <c r="C17" i="3"/>
  <c r="F111" i="2"/>
  <c r="H17" i="3"/>
  <c r="G111" i="2"/>
  <c r="G17" i="3"/>
  <c r="F112" i="2"/>
  <c r="L17" i="3"/>
  <c r="G112" i="2"/>
  <c r="K17" i="3"/>
  <c r="F113" i="2"/>
  <c r="P17" i="3"/>
  <c r="G113" i="2"/>
  <c r="O17" i="3"/>
  <c r="F114" i="2"/>
  <c r="P43" i="3"/>
  <c r="G114" i="2"/>
  <c r="O43" i="3"/>
  <c r="F115" i="2"/>
  <c r="L43" i="3"/>
  <c r="G115" i="2"/>
  <c r="K43" i="3"/>
  <c r="F116" i="2"/>
  <c r="H43" i="3"/>
  <c r="G116" i="2"/>
  <c r="G43" i="3"/>
  <c r="F117" i="2"/>
  <c r="D43" i="3"/>
  <c r="G117" i="2"/>
  <c r="C43" i="3"/>
  <c r="F118" i="2"/>
  <c r="G118" i="2"/>
  <c r="O18" i="3"/>
  <c r="F119" i="2"/>
  <c r="L18" i="3"/>
  <c r="G119" i="2"/>
  <c r="K18" i="3"/>
  <c r="F120" i="2"/>
  <c r="H18" i="3"/>
  <c r="G120" i="2"/>
  <c r="G18" i="3"/>
  <c r="F121" i="2"/>
  <c r="D18" i="3"/>
  <c r="G121" i="2"/>
  <c r="C18" i="3"/>
  <c r="F122" i="2"/>
  <c r="D19" i="3"/>
  <c r="G122" i="2"/>
  <c r="C19" i="3"/>
  <c r="F123" i="2"/>
  <c r="H19" i="3"/>
  <c r="G123" i="2"/>
  <c r="G19" i="3"/>
  <c r="F124" i="2"/>
  <c r="L19" i="3"/>
  <c r="G124" i="2"/>
  <c r="K19" i="3"/>
  <c r="F125" i="2"/>
  <c r="P19" i="3"/>
  <c r="G125" i="2"/>
  <c r="O19" i="3"/>
  <c r="F126" i="2"/>
  <c r="D44" i="3"/>
  <c r="G126" i="2"/>
  <c r="C44" i="3"/>
  <c r="F127" i="2"/>
  <c r="H44" i="3"/>
  <c r="G127" i="2"/>
  <c r="G44" i="3"/>
  <c r="F128" i="2"/>
  <c r="L44" i="3"/>
  <c r="G128" i="2"/>
  <c r="K44" i="3"/>
  <c r="F129" i="2"/>
  <c r="P44" i="3"/>
  <c r="G129" i="2"/>
  <c r="O44" i="3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G2" i="2"/>
  <c r="C4" i="3"/>
  <c r="F2" i="2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2" i="6"/>
  <c r="E1" i="6"/>
  <c r="AG4" i="20"/>
  <c r="AF4" i="20"/>
  <c r="AE4" i="20"/>
  <c r="AD4" i="20"/>
  <c r="AC4" i="20"/>
  <c r="AB4" i="20"/>
  <c r="AE3" i="20"/>
  <c r="AD3" i="20"/>
  <c r="AB3" i="20"/>
  <c r="AA3" i="20"/>
  <c r="AG3" i="20"/>
  <c r="Z2" i="20"/>
  <c r="AG2" i="20"/>
  <c r="AC2" i="20"/>
  <c r="AE9" i="20"/>
  <c r="AC9" i="20"/>
  <c r="AB9" i="20"/>
  <c r="AC8" i="20"/>
  <c r="AB8" i="20"/>
  <c r="AA8" i="20"/>
  <c r="AF8" i="20"/>
  <c r="Z8" i="20"/>
  <c r="AE8" i="20"/>
  <c r="AF7" i="20"/>
  <c r="Z7" i="20"/>
  <c r="AG7" i="20"/>
  <c r="AE7" i="20"/>
  <c r="AD7" i="20"/>
  <c r="AC7" i="20"/>
  <c r="AD6" i="20"/>
  <c r="AC6" i="20"/>
  <c r="AB6" i="20"/>
  <c r="AA6" i="20"/>
  <c r="AF6" i="20"/>
  <c r="Z6" i="20"/>
  <c r="AE6" i="20"/>
  <c r="AB5" i="20"/>
  <c r="AA5" i="20"/>
  <c r="Z5" i="20"/>
  <c r="AF5" i="20"/>
  <c r="AE5" i="20"/>
  <c r="AD5" i="20"/>
  <c r="AG5" i="20"/>
  <c r="AG26" i="20"/>
  <c r="AA26" i="20"/>
  <c r="AB25" i="20"/>
  <c r="AF25" i="20"/>
  <c r="Z25" i="20"/>
  <c r="AB24" i="20"/>
  <c r="Z24" i="20"/>
  <c r="AE24" i="20"/>
  <c r="AG23" i="20"/>
  <c r="AA23" i="20"/>
  <c r="AF23" i="20"/>
  <c r="Z23" i="20"/>
  <c r="AE23" i="20"/>
  <c r="AD23" i="20"/>
  <c r="AC23" i="20"/>
  <c r="AF22" i="20"/>
  <c r="Z22" i="20"/>
  <c r="AE22" i="20"/>
  <c r="AC22" i="20"/>
  <c r="AG22" i="20"/>
  <c r="AC21" i="20"/>
  <c r="AD21" i="20"/>
  <c r="AB21" i="20"/>
  <c r="AA21" i="20"/>
  <c r="AF21" i="20"/>
  <c r="AG21" i="20"/>
  <c r="Z21" i="20"/>
  <c r="AG20" i="20"/>
  <c r="AA20" i="20"/>
  <c r="AB19" i="20"/>
  <c r="AA19" i="20"/>
  <c r="AG19" i="20"/>
  <c r="AF19" i="20"/>
  <c r="Z19" i="20"/>
  <c r="AE19" i="20"/>
  <c r="AA18" i="20"/>
  <c r="Z18" i="20"/>
  <c r="AG18" i="20"/>
  <c r="AF18" i="20"/>
  <c r="AD18" i="20"/>
  <c r="AD17" i="20"/>
  <c r="AC17" i="20"/>
  <c r="AE16" i="20"/>
  <c r="AB16" i="20"/>
  <c r="AD15" i="20"/>
  <c r="AC15" i="20"/>
  <c r="AA15" i="20"/>
  <c r="AF15" i="20"/>
  <c r="Z15" i="20"/>
  <c r="AB15" i="20"/>
  <c r="AG15" i="20"/>
  <c r="AB14" i="20"/>
  <c r="AF14" i="20"/>
  <c r="Z14" i="20"/>
  <c r="AE13" i="20"/>
  <c r="AD13" i="20"/>
  <c r="Z11" i="20"/>
  <c r="Z10" i="20"/>
  <c r="AE10" i="20"/>
  <c r="AD10" i="20"/>
  <c r="AC10" i="20"/>
  <c r="AF10" i="20"/>
  <c r="G4" i="3"/>
  <c r="D4" i="3"/>
  <c r="D9" i="3"/>
  <c r="H12" i="10"/>
  <c r="H4" i="10"/>
  <c r="K9" i="10"/>
  <c r="N4" i="10"/>
  <c r="O25" i="3"/>
  <c r="E4" i="10"/>
  <c r="K12" i="10"/>
  <c r="B17" i="10"/>
  <c r="K6" i="10"/>
  <c r="E12" i="10"/>
  <c r="K4" i="10"/>
  <c r="B16" i="10"/>
  <c r="H16" i="10"/>
  <c r="H18" i="10"/>
  <c r="K5" i="10"/>
  <c r="K10" i="10"/>
  <c r="E9" i="10"/>
  <c r="B5" i="10"/>
  <c r="E6" i="10"/>
  <c r="N6" i="10"/>
  <c r="E11" i="10"/>
  <c r="E3" i="10"/>
  <c r="K16" i="10"/>
  <c r="H10" i="10"/>
  <c r="K11" i="10"/>
  <c r="E10" i="10"/>
  <c r="H17" i="10"/>
  <c r="H5" i="10"/>
  <c r="E17" i="10"/>
  <c r="P18" i="3"/>
  <c r="H6" i="10"/>
  <c r="K17" i="10"/>
  <c r="B9" i="10"/>
  <c r="B6" i="10"/>
  <c r="B12" i="10"/>
  <c r="N3" i="10"/>
  <c r="K15" i="10"/>
  <c r="E18" i="10"/>
  <c r="E16" i="10"/>
  <c r="B18" i="10"/>
  <c r="H11" i="10"/>
  <c r="E15" i="10"/>
  <c r="K3" i="10"/>
  <c r="E5" i="10"/>
  <c r="B11" i="10"/>
  <c r="H15" i="10"/>
  <c r="B10" i="10"/>
  <c r="B4" i="10"/>
  <c r="B3" i="10"/>
  <c r="K18" i="10"/>
  <c r="H9" i="10"/>
  <c r="H3" i="10"/>
  <c r="B15" i="10"/>
  <c r="N5" i="10"/>
  <c r="K50" i="3"/>
  <c r="AF83" i="20" l="1"/>
  <c r="AB83" i="20"/>
  <c r="AE82" i="20"/>
  <c r="AD82" i="20"/>
  <c r="AC82" i="20"/>
  <c r="AA82" i="20"/>
  <c r="AF82" i="20"/>
  <c r="AB82" i="20"/>
  <c r="C24" i="3"/>
  <c r="O23" i="3"/>
  <c r="G49" i="3"/>
  <c r="O49" i="3"/>
  <c r="O47" i="3"/>
  <c r="C25" i="3"/>
  <c r="G22" i="3"/>
  <c r="G23" i="3"/>
  <c r="K49" i="3"/>
  <c r="K23" i="3"/>
  <c r="G24" i="3"/>
  <c r="C23" i="3"/>
  <c r="G47" i="3"/>
  <c r="G48" i="3"/>
  <c r="C49" i="3"/>
  <c r="K48" i="3"/>
  <c r="K47" i="3"/>
  <c r="K25" i="3"/>
  <c r="K22" i="3"/>
  <c r="G25" i="3"/>
  <c r="K24" i="3"/>
  <c r="C48" i="3"/>
  <c r="C47" i="3"/>
  <c r="O24" i="3"/>
  <c r="O50" i="3"/>
  <c r="C50" i="3"/>
  <c r="AA81" i="20"/>
  <c r="Z81" i="20"/>
  <c r="AG81" i="20"/>
  <c r="AE81" i="20"/>
  <c r="AD81" i="20"/>
  <c r="AF81" i="20"/>
  <c r="AB80" i="20"/>
  <c r="Z80" i="20"/>
  <c r="AG80" i="20"/>
  <c r="AD79" i="20"/>
  <c r="AC79" i="20"/>
  <c r="AF78" i="20"/>
  <c r="AE78" i="20"/>
  <c r="AD78" i="20"/>
  <c r="AC78" i="20"/>
  <c r="Z78" i="20"/>
</calcChain>
</file>

<file path=xl/sharedStrings.xml><?xml version="1.0" encoding="utf-8"?>
<sst xmlns="http://schemas.openxmlformats.org/spreadsheetml/2006/main" count="16600" uniqueCount="2881">
  <si>
    <t>matchlink</t>
  </si>
  <si>
    <t>description</t>
  </si>
  <si>
    <t>date</t>
  </si>
  <si>
    <t>time</t>
  </si>
  <si>
    <t>Home_Team</t>
  </si>
  <si>
    <t>Away_Team</t>
  </si>
  <si>
    <t>Round</t>
  </si>
  <si>
    <t>57dotnff3xaafnxfltzt4czdg</t>
  </si>
  <si>
    <t>19:00:00Z</t>
  </si>
  <si>
    <t>3rd Place / Final</t>
  </si>
  <si>
    <t>1wrjcpwj8cv0mb6d4yp67dams</t>
  </si>
  <si>
    <t>21:00:00Z</t>
  </si>
  <si>
    <t>9jubv7maziug1x60neaq76g44</t>
  </si>
  <si>
    <t>Semi Final</t>
  </si>
  <si>
    <t>61zv9h8fu4v0812uihvl7m3h0</t>
  </si>
  <si>
    <t>68n1p6yn5507yxvrrgfzod3bo</t>
  </si>
  <si>
    <t>01:00:00Z</t>
  </si>
  <si>
    <t>Quarter Final</t>
  </si>
  <si>
    <t>4mcheqqscjz2gduxagmcgeyhg</t>
  </si>
  <si>
    <t>3a1xofm1wnspw1952k7e4du6s</t>
  </si>
  <si>
    <t>1ot14rn6x26nlaxaxt27wkrv8</t>
  </si>
  <si>
    <t>20:00:00Z</t>
  </si>
  <si>
    <t>em70mwgw22fdt9i4womogw93o</t>
  </si>
  <si>
    <t>Last 16</t>
  </si>
  <si>
    <t>ceq6z0bte8pgdbc2uwxni0x78</t>
  </si>
  <si>
    <t>16:00:00Z</t>
  </si>
  <si>
    <t>7djxwsgj6k02ts4b8lj2akqok</t>
  </si>
  <si>
    <t>00:00:00Z</t>
  </si>
  <si>
    <t>5fim3od605k9wne6uuiw641ec</t>
  </si>
  <si>
    <t>b083yrj18tbck1z0og2evbhuc</t>
  </si>
  <si>
    <t>9fqb3vpytcmgk9pozahr7iz9w</t>
  </si>
  <si>
    <t>71syco9icpb3gpojexfq9sh04</t>
  </si>
  <si>
    <t>1tfdd32vy6ouod43ek7l7kc9g</t>
  </si>
  <si>
    <t>17:00:00Z</t>
  </si>
  <si>
    <t>3e05jx7evbp03r1yvu3ryg0t0</t>
  </si>
  <si>
    <t>01:30:00Z</t>
  </si>
  <si>
    <t>Last 32</t>
  </si>
  <si>
    <t>c328g6toeflzg65gf28592olw</t>
  </si>
  <si>
    <t>Argentina vs Cabo Verde</t>
  </si>
  <si>
    <t>22:00:00Z</t>
  </si>
  <si>
    <t>Argentina</t>
  </si>
  <si>
    <t>Cabo Verde</t>
  </si>
  <si>
    <t>etsoc4p3zsifly6xks7ossl5g</t>
  </si>
  <si>
    <t>Australia vs Egypt</t>
  </si>
  <si>
    <t>18:00:00Z</t>
  </si>
  <si>
    <t>Australia</t>
  </si>
  <si>
    <t>Egypt</t>
  </si>
  <si>
    <t>1pah6dqrmiqvtouxgbzlzoefo</t>
  </si>
  <si>
    <t>03:00:00Z</t>
  </si>
  <si>
    <t>a9a29jmg821rce6jl07v6rod0</t>
  </si>
  <si>
    <t>23:00:00Z</t>
  </si>
  <si>
    <t>c26uegvn7o8d3uyb04tuuxjbo</t>
  </si>
  <si>
    <t>ef8yvmn1ivhbrnjyj133kf7ys</t>
  </si>
  <si>
    <t>United States vs Bosnia-Herzegovina</t>
  </si>
  <si>
    <t>United States</t>
  </si>
  <si>
    <t>Bosnia-Herzegovina</t>
  </si>
  <si>
    <t>1tges3bmhq44q1m8ojj9fhr10</t>
  </si>
  <si>
    <t>9x9n058kxdo1mmyyd0bngy49g</t>
  </si>
  <si>
    <t>6x9sfww0qsk9jtn9fm6n2qk2c</t>
  </si>
  <si>
    <t>37odjdevbj57umggq3rh1az9w</t>
  </si>
  <si>
    <t>France vs Sweden</t>
  </si>
  <si>
    <t>France</t>
  </si>
  <si>
    <t>Sweden</t>
  </si>
  <si>
    <t>56nac7cdfhydresgbalcg33tg</t>
  </si>
  <si>
    <t>Côte d'Ivoire vs Norway</t>
  </si>
  <si>
    <t>Côte d'Ivoire</t>
  </si>
  <si>
    <t>Norway</t>
  </si>
  <si>
    <t>7hnbukswespa64jtdc81jgetw</t>
  </si>
  <si>
    <t>Netherlands vs Morocco</t>
  </si>
  <si>
    <t>Netherlands</t>
  </si>
  <si>
    <t>Morocco</t>
  </si>
  <si>
    <t>tcobopf76p8yaw9kit3fs8pg</t>
  </si>
  <si>
    <t>Germany vs Paraguay</t>
  </si>
  <si>
    <t>20:30:00Z</t>
  </si>
  <si>
    <t>Germany</t>
  </si>
  <si>
    <t>Paraguay</t>
  </si>
  <si>
    <t>3hsg9oklerq6uua8pos3dmdck</t>
  </si>
  <si>
    <t>Brazil vs Japan</t>
  </si>
  <si>
    <t>Brazil</t>
  </si>
  <si>
    <t>Japan</t>
  </si>
  <si>
    <t>5m9cv89dxqg33qbdgfynvc6c4</t>
  </si>
  <si>
    <t>South Africa vs Canada</t>
  </si>
  <si>
    <t>South Africa</t>
  </si>
  <si>
    <t>Canada</t>
  </si>
  <si>
    <t>94kik3fjes44gzerha1wu2l90</t>
  </si>
  <si>
    <t>Algeria vs Austria</t>
  </si>
  <si>
    <t>02:00:00Z</t>
  </si>
  <si>
    <t>Algeria</t>
  </si>
  <si>
    <t>Austria</t>
  </si>
  <si>
    <t>G3</t>
  </si>
  <si>
    <t>8g2qr1sd0kqxtjcvybdfgzvh0</t>
  </si>
  <si>
    <t>Jordan vs Argentina</t>
  </si>
  <si>
    <t>Jordan</t>
  </si>
  <si>
    <t>emz36epmepynr3ggfksojdmhg</t>
  </si>
  <si>
    <t>Congo DR vs Uzbekistan</t>
  </si>
  <si>
    <t>23:30:00Z</t>
  </si>
  <si>
    <t>Congo DR</t>
  </si>
  <si>
    <t>Uzbekistan</t>
  </si>
  <si>
    <t>dsi0ga8gcy8xcrywdfj3i51qs</t>
  </si>
  <si>
    <t>Colombia vs Portugal</t>
  </si>
  <si>
    <t>Colombia</t>
  </si>
  <si>
    <t>Portugal</t>
  </si>
  <si>
    <t>4n1jg6og0392ta1ncdefsn2tw</t>
  </si>
  <si>
    <t>Croatia vs Ghana</t>
  </si>
  <si>
    <t>Croatia</t>
  </si>
  <si>
    <t>Ghana</t>
  </si>
  <si>
    <t>3t13xxgisfsmlvm62iydvpqms</t>
  </si>
  <si>
    <t>Panama vs England</t>
  </si>
  <si>
    <t>Panama</t>
  </si>
  <si>
    <t>England</t>
  </si>
  <si>
    <t>enyd3pel1z18f8cikzixnwpw4</t>
  </si>
  <si>
    <t>New Zealand vs Belgium</t>
  </si>
  <si>
    <t>New Zealand</t>
  </si>
  <si>
    <t>Belgium</t>
  </si>
  <si>
    <t>ctfvqyihaptbye55z2v5jims</t>
  </si>
  <si>
    <t>Egypt vs IR Iran</t>
  </si>
  <si>
    <t>IR Iran</t>
  </si>
  <si>
    <t>bl0y9cpgj82lun5bhvz8r3u38</t>
  </si>
  <si>
    <t>Cabo Verde vs Saudi Arabia</t>
  </si>
  <si>
    <t>Saudi Arabia</t>
  </si>
  <si>
    <t>ahb6v608gitlu543aevomjuac</t>
  </si>
  <si>
    <t>Uruguay vs Spain</t>
  </si>
  <si>
    <t>Uruguay</t>
  </si>
  <si>
    <t>Spain</t>
  </si>
  <si>
    <t>2bi32jvwjtru3nrkulzx3ip04</t>
  </si>
  <si>
    <t>Senegal vs Iraq</t>
  </si>
  <si>
    <t>Senegal</t>
  </si>
  <si>
    <t>Iraq</t>
  </si>
  <si>
    <t>1fxxfshtg3b7p2ya8789tke8k</t>
  </si>
  <si>
    <t>Norway vs France</t>
  </si>
  <si>
    <t>9784oivu7jkgn66e0pnnsyr6c</t>
  </si>
  <si>
    <t>Paraguay vs Australia</t>
  </si>
  <si>
    <t>8chdphpgdqjkj85rml9odn1uc</t>
  </si>
  <si>
    <t>TÃ¼rkiye vs United States</t>
  </si>
  <si>
    <t>TÃ¼rkiye</t>
  </si>
  <si>
    <t>83o3gqwqwt5c9jskxmcpqjvv8</t>
  </si>
  <si>
    <t>Japan vs Sweden</t>
  </si>
  <si>
    <t>77okx4j2kol5e0806b6xf74lw</t>
  </si>
  <si>
    <t>Tunisia vs Netherlands</t>
  </si>
  <si>
    <t>Tunisia</t>
  </si>
  <si>
    <t>2kh760gcb6c4liigtebtxtus4</t>
  </si>
  <si>
    <t>CuraÃ§ao vs CÃ´te d'Ivoire</t>
  </si>
  <si>
    <t>CuraÃ§ao</t>
  </si>
  <si>
    <t>CÃ´te d'Ivoire</t>
  </si>
  <si>
    <t>1ela50pkr7ho1l8kbj6a1di50</t>
  </si>
  <si>
    <t>Ecuador vs Germany</t>
  </si>
  <si>
    <t>Ecuador</t>
  </si>
  <si>
    <t>ec5p7nsiix511225m4yfqt250</t>
  </si>
  <si>
    <t>South Africa vs Korea Republic</t>
  </si>
  <si>
    <t>Korea Republic</t>
  </si>
  <si>
    <t>d7gajq1bxb1xtvqbuxivlk4r8</t>
  </si>
  <si>
    <t>Czechia vs Mexico</t>
  </si>
  <si>
    <t>Czechia</t>
  </si>
  <si>
    <t>Mexico</t>
  </si>
  <si>
    <t>spvh4xw4rpclalcf1jhsrv2s</t>
  </si>
  <si>
    <t>Scotland vs Brazil</t>
  </si>
  <si>
    <t>Scotland</t>
  </si>
  <si>
    <t>1r744e2q8r9lfwjz888dzxmac</t>
  </si>
  <si>
    <t>Morocco vs Haiti</t>
  </si>
  <si>
    <t>Haiti</t>
  </si>
  <si>
    <t>6eub9tlno07el5y4ajvumqqdw</t>
  </si>
  <si>
    <t>Bosnia-Herzegovina vs Qatar</t>
  </si>
  <si>
    <t>Qatar</t>
  </si>
  <si>
    <t>5irko4jg9o9ixmfz8cu3oxjpw</t>
  </si>
  <si>
    <t>Switzerland vs Canada</t>
  </si>
  <si>
    <t>Switzerland</t>
  </si>
  <si>
    <t>csme1qixbyobvbac3o0td9uz8</t>
  </si>
  <si>
    <t>Colombia vs Congo DR</t>
  </si>
  <si>
    <t>G2</t>
  </si>
  <si>
    <t>2ypodyawtamo2zzadwm42g9hw</t>
  </si>
  <si>
    <t>Panama vs Croatia</t>
  </si>
  <si>
    <t>28702hpanr32no1vpxmxhbok4</t>
  </si>
  <si>
    <t>England vs Ghana</t>
  </si>
  <si>
    <t>bwetcq2x65uyp68uztwcuw9hw</t>
  </si>
  <si>
    <t>Portugal vs Uzbekistan</t>
  </si>
  <si>
    <t>7mw80b82sfqh1le7swr7l8zdg</t>
  </si>
  <si>
    <t>Jordan vs Algeria</t>
  </si>
  <si>
    <t>elv88zog1n9ratzzksyfumtw</t>
  </si>
  <si>
    <t>Norway vs Senegal</t>
  </si>
  <si>
    <t>emsvcmkqvohy5qmhedopxtus4</t>
  </si>
  <si>
    <t>France vs Iraq</t>
  </si>
  <si>
    <t>6zhd6pt8kyzrbkgwq2i2k8u1g</t>
  </si>
  <si>
    <t>Argentina vs Austria</t>
  </si>
  <si>
    <t>ds4dbpzuq9s8a87zc84b58w7o</t>
  </si>
  <si>
    <t>New Zealand vs Egypt</t>
  </si>
  <si>
    <t>9ic1j3k1bvdhabxn5crvsx6ac</t>
  </si>
  <si>
    <t>Uruguay vs Cabo Verde</t>
  </si>
  <si>
    <t>cz84ih3b6irraa24kj6kvtz4k</t>
  </si>
  <si>
    <t>Belgium vs IR Iran</t>
  </si>
  <si>
    <t>8muyl6d5ahy04fbwarplcg3kk</t>
  </si>
  <si>
    <t>Spain vs Saudi Arabia</t>
  </si>
  <si>
    <t>6c7t9tr9b24qfjwphblk6776c</t>
  </si>
  <si>
    <t>Tunisia vs Japan</t>
  </si>
  <si>
    <t>04:00:00Z</t>
  </si>
  <si>
    <t>9erlmm2s3kapioujs9clvcic</t>
  </si>
  <si>
    <t>Ecuador vs CuraÃ§ao</t>
  </si>
  <si>
    <t>ecp6v27q48jj6um9odhcahjbo</t>
  </si>
  <si>
    <t>Germany vs CÃ´te d'Ivoire</t>
  </si>
  <si>
    <t>5nh4gmpiskmsjcy904osi5n2s</t>
  </si>
  <si>
    <t>Netherlands vs Sweden</t>
  </si>
  <si>
    <t>7evssbq9air6phyr658hcanmc</t>
  </si>
  <si>
    <t>TÃ¼rkiye vs Paraguay</t>
  </si>
  <si>
    <t>e6dmlhi5t34w58liv12sp591w</t>
  </si>
  <si>
    <t>Brazil vs Haiti</t>
  </si>
  <si>
    <t>00:30:00Z</t>
  </si>
  <si>
    <t>exuljwp9gd116hkf5sox4q5g4</t>
  </si>
  <si>
    <t>Scotland vs Morocco</t>
  </si>
  <si>
    <t>6dt4a73k05gldmswzc3tgxmvo</t>
  </si>
  <si>
    <t>United States vs Australia</t>
  </si>
  <si>
    <t>bdoe50pj6ug3jrc5to1j8st1w</t>
  </si>
  <si>
    <t>Mexico vs Korea Republic</t>
  </si>
  <si>
    <t>3luqmzpzk0qoh2tc96utv0ges</t>
  </si>
  <si>
    <t>Canada vs Qatar</t>
  </si>
  <si>
    <t>4mov5r6nivdn6dhlmb9hv5q1g</t>
  </si>
  <si>
    <t>Switzerland vs Bosnia-Herzegovina</t>
  </si>
  <si>
    <t>cbn3r0bwd3283f8bj4vuvifis</t>
  </si>
  <si>
    <t>Czechia vs South Africa</t>
  </si>
  <si>
    <t>b6gp5y32kvgossb0feqipr8r8</t>
  </si>
  <si>
    <t>Uzbekistan vs Colombia</t>
  </si>
  <si>
    <t>G1</t>
  </si>
  <si>
    <t>1ewge3gy7siiimkd64tawg1zo</t>
  </si>
  <si>
    <t>Ghana vs Panama</t>
  </si>
  <si>
    <t>jx85i5ao3wvsb8opsu0ic1sk</t>
  </si>
  <si>
    <t>England vs Croatia</t>
  </si>
  <si>
    <t>aa59tfi9hkmjec05olroia13o</t>
  </si>
  <si>
    <t>Portugal vs Congo DR</t>
  </si>
  <si>
    <t>67uqo1wgdcka1yxqltbiqxn9w</t>
  </si>
  <si>
    <t>Austria vs Jordan</t>
  </si>
  <si>
    <t>55108ze2r7d8dgkmcauepuhp0</t>
  </si>
  <si>
    <t>Argentina vs Algeria</t>
  </si>
  <si>
    <t>dk9nrrzts19sez2hpbxx7soic</t>
  </si>
  <si>
    <t>Iraq vs Norway</t>
  </si>
  <si>
    <t>cqsflhc7vaul90l2d4ipzzzmc</t>
  </si>
  <si>
    <t>France vs Senegal</t>
  </si>
  <si>
    <t>c4kuk30dj016i6gjwxw4clnh0</t>
  </si>
  <si>
    <t>IR Iran vs New Zealand</t>
  </si>
  <si>
    <t>6zuh8kndp7mz2j33tqajmos2c</t>
  </si>
  <si>
    <t>Saudi Arabia vs Uruguay</t>
  </si>
  <si>
    <t>aw4mhrfav7b5r7d4lc6dwz1g4</t>
  </si>
  <si>
    <t>Belgium vs Egypt</t>
  </si>
  <si>
    <t>66cem7lh6o8ckkfxp4tao7o5w</t>
  </si>
  <si>
    <t>Spain vs Cabo Verde</t>
  </si>
  <si>
    <t>4v4v3ge0g7tm1w9uzpoehmzh0</t>
  </si>
  <si>
    <t>Sweden vs Tunisia</t>
  </si>
  <si>
    <t>ddupm8zbfndp54r8uru3obf9w</t>
  </si>
  <si>
    <t>CÃ´te d'Ivoire vs Ecuador</t>
  </si>
  <si>
    <t>424kyd0drjm51x8dsauowgpp0</t>
  </si>
  <si>
    <t>Netherlands vs Japan</t>
  </si>
  <si>
    <t>cjc09ujyfc1ks4blsyl8hbfv8</t>
  </si>
  <si>
    <t>Germany vs CuraÃ§ao</t>
  </si>
  <si>
    <t>5d1c5lu90p9hhk82c0kcp05qs</t>
  </si>
  <si>
    <t>Australia vs TÃ¼rkiye</t>
  </si>
  <si>
    <t>cydmo9vjfyvaefav6t1531xck</t>
  </si>
  <si>
    <t>Haiti vs Scotland</t>
  </si>
  <si>
    <t>ar8b186wqraa80u0vpi2e4nis</t>
  </si>
  <si>
    <t>Brazil vs Morocco</t>
  </si>
  <si>
    <t>2lzhf44ic9g2dj0l29fji2xw4</t>
  </si>
  <si>
    <t>Qatar vs Switzerland</t>
  </si>
  <si>
    <t>49wa9ymnt0trv2mjruak556ok</t>
  </si>
  <si>
    <t>United States vs Paraguay</t>
  </si>
  <si>
    <t>y1ow9ht5baxn64i01hq9moes</t>
  </si>
  <si>
    <t>Canada vs Bosnia-Herzegovina</t>
  </si>
  <si>
    <t>9hjlhmip7tn4qgpwr47txpafo</t>
  </si>
  <si>
    <t>Korea Republic vs Czechia</t>
  </si>
  <si>
    <t>4tcpns1nwyc0jtpucgzj9dp90</t>
  </si>
  <si>
    <t>Mexico vs South Africa</t>
  </si>
  <si>
    <t>Pick</t>
  </si>
  <si>
    <t>Manager</t>
  </si>
  <si>
    <t>Player</t>
  </si>
  <si>
    <t>player_id</t>
  </si>
  <si>
    <t>Nation</t>
  </si>
  <si>
    <t>Position</t>
  </si>
  <si>
    <t>Total</t>
  </si>
  <si>
    <t>Bonus</t>
  </si>
  <si>
    <t>Barlow</t>
  </si>
  <si>
    <t>K. Mbappé</t>
  </si>
  <si>
    <t>5e9ilgrz3tzg9kd1gk3yvrahh</t>
  </si>
  <si>
    <t>Taylor</t>
  </si>
  <si>
    <t>H. Kane</t>
  </si>
  <si>
    <t>b9g4qurpll4wizajo95c406hh</t>
  </si>
  <si>
    <t>Ian</t>
  </si>
  <si>
    <t>Mikel Oyarzabal</t>
  </si>
  <si>
    <t>b45ryclny991bm7qosieyg1cl</t>
  </si>
  <si>
    <t>Will T</t>
  </si>
  <si>
    <t>Lamine Yamal</t>
  </si>
  <si>
    <t>abr79wsl0folgkyvl821ggs2c</t>
  </si>
  <si>
    <t>Joe</t>
  </si>
  <si>
    <t>O. Dembélé</t>
  </si>
  <si>
    <t>ckaqxlw257qzj8vjdumvwbaad</t>
  </si>
  <si>
    <t>Dan</t>
  </si>
  <si>
    <t>L. Messi</t>
  </si>
  <si>
    <t>c5ryhn04g9goikd0blmh83aol</t>
  </si>
  <si>
    <t>Andy</t>
  </si>
  <si>
    <t>Bruno Fernandes</t>
  </si>
  <si>
    <t>3vtjjrqof5z2tjj84ehadqc45</t>
  </si>
  <si>
    <t>Will S</t>
  </si>
  <si>
    <t>Cristiano Ronaldo</t>
  </si>
  <si>
    <t>h17s3qts1dz1zqjw19jazzkl</t>
  </si>
  <si>
    <t>K. Havertz</t>
  </si>
  <si>
    <t>ed20ebhqi5c32vbbsze8r6yuh</t>
  </si>
  <si>
    <t>J. Alvarez</t>
  </si>
  <si>
    <t>9ikkuxd19avliz1khcrm82gyy</t>
  </si>
  <si>
    <t>Raphinha</t>
  </si>
  <si>
    <t>2wl6h1rlrfnn2mr65vuo3t815</t>
  </si>
  <si>
    <t>Vinícius Júnior</t>
  </si>
  <si>
    <t>b4witgokm49tidm1a83qcvbop</t>
  </si>
  <si>
    <t>E. Haaland</t>
  </si>
  <si>
    <t>atzboo800gv7gic2rgvgo0kq1</t>
  </si>
  <si>
    <t>M. Olise</t>
  </si>
  <si>
    <t>m2c4lckkcr7yilnqxrrsgh2i</t>
  </si>
  <si>
    <t>S. McTominay</t>
  </si>
  <si>
    <t>9fvo9v5e9r0ptibied6ejv3zd</t>
  </si>
  <si>
    <t>J. Bellingham</t>
  </si>
  <si>
    <t>e83ula4wockmc2xid7185kcq2</t>
  </si>
  <si>
    <t>Gabriel Magalhães</t>
  </si>
  <si>
    <t>8libvn3hxypz8x7gm4mr7kj55</t>
  </si>
  <si>
    <t>L. Sané</t>
  </si>
  <si>
    <t>4603xrdk721lqhd1ejn62x5n9</t>
  </si>
  <si>
    <t>B. Saka</t>
  </si>
  <si>
    <t>8tc7dcuwdeqbjgt7vw5p38xgq</t>
  </si>
  <si>
    <t>J. Musiala</t>
  </si>
  <si>
    <t>bhsdzppop8jwjsxwftizot1t6</t>
  </si>
  <si>
    <t>K. De Bruyne</t>
  </si>
  <si>
    <t>c2jqa9vozhqu7x79h5rr2n1ed</t>
  </si>
  <si>
    <t>J. Doku</t>
  </si>
  <si>
    <t>85gmjxvy1g5aj1lcizegwuaui</t>
  </si>
  <si>
    <t>F. Wirtz</t>
  </si>
  <si>
    <t>2k5g68ywtr79lc45wozvifqlm</t>
  </si>
  <si>
    <t>E. Fernández</t>
  </si>
  <si>
    <t>1zxwich342p8fholev7ddkwh6</t>
  </si>
  <si>
    <t>Pedri</t>
  </si>
  <si>
    <t>4ftlhtels58lyzfluwofzwxuy</t>
  </si>
  <si>
    <t>A. Hakimi</t>
  </si>
  <si>
    <t>1vr896w03yky9kmu8x5tjkicp</t>
  </si>
  <si>
    <t>J. Pickford</t>
  </si>
  <si>
    <t>e8dina16u5kt5ho4u5igtmimt</t>
  </si>
  <si>
    <t>T. Hernández</t>
  </si>
  <si>
    <t>3tpmw6tlijytn0ahwztvedkut</t>
  </si>
  <si>
    <t>R. Cherki</t>
  </si>
  <si>
    <t>1ehcji0j9s8b0qsj8v5zinjvu</t>
  </si>
  <si>
    <t>E. Martínez</t>
  </si>
  <si>
    <t>3zl1q2gk6tdmzirsyfgm38no5</t>
  </si>
  <si>
    <t>J. Kimmich</t>
  </si>
  <si>
    <t>97nv3y9z2ajz6b4ynoo0jn3kl</t>
  </si>
  <si>
    <t>T. Courtois</t>
  </si>
  <si>
    <t>6crmq7vzqts58wg196q48sc7p</t>
  </si>
  <si>
    <t>Nico Williams</t>
  </si>
  <si>
    <t>66jotyvbhtz5cjvhbby6luelm</t>
  </si>
  <si>
    <t>João Cancelo</t>
  </si>
  <si>
    <t>29pq64smaxdwlraopnxoleqxh</t>
  </si>
  <si>
    <t>N. O'Reilly</t>
  </si>
  <si>
    <t>drh7wx5zz8c4dwa9o8mrigjro</t>
  </si>
  <si>
    <t>Unai Simón</t>
  </si>
  <si>
    <t>4vlurpsi44g09g159t61u83bp</t>
  </si>
  <si>
    <t>D. Doué</t>
  </si>
  <si>
    <t>dzv5f93w5fsnfzohaev6e3rx0</t>
  </si>
  <si>
    <t>M. Guéhi</t>
  </si>
  <si>
    <t>9ipux4xiejibplsbbhqz8d5gp</t>
  </si>
  <si>
    <t>J. Koundé</t>
  </si>
  <si>
    <t>cscn06kwqfzo09h0dc5ybt1pl</t>
  </si>
  <si>
    <t>L. Díaz</t>
  </si>
  <si>
    <t>5ch0r2awkzjfd4hv6kbw6c9gp</t>
  </si>
  <si>
    <t>V. van Dijk</t>
  </si>
  <si>
    <t>dxze3b3fsfl814bjcs7q6wcet</t>
  </si>
  <si>
    <t>Nuno Mendes</t>
  </si>
  <si>
    <t>d3dv3vc71981v5oems59892sq</t>
  </si>
  <si>
    <t>Rafael Leão</t>
  </si>
  <si>
    <t>11o903vztwpnmvgrinn208qnd</t>
  </si>
  <si>
    <t>M. Maignan</t>
  </si>
  <si>
    <t>3fpnfgoy4lbpapv2th6g60cet</t>
  </si>
  <si>
    <t>Marc Cucurella</t>
  </si>
  <si>
    <t>7c2wnewpcf1idj6ghj6gu0wyd</t>
  </si>
  <si>
    <t>Alisson Becker</t>
  </si>
  <si>
    <t>53d0pvr7ylvfhp6p749iniqc5</t>
  </si>
  <si>
    <t>Lautaro Martínez</t>
  </si>
  <si>
    <t>7r2tgpdrr4v6n9d2gkzwmlazt</t>
  </si>
  <si>
    <t>W. Saliba</t>
  </si>
  <si>
    <t>65rqu55qbzswixgqw2efna06i</t>
  </si>
  <si>
    <t>Aymeric Laporte</t>
  </si>
  <si>
    <t>7fmpgkx58o9pivo2bbnxxkt05</t>
  </si>
  <si>
    <t>D. Rice</t>
  </si>
  <si>
    <t>6jgocc12bori2wygyu07c082x</t>
  </si>
  <si>
    <t>M. Neuer</t>
  </si>
  <si>
    <t>64pzn3jdqo6y2izlpm8n3tvpx</t>
  </si>
  <si>
    <t>Rodri</t>
  </si>
  <si>
    <t>dqfk7czrayirrvonirtk2mk15</t>
  </si>
  <si>
    <t>C. Pulisic</t>
  </si>
  <si>
    <t>93soe2rjn0z874cc9ofcesgkp</t>
  </si>
  <si>
    <t>F. Valverde</t>
  </si>
  <si>
    <t>1i9wi65k2foqwudeqiyih87hl</t>
  </si>
  <si>
    <t>D. Raum</t>
  </si>
  <si>
    <t>2uz1cmslnjjzsgfcgji26kqg9</t>
  </si>
  <si>
    <t>V. Gyökeres</t>
  </si>
  <si>
    <t>73xu8dfkmgivh8l71hkqfe6sp</t>
  </si>
  <si>
    <t>J. Gvardiol</t>
  </si>
  <si>
    <t>9prtaifv6stlujgywgq4wd08a</t>
  </si>
  <si>
    <t>E. Anderson</t>
  </si>
  <si>
    <t>exzca2akgjl00jfd2hzh33h7t</t>
  </si>
  <si>
    <t>Alejandro Grimaldo</t>
  </si>
  <si>
    <t>12f4mz064elnxecq2srl7r6j9</t>
  </si>
  <si>
    <t>Matheus Cunha</t>
  </si>
  <si>
    <t>9rm3r46uzxlmuqnp0jo4danhm</t>
  </si>
  <si>
    <t>Pedro Porro</t>
  </si>
  <si>
    <t>77yaqzy45dxtzicao00jxrlgq</t>
  </si>
  <si>
    <t>C. Gakpo</t>
  </si>
  <si>
    <t>9psfk94nduz6icnuwty5v9all</t>
  </si>
  <si>
    <t>Marcos Llorente</t>
  </si>
  <si>
    <t>amxunh6enoc99r07cp7qt621h</t>
  </si>
  <si>
    <t>Bruno Guimarães</t>
  </si>
  <si>
    <t>72m84nwa6dshu3ibmy13dz5rd</t>
  </si>
  <si>
    <t>Bernardo Silva</t>
  </si>
  <si>
    <t>b3974hgsmyff5xtq7qf1onhlh</t>
  </si>
  <si>
    <t>A. Tchouaméni</t>
  </si>
  <si>
    <t>aipyotc87m5bdvmvizd5n69k9</t>
  </si>
  <si>
    <t>D. Núñez</t>
  </si>
  <si>
    <t>5e300bc3sbmy6iqpvmic34qju</t>
  </si>
  <si>
    <t>M. Ødegaard</t>
  </si>
  <si>
    <t>b1lcxeihx8z6pfv1jef4j5jh1</t>
  </si>
  <si>
    <t>Mohamed Salah</t>
  </si>
  <si>
    <t>5ilkkfbsss0bxd6ttdlqg0uz9</t>
  </si>
  <si>
    <t>A. Mac Allister</t>
  </si>
  <si>
    <t>am6ppbdrbz4ml3xsbty53o73d</t>
  </si>
  <si>
    <t>Alex Sandro</t>
  </si>
  <si>
    <t>2raf0uw5y2kajde0v60l4g1qt</t>
  </si>
  <si>
    <t>N. Tagliafico</t>
  </si>
  <si>
    <t>40hu79d2a4k94nc52z7dblpsl</t>
  </si>
  <si>
    <t>João Neves</t>
  </si>
  <si>
    <t>929ho421g2zacylfc97m23uac</t>
  </si>
  <si>
    <t>B. Díaz</t>
  </si>
  <si>
    <t>3jln1gzc0859ymphvq83i0mp5</t>
  </si>
  <si>
    <t>D. Dumfries</t>
  </si>
  <si>
    <t>2r6hs8npijvt4wekd059t6tx</t>
  </si>
  <si>
    <t>M. De Cuyper</t>
  </si>
  <si>
    <t>bjhjz96omjukrg6tj3mny39t6</t>
  </si>
  <si>
    <t>A. Güler</t>
  </si>
  <si>
    <t>39gif4xfy8xddarasbsad56ok</t>
  </si>
  <si>
    <t>A. Rüdiger</t>
  </si>
  <si>
    <t>6fzbp94hf19ysotdassrqdc5x</t>
  </si>
  <si>
    <t>D. Ndoye</t>
  </si>
  <si>
    <t>ex10o77wnk1exp9tj1t1rqj56</t>
  </si>
  <si>
    <t>Son Heung-Min</t>
  </si>
  <si>
    <t>12ekwo6gbza410blv4b4r7ydx</t>
  </si>
  <si>
    <t>E. Konsa</t>
  </si>
  <si>
    <t>8qys6qtdwgsycxducl062zld5</t>
  </si>
  <si>
    <t>C. Romero</t>
  </si>
  <si>
    <t>2w7i4jfw5wgh3j2wuworoumeh</t>
  </si>
  <si>
    <t>S. Mané</t>
  </si>
  <si>
    <t>cotiiu6mjkfx5xa63nhfbdf4l</t>
  </si>
  <si>
    <t>Y. Tielemans</t>
  </si>
  <si>
    <t>eo4uva2gnx08xdazfaqzyz2dx</t>
  </si>
  <si>
    <t>R. James</t>
  </si>
  <si>
    <t>dczrgxyolp7lcz413wkz7ap61</t>
  </si>
  <si>
    <t>Marquinhos</t>
  </si>
  <si>
    <t>8z0395s37qe2lqi9qsvyskgk5</t>
  </si>
  <si>
    <t>J. Stones</t>
  </si>
  <si>
    <t>3gem1jrrkgye0omb88fk1lsk5</t>
  </si>
  <si>
    <t>A. Robinson</t>
  </si>
  <si>
    <t>bgc1psqiv7vagmphfl920nbah</t>
  </si>
  <si>
    <t>L. Vušković</t>
  </si>
  <si>
    <t>81qmlg0ttijhkywm55ejdr40k</t>
  </si>
  <si>
    <t>L. Trossard</t>
  </si>
  <si>
    <t>8qwpdf5jof7o6yy47v6iv11hx</t>
  </si>
  <si>
    <t>Rúben Dias</t>
  </si>
  <si>
    <t>2t5s4f41jefzuzth0bhcixtcl</t>
  </si>
  <si>
    <t>M. van de Ven</t>
  </si>
  <si>
    <t>Diogo Costa</t>
  </si>
  <si>
    <t>d79vlrccz170hzdh35nhsf1ed</t>
  </si>
  <si>
    <t>D. Upamecano</t>
  </si>
  <si>
    <t>x4qyxhfr2vi007sazoqe5vit</t>
  </si>
  <si>
    <t>Pau Cubarsí</t>
  </si>
  <si>
    <t>bkwxem45cf48k14euwqe7rs44</t>
  </si>
  <si>
    <t>F. de Jong</t>
  </si>
  <si>
    <t>ezviixcyaaj162saxs2yl27s9</t>
  </si>
  <si>
    <t>Kim Min-Jae</t>
  </si>
  <si>
    <t>2p1pns6j6id4nx3nbi7fv0wrt</t>
  </si>
  <si>
    <t>R. Gravenberch</t>
  </si>
  <si>
    <t>5ga7g20wsa7oqjbh4ijoeknl6</t>
  </si>
  <si>
    <t>Lisandro Martínez</t>
  </si>
  <si>
    <t>b17tkj4ea4jld8yupekcolall</t>
  </si>
  <si>
    <t>B. Barcola</t>
  </si>
  <si>
    <t>a71n80h977h7fu99ftnri5zsa</t>
  </si>
  <si>
    <t>Fabián Ruiz</t>
  </si>
  <si>
    <t>f3v58fkymhrprt5gs0ccm29xx</t>
  </si>
  <si>
    <t>M. Depay</t>
  </si>
  <si>
    <t>b37h0rc96jh4e34x6iru2plud</t>
  </si>
  <si>
    <t>J. Tah</t>
  </si>
  <si>
    <t>5ec2ede9uwbft3wby33mwowyd</t>
  </si>
  <si>
    <t>A. Davies</t>
  </si>
  <si>
    <t>582uvj0i3dvm0zwbou9q68pgp</t>
  </si>
  <si>
    <t>R. Jiménez</t>
  </si>
  <si>
    <t>5wa8lzp50ccfhxg3j4f65gt79</t>
  </si>
  <si>
    <t>Ferran Torres</t>
  </si>
  <si>
    <t>2szgrzcosfeifh664tgt3mfvt</t>
  </si>
  <si>
    <t>N. Schlotterbeck</t>
  </si>
  <si>
    <t>d5mck7rf48chzersephpx29d5</t>
  </si>
  <si>
    <t>M. Rogers</t>
  </si>
  <si>
    <t>2eayhzdix8knmn810sbngsdt5</t>
  </si>
  <si>
    <t>Ederson</t>
  </si>
  <si>
    <t>23637o19ff0sw18pqv8g96ndh</t>
  </si>
  <si>
    <t>M. Rashford</t>
  </si>
  <si>
    <t>604osk9a3lxpfpkavuziqmn6x</t>
  </si>
  <si>
    <t>A. Nusa</t>
  </si>
  <si>
    <t>8mkkchf0ysdf78r0lncd73klw</t>
  </si>
  <si>
    <t>A. Isak</t>
  </si>
  <si>
    <t>7x6mnev1ob4u5ffmdsvusb4rt</t>
  </si>
  <si>
    <t>B. Verbruggen</t>
  </si>
  <si>
    <t>3wwi5vf2l1qbz7e5zdjoy8yga</t>
  </si>
  <si>
    <t>G. Kobel</t>
  </si>
  <si>
    <t>9rjd95oqotnalxmv56v7p1r6d</t>
  </si>
  <si>
    <t>N. Molina</t>
  </si>
  <si>
    <t>ieu0x9fy8hpqyztdjg8bgpnt</t>
  </si>
  <si>
    <t>L. Goretzka</t>
  </si>
  <si>
    <t>4w4ldzomkj7fhrc51iimz8no5</t>
  </si>
  <si>
    <t>M. Freese</t>
  </si>
  <si>
    <t>8jcyfhvczj2dw1gmxrmna2609</t>
  </si>
  <si>
    <t>O. Watkins</t>
  </si>
  <si>
    <t>5m0j33eoa5c8pqlr0tdf7undh</t>
  </si>
  <si>
    <t>Z. Suzuki</t>
  </si>
  <si>
    <t>2mfunwzltzdnmzlcjyvx752i</t>
  </si>
  <si>
    <t>Dani Olmo</t>
  </si>
  <si>
    <t>4gq1u1mqg0qzekh1u5djleeax</t>
  </si>
  <si>
    <t>Y. Bounou</t>
  </si>
  <si>
    <t>c9cp6fxbxyc2a3kfotkompxx</t>
  </si>
  <si>
    <t>D. Muñoz</t>
  </si>
  <si>
    <t>3yb66hal4fvr04bawz0y3efhl</t>
  </si>
  <si>
    <t>D. Livaković</t>
  </si>
  <si>
    <t>2e50rmuo2tdgksugzudbjankl</t>
  </si>
  <si>
    <t>R. Mofokeng</t>
  </si>
  <si>
    <t>cvj94urofvi1bsumwo717h9n8</t>
  </si>
  <si>
    <t>David Raya</t>
  </si>
  <si>
    <t>4iijb6llnz28unsz4rirr3umt</t>
  </si>
  <si>
    <t>Danilo</t>
  </si>
  <si>
    <t>8yv9xuzriaecvvssfm8dlmz85</t>
  </si>
  <si>
    <t>I. Sangaré</t>
  </si>
  <si>
    <t>1abb1gcw7arw1nkbuxnccjca1</t>
  </si>
  <si>
    <t>R. Lukaku</t>
  </si>
  <si>
    <t>8qgbxff7xlg0zjtyees7ljljp</t>
  </si>
  <si>
    <t>F. Nmecha</t>
  </si>
  <si>
    <t>6384gzzxuxs6pvmrn8qx4d7u1</t>
  </si>
  <si>
    <t>N. Brown</t>
  </si>
  <si>
    <t>cr4e64yry1ttwcjxh2klb4ui2</t>
  </si>
  <si>
    <t>J. Manzambi</t>
  </si>
  <si>
    <t>6g4cnzr3dh0veul5svzkhmxw4</t>
  </si>
  <si>
    <t>S. Dest</t>
  </si>
  <si>
    <t>b0me6l44boibnwpbtasxoy02x</t>
  </si>
  <si>
    <t>B. Brobbey</t>
  </si>
  <si>
    <t>9c2i7ddl2uh7kuhwq62klkyui</t>
  </si>
  <si>
    <t>R. De Paul</t>
  </si>
  <si>
    <t>3ga7qj3h3dbmqucxmaxhmrjdh</t>
  </si>
  <si>
    <t>R. Vargas</t>
  </si>
  <si>
    <t>F. Medina</t>
  </si>
  <si>
    <t>Goalkeeper</t>
  </si>
  <si>
    <t>Melvin Feyçal Mastil</t>
  </si>
  <si>
    <t>M. Mastil</t>
  </si>
  <si>
    <t>Luca Zinedine Zidane Fernández</t>
  </si>
  <si>
    <t>L. Zidane</t>
  </si>
  <si>
    <t>Oussama Benbot</t>
  </si>
  <si>
    <t>O. Benbot</t>
  </si>
  <si>
    <t>Defender</t>
  </si>
  <si>
    <t>Aïssa Mandi</t>
  </si>
  <si>
    <t>A. Mandi</t>
  </si>
  <si>
    <t>Rayan Aït-Nouri</t>
  </si>
  <si>
    <t>R. Aït-Nouri</t>
  </si>
  <si>
    <t>Achref Abada</t>
  </si>
  <si>
    <t>A. Abada</t>
  </si>
  <si>
    <t>Rafik Belghali</t>
  </si>
  <si>
    <t>R. Belghali</t>
  </si>
  <si>
    <t>Mohamed Amine Tougai</t>
  </si>
  <si>
    <t>M. Tougai</t>
  </si>
  <si>
    <t>Amir Selmane Ramy Bensebaini</t>
  </si>
  <si>
    <t>R. Bensebaini</t>
  </si>
  <si>
    <t>Zineddine Belaïd</t>
  </si>
  <si>
    <t>Z. Belaïd</t>
  </si>
  <si>
    <t>Samir Sophian Chergui</t>
  </si>
  <si>
    <t>S. Chergui</t>
  </si>
  <si>
    <t>Jaouen Djimmy Hadjam</t>
  </si>
  <si>
    <t>J. Hadjam</t>
  </si>
  <si>
    <t>Midfielder</t>
  </si>
  <si>
    <t>Ramiz Larbi Zerrouki</t>
  </si>
  <si>
    <t>R. Zerrouki</t>
  </si>
  <si>
    <t>Nabil Bentaleb</t>
  </si>
  <si>
    <t>N. Bentaleb</t>
  </si>
  <si>
    <t>Houssem-Eddine Chaâbane Aouar</t>
  </si>
  <si>
    <t>H. Aouar</t>
  </si>
  <si>
    <t>Ibrahim Maza</t>
  </si>
  <si>
    <t>I. Maza</t>
  </si>
  <si>
    <t>Farès Chaïbi</t>
  </si>
  <si>
    <t>F. Chaïbi</t>
  </si>
  <si>
    <t>Yacine Mohammed El Ghazali Titraoui</t>
  </si>
  <si>
    <t>Y. Titraoui</t>
  </si>
  <si>
    <t>Hicham Boudaoui</t>
  </si>
  <si>
    <t>H. Boudaoui</t>
  </si>
  <si>
    <t>Forward</t>
  </si>
  <si>
    <t>Riyad Karim Mahrez</t>
  </si>
  <si>
    <t>R. Mahrez</t>
  </si>
  <si>
    <t>Mohammed El Amine Amoura</t>
  </si>
  <si>
    <t>M. Amoura</t>
  </si>
  <si>
    <t>Amine Ferid Gouiri</t>
  </si>
  <si>
    <t>A. Gouiri</t>
  </si>
  <si>
    <t>Adil Boulbina</t>
  </si>
  <si>
    <t>A. Boulbina</t>
  </si>
  <si>
    <t>Anis Hadj Moussa</t>
  </si>
  <si>
    <t>A. Hadj Moussa</t>
  </si>
  <si>
    <t>Farès Ghedjemis</t>
  </si>
  <si>
    <t>F. Ghedjemis</t>
  </si>
  <si>
    <t>Ahmed Nadhir Benbouali</t>
  </si>
  <si>
    <t>N. Benbouali</t>
  </si>
  <si>
    <t>Juan Agustín Musso</t>
  </si>
  <si>
    <t>J. Musso</t>
  </si>
  <si>
    <t>Emiliano Martínez</t>
  </si>
  <si>
    <t>Gerónimo Rulli</t>
  </si>
  <si>
    <t>G. Rulli</t>
  </si>
  <si>
    <t>Nicolás Alejandro Tagliafico</t>
  </si>
  <si>
    <t>Nicolás Hernán Gonzalo Otamendi</t>
  </si>
  <si>
    <t>N. Otamendi</t>
  </si>
  <si>
    <t>Gonzalo Ariel Montiel</t>
  </si>
  <si>
    <t>G. Montiel</t>
  </si>
  <si>
    <t>Facundo Axel Medina</t>
  </si>
  <si>
    <t>Nahuel Molina Lucero</t>
  </si>
  <si>
    <t>Cristian Gabriel Romero</t>
  </si>
  <si>
    <t>Leandro Daniel Paredes</t>
  </si>
  <si>
    <t>L. Paredes</t>
  </si>
  <si>
    <t>Exequiel Alejandro Palacios</t>
  </si>
  <si>
    <t>E. Palacios</t>
  </si>
  <si>
    <t>Rodrigo Javier De Paul</t>
  </si>
  <si>
    <t>Thiago Ezequiel Almada</t>
  </si>
  <si>
    <t>T. Almada</t>
  </si>
  <si>
    <t>Valentín Barco</t>
  </si>
  <si>
    <t>V. Barco</t>
  </si>
  <si>
    <t>Alexis Mac Allister</t>
  </si>
  <si>
    <t>Giovani Lo Celso</t>
  </si>
  <si>
    <t>G. Lo Celso</t>
  </si>
  <si>
    <t>Enzo Jeremías Fernández</t>
  </si>
  <si>
    <t>Julián Alvarez</t>
  </si>
  <si>
    <t>Nicolás Paz Martínez</t>
  </si>
  <si>
    <t>N. Paz</t>
  </si>
  <si>
    <t>Lionel Andrés Messi Cuccittini</t>
  </si>
  <si>
    <t>José Manuel Alberto López</t>
  </si>
  <si>
    <t>J. López</t>
  </si>
  <si>
    <t>Nicolás Iván González</t>
  </si>
  <si>
    <t>N. González</t>
  </si>
  <si>
    <t>Giuliano Simeone Baldini</t>
  </si>
  <si>
    <t>G. Simeone</t>
  </si>
  <si>
    <t>Mathew David Ryan</t>
  </si>
  <si>
    <t>M. Ryan</t>
  </si>
  <si>
    <t>Patrick Thomas Beach</t>
  </si>
  <si>
    <t>P. Beach</t>
  </si>
  <si>
    <t>Paul David Izzo</t>
  </si>
  <si>
    <t>P. Izzo</t>
  </si>
  <si>
    <t>Miloš Degenek</t>
  </si>
  <si>
    <t>M. Degenek</t>
  </si>
  <si>
    <t>Kai Clifton Trewin</t>
  </si>
  <si>
    <t>K. Trewin</t>
  </si>
  <si>
    <t>Alessandro Circati</t>
  </si>
  <si>
    <t>A. Circati</t>
  </si>
  <si>
    <t>Aziz Eraltay Behich</t>
  </si>
  <si>
    <t>A. Behich</t>
  </si>
  <si>
    <t>Jacob Michael Italiano</t>
  </si>
  <si>
    <t>J. Italiano</t>
  </si>
  <si>
    <t>Harry James Souttar</t>
  </si>
  <si>
    <t>H. Souttar</t>
  </si>
  <si>
    <t>Jordan Jacob Bos</t>
  </si>
  <si>
    <t>J. Bos</t>
  </si>
  <si>
    <t>Cameron Robert Burgess</t>
  </si>
  <si>
    <t>C. Burgess</t>
  </si>
  <si>
    <t>Jason Kato Geria</t>
  </si>
  <si>
    <t>J. Geria</t>
  </si>
  <si>
    <t>Lucas Herrington</t>
  </si>
  <si>
    <t>L. Herrington</t>
  </si>
  <si>
    <t>Connor Isaac Metcalfe</t>
  </si>
  <si>
    <t>C. Metcalfe</t>
  </si>
  <si>
    <t>Cameron Peter Devlin</t>
  </si>
  <si>
    <t>C. Devlin</t>
  </si>
  <si>
    <t>Ajdin Hrustić</t>
  </si>
  <si>
    <t>A. Hrustić</t>
  </si>
  <si>
    <t>Cristian Volpato</t>
  </si>
  <si>
    <t>C. Volpato</t>
  </si>
  <si>
    <t>Awer Bul Mabil</t>
  </si>
  <si>
    <t>A. Mabil</t>
  </si>
  <si>
    <t>Jackson Alexander Irvine</t>
  </si>
  <si>
    <t>J. Irvine</t>
  </si>
  <si>
    <t>Aiden Connor O'Neill</t>
  </si>
  <si>
    <t>A. O'Neill</t>
  </si>
  <si>
    <t>Paul Michael Junior Okon-Engstler</t>
  </si>
  <si>
    <t>P. Okon-Engstler</t>
  </si>
  <si>
    <t>Mathew Allan Leckie</t>
  </si>
  <si>
    <t>M. Leckie</t>
  </si>
  <si>
    <t>Nishan Matthew Velupillay</t>
  </si>
  <si>
    <t>N. Velupillay</t>
  </si>
  <si>
    <t>Mohamed Touré</t>
  </si>
  <si>
    <t>M. Touré</t>
  </si>
  <si>
    <t>Tete Owen Yengi</t>
  </si>
  <si>
    <t>T. Yengi</t>
  </si>
  <si>
    <t>Nestory Irankunda</t>
  </si>
  <si>
    <t>N. Irankunda</t>
  </si>
  <si>
    <t>Alexander Schlager</t>
  </si>
  <si>
    <t>A. Schlager</t>
  </si>
  <si>
    <t>Patrick Pentz</t>
  </si>
  <si>
    <t>P. Pentz</t>
  </si>
  <si>
    <t>Florian Wiegele</t>
  </si>
  <si>
    <t>F. Wiegele</t>
  </si>
  <si>
    <t>David Leopold Affengruber</t>
  </si>
  <si>
    <t>D. Affengruber</t>
  </si>
  <si>
    <t>Phillipp Mwene</t>
  </si>
  <si>
    <t>P. Mwene</t>
  </si>
  <si>
    <t>Kevin Danso</t>
  </si>
  <si>
    <t>K. Danso</t>
  </si>
  <si>
    <t>Alexander Prass</t>
  </si>
  <si>
    <t>A. Prass</t>
  </si>
  <si>
    <t>Stefan Posch</t>
  </si>
  <si>
    <t>S. Posch</t>
  </si>
  <si>
    <t>Marco Friedl</t>
  </si>
  <si>
    <t>M. Friedl</t>
  </si>
  <si>
    <t>David Olatukunbo Alaba</t>
  </si>
  <si>
    <t>D. Alaba</t>
  </si>
  <si>
    <t>Michael Svoboda</t>
  </si>
  <si>
    <t>M. Svoboda</t>
  </si>
  <si>
    <t>Philipp Lienhart</t>
  </si>
  <si>
    <t>P. Lienhart</t>
  </si>
  <si>
    <t>Xaver Schlager</t>
  </si>
  <si>
    <t>X. Schlager</t>
  </si>
  <si>
    <t>Romano Christian Schmid</t>
  </si>
  <si>
    <t>R. Schmid</t>
  </si>
  <si>
    <t>Nicolas Seiwald</t>
  </si>
  <si>
    <t>N. Seiwald</t>
  </si>
  <si>
    <t>Konrad Laimer</t>
  </si>
  <si>
    <t>K. Laimer</t>
  </si>
  <si>
    <t>Marcel Sabitzer</t>
  </si>
  <si>
    <t>M. Sabitzer</t>
  </si>
  <si>
    <t>Patrick Wimmer</t>
  </si>
  <si>
    <t>P. Wimmer</t>
  </si>
  <si>
    <t>Florian Grillitsch</t>
  </si>
  <si>
    <t>F. Grillitsch</t>
  </si>
  <si>
    <t>Paul Wanner</t>
  </si>
  <si>
    <t>P. Wanner</t>
  </si>
  <si>
    <t>Carney Chibueze Chukwuemeka</t>
  </si>
  <si>
    <t>C. Chukwuemeka</t>
  </si>
  <si>
    <t>Alessandro André Schöpf</t>
  </si>
  <si>
    <t>A. Schöpf</t>
  </si>
  <si>
    <t>Marko Arnautović</t>
  </si>
  <si>
    <t>M. Arnautović</t>
  </si>
  <si>
    <t>Saša Kalajdžić</t>
  </si>
  <si>
    <t>S. Kalajdžić</t>
  </si>
  <si>
    <t>Michael Gregoritsch</t>
  </si>
  <si>
    <t>M. Gregoritsch</t>
  </si>
  <si>
    <t>Thibaut Nicolas Marc Courtois</t>
  </si>
  <si>
    <t>Mike Louis Penders</t>
  </si>
  <si>
    <t>M. Penders</t>
  </si>
  <si>
    <t>Senne Lammens</t>
  </si>
  <si>
    <t>S. Lammens</t>
  </si>
  <si>
    <t>Zeno Koen Debast</t>
  </si>
  <si>
    <t>Z. Debast</t>
  </si>
  <si>
    <t>Koni De Winter</t>
  </si>
  <si>
    <t>K. De Winter</t>
  </si>
  <si>
    <t>Arthur Nicolas R. Theate</t>
  </si>
  <si>
    <t>A. Theate</t>
  </si>
  <si>
    <t>Joaquin Ronny Seys</t>
  </si>
  <si>
    <t>J. Seys</t>
  </si>
  <si>
    <t>Brandon Erik Mechele</t>
  </si>
  <si>
    <t>B. Mechele</t>
  </si>
  <si>
    <t>Timothy Castagne</t>
  </si>
  <si>
    <t>T. Castagne</t>
  </si>
  <si>
    <t>Maxim Peter De Cuyper</t>
  </si>
  <si>
    <t>Nathan Ngoy</t>
  </si>
  <si>
    <t>N. Ngoy</t>
  </si>
  <si>
    <t>Thomas André A. Meunier</t>
  </si>
  <si>
    <t>T. Meunier</t>
  </si>
  <si>
    <t>Axel Laurent Angel Lambert Witsel</t>
  </si>
  <si>
    <t>A. Witsel</t>
  </si>
  <si>
    <t>Hans Vanaken</t>
  </si>
  <si>
    <t>H. Vanaken</t>
  </si>
  <si>
    <t>Kevin De Bruyne</t>
  </si>
  <si>
    <t>Nicolas Thierry Raskin</t>
  </si>
  <si>
    <t>N. Raskin</t>
  </si>
  <si>
    <t>Youri Marion A. Tielemans</t>
  </si>
  <si>
    <t>Amadou Ba Zeund Georges Mvom Onana</t>
  </si>
  <si>
    <t>A. Onana</t>
  </si>
  <si>
    <t>Romelu Menama Lukaku Bolingoli</t>
  </si>
  <si>
    <t>Charles Marc S. De Ketelaere</t>
  </si>
  <si>
    <t>C. De Ketelaere</t>
  </si>
  <si>
    <t>Leandro Trossard</t>
  </si>
  <si>
    <t>Diego Manuel Jadon da Silva Moreira</t>
  </si>
  <si>
    <t>D. Moreira</t>
  </si>
  <si>
    <t>Jérémy Baffour Doku</t>
  </si>
  <si>
    <t>Alexis Jesse M. Saelemaekers</t>
  </si>
  <si>
    <t>A. Saelemaekers</t>
  </si>
  <si>
    <t>Dodi Lukébakio Ngandoli</t>
  </si>
  <si>
    <t>D. Lukébakio</t>
  </si>
  <si>
    <t>Matias Fernandez-Pardo</t>
  </si>
  <si>
    <t>M. Fernandez-Pardo</t>
  </si>
  <si>
    <t>Nikola Vasilj</t>
  </si>
  <si>
    <t>N. Vasilj</t>
  </si>
  <si>
    <t>Bosnia and Herzegovina</t>
  </si>
  <si>
    <t>Martin Zlomislić</t>
  </si>
  <si>
    <t>M. Zlomislić</t>
  </si>
  <si>
    <t>Mladen Jurkas</t>
  </si>
  <si>
    <t>M. Jurkas</t>
  </si>
  <si>
    <t>Nihad Mujakić</t>
  </si>
  <si>
    <t>N. Mujakić</t>
  </si>
  <si>
    <t>Amar Dedić</t>
  </si>
  <si>
    <t>A. Dedić</t>
  </si>
  <si>
    <t>Dennis Hadžikadunić</t>
  </si>
  <si>
    <t>D. Hadžikadunić</t>
  </si>
  <si>
    <t>Nikola Katić</t>
  </si>
  <si>
    <t>N. Katić</t>
  </si>
  <si>
    <t>Tarik Muharemović</t>
  </si>
  <si>
    <t>T. Muharemović</t>
  </si>
  <si>
    <t>Stjepan Radeljić</t>
  </si>
  <si>
    <t>S. Radeljić</t>
  </si>
  <si>
    <t>Sead Kolašinac</t>
  </si>
  <si>
    <t>S. Kolašinac</t>
  </si>
  <si>
    <t>Nidal Čelik</t>
  </si>
  <si>
    <t>N. Čelik</t>
  </si>
  <si>
    <t>Benjamin Tahirović</t>
  </si>
  <si>
    <t>B. Tahirović</t>
  </si>
  <si>
    <t>Amar Memić</t>
  </si>
  <si>
    <t>A. Memić</t>
  </si>
  <si>
    <t>Armin Gigović</t>
  </si>
  <si>
    <t>A. Gigović</t>
  </si>
  <si>
    <t>Amir Hadžiahmetović</t>
  </si>
  <si>
    <t>A. Hadžiahmetović</t>
  </si>
  <si>
    <t>Ivan Bašić</t>
  </si>
  <si>
    <t>I. Bašić</t>
  </si>
  <si>
    <t>Dženis Burnić</t>
  </si>
  <si>
    <t>D. Burnić</t>
  </si>
  <si>
    <t>Ivan Šunjić</t>
  </si>
  <si>
    <t>I. Šunjić</t>
  </si>
  <si>
    <t>Ermin Mahmić</t>
  </si>
  <si>
    <t>E. Mahmić</t>
  </si>
  <si>
    <t>Samed Baždar</t>
  </si>
  <si>
    <t>S. Baždar</t>
  </si>
  <si>
    <t>Esmir Bajraktarević</t>
  </si>
  <si>
    <t>E. Bajraktarević</t>
  </si>
  <si>
    <t>Ermedin Demirović</t>
  </si>
  <si>
    <t>E. Demirović</t>
  </si>
  <si>
    <t>Haris Tabaković</t>
  </si>
  <si>
    <t>H. Tabaković</t>
  </si>
  <si>
    <t>Edin Džeko</t>
  </si>
  <si>
    <t>E. Džeko</t>
  </si>
  <si>
    <t>Jovo Lukić</t>
  </si>
  <si>
    <t>J. Lukić</t>
  </si>
  <si>
    <t>Kerim-Sam Alajbegović</t>
  </si>
  <si>
    <t>K. Alajbegović</t>
  </si>
  <si>
    <t>Weverton</t>
  </si>
  <si>
    <t>Wesley</t>
  </si>
  <si>
    <t>Bremer</t>
  </si>
  <si>
    <t>Léo Pereira</t>
  </si>
  <si>
    <t>Douglas Santos</t>
  </si>
  <si>
    <t>Ibañez</t>
  </si>
  <si>
    <t>Casemiro</t>
  </si>
  <si>
    <t>Danilo Santos</t>
  </si>
  <si>
    <t>Lucas Paquetá</t>
  </si>
  <si>
    <t>Fabinho</t>
  </si>
  <si>
    <t>Luiz Henrique</t>
  </si>
  <si>
    <t>Gabriel Martinelli</t>
  </si>
  <si>
    <t>Neymar</t>
  </si>
  <si>
    <t>Igor Thiago</t>
  </si>
  <si>
    <t>Rayan</t>
  </si>
  <si>
    <t>Endrick</t>
  </si>
  <si>
    <t>Vozinha</t>
  </si>
  <si>
    <t>CJ dos Santos</t>
  </si>
  <si>
    <t>Márcio Rosa</t>
  </si>
  <si>
    <t>Stopira</t>
  </si>
  <si>
    <t>Sidny Cabral</t>
  </si>
  <si>
    <t>Diney Borges</t>
  </si>
  <si>
    <t>Steven Moreira</t>
  </si>
  <si>
    <t>Pico Lopes</t>
  </si>
  <si>
    <t>Wagner Pina</t>
  </si>
  <si>
    <t>Logan Costa</t>
  </si>
  <si>
    <t>Kelvin Pires</t>
  </si>
  <si>
    <t>Kevin Pina</t>
  </si>
  <si>
    <t>Laros Duarte</t>
  </si>
  <si>
    <t>João Paulo</t>
  </si>
  <si>
    <t>Yannick Semedo</t>
  </si>
  <si>
    <t>Jamiro Monteiro</t>
  </si>
  <si>
    <t>Telmo Arcanjo</t>
  </si>
  <si>
    <t>Deroy Duarte</t>
  </si>
  <si>
    <t>Jovane Cabral</t>
  </si>
  <si>
    <t>Dailon Livramento</t>
  </si>
  <si>
    <t>Gilson Benchimol</t>
  </si>
  <si>
    <t>Ryan Mendes</t>
  </si>
  <si>
    <t>Garry Rodrigues</t>
  </si>
  <si>
    <t>Nuno da Costa</t>
  </si>
  <si>
    <t>Willy Semedo</t>
  </si>
  <si>
    <t>Hélio Varela</t>
  </si>
  <si>
    <t>Dayne Tristan St. Clair</t>
  </si>
  <si>
    <t>D. St. Clair</t>
  </si>
  <si>
    <t>Owen Olamidayo Goodman</t>
  </si>
  <si>
    <t>O. Goodman</t>
  </si>
  <si>
    <t>Maxime Crépeau</t>
  </si>
  <si>
    <t>M. Crépeau</t>
  </si>
  <si>
    <t>Alistair William Johnston</t>
  </si>
  <si>
    <t>A. Johnston</t>
  </si>
  <si>
    <t>Derek Austin Cornelius</t>
  </si>
  <si>
    <t>D. Cornelius</t>
  </si>
  <si>
    <t>Alfie Charles Jones</t>
  </si>
  <si>
    <t>A. Jones</t>
  </si>
  <si>
    <t>Moïse Bombito Lumpungu</t>
  </si>
  <si>
    <t>M. Bombito</t>
  </si>
  <si>
    <t>Luc Rollet De Fougerolles</t>
  </si>
  <si>
    <t>L. De Fougerolles</t>
  </si>
  <si>
    <t>Alphonso Boyle Davies</t>
  </si>
  <si>
    <t>Joel Robert Waterman</t>
  </si>
  <si>
    <t>J. Waterman</t>
  </si>
  <si>
    <t>Richmond Mamah Laryea</t>
  </si>
  <si>
    <t>R. Laryea</t>
  </si>
  <si>
    <t>Mathieu Choinière</t>
  </si>
  <si>
    <t>M. Choinière</t>
  </si>
  <si>
    <t>Jonathan Osorio</t>
  </si>
  <si>
    <t>J. Osorio</t>
  </si>
  <si>
    <t>Stephen Antunes Eustaquio</t>
  </si>
  <si>
    <t>S. Eustaquio</t>
  </si>
  <si>
    <t>Niko Kristian Sigur</t>
  </si>
  <si>
    <t>N. Sigur</t>
  </si>
  <si>
    <t>Ismaël Kenneth Jordan Koné</t>
  </si>
  <si>
    <t>I. Koné</t>
  </si>
  <si>
    <t>Nathan-Dylan Saliba</t>
  </si>
  <si>
    <t>N. Saliba</t>
  </si>
  <si>
    <t>Ali Ahmed</t>
  </si>
  <si>
    <t>A. Ahmed</t>
  </si>
  <si>
    <t>Cyle Christopher Larin</t>
  </si>
  <si>
    <t>C. Larin</t>
  </si>
  <si>
    <t>Jacob Everett Shaffelburg</t>
  </si>
  <si>
    <t>J. Shaffelburg</t>
  </si>
  <si>
    <t>Jonathan David</t>
  </si>
  <si>
    <t>J. David</t>
  </si>
  <si>
    <t>Tajon Trevor Buchanan</t>
  </si>
  <si>
    <t>T. Buchanan</t>
  </si>
  <si>
    <t>Liam Alan Millar</t>
  </si>
  <si>
    <t>L. Millar</t>
  </si>
  <si>
    <t>Promise David</t>
  </si>
  <si>
    <t>P. David</t>
  </si>
  <si>
    <t>Tanitoluwa Oluwatimilehin Oluwaseyi</t>
  </si>
  <si>
    <t>T. Oluwaseyi</t>
  </si>
  <si>
    <t>David Ospina Ramírez</t>
  </si>
  <si>
    <t>D. Ospina</t>
  </si>
  <si>
    <t>Álvaro David Montero Perales</t>
  </si>
  <si>
    <t>Á. Montero</t>
  </si>
  <si>
    <t>Camilo Andrés Vargas Gil</t>
  </si>
  <si>
    <t>C. Vargas</t>
  </si>
  <si>
    <t>Daniel Muñoz Mejía</t>
  </si>
  <si>
    <t>Johan Andrés Mojica Palacio</t>
  </si>
  <si>
    <t>J. Mojica</t>
  </si>
  <si>
    <t>Jhon Janer Lucumí Bonilla</t>
  </si>
  <si>
    <t>J. Lucumí</t>
  </si>
  <si>
    <t>Willer Emilio Ditta Pérez</t>
  </si>
  <si>
    <t>W. Ditta</t>
  </si>
  <si>
    <t>Santiago Arias</t>
  </si>
  <si>
    <t>S. Arias</t>
  </si>
  <si>
    <t>Deiver Andrés Machado Mena</t>
  </si>
  <si>
    <t>D. Machado</t>
  </si>
  <si>
    <t>Yerry Fernando Mina González</t>
  </si>
  <si>
    <t>Y. Mina</t>
  </si>
  <si>
    <t>Davinson Sánchez Mina</t>
  </si>
  <si>
    <t>D. Sánchez</t>
  </si>
  <si>
    <t>Kevin Duván Castaño Gil</t>
  </si>
  <si>
    <t>K. Castaño</t>
  </si>
  <si>
    <t>Gustavo Adolfo Puerta Molano</t>
  </si>
  <si>
    <t>G. Puerta</t>
  </si>
  <si>
    <t>Richard Ríos Montoya</t>
  </si>
  <si>
    <t>R. Ríos</t>
  </si>
  <si>
    <t>Juan Camilo Portilla Orozco</t>
  </si>
  <si>
    <t>J. Portilla</t>
  </si>
  <si>
    <t>Jorge Andrés Carrascal Guardo</t>
  </si>
  <si>
    <t>J. Carrascal</t>
  </si>
  <si>
    <t>Jefferson Andrés Lerma Solís</t>
  </si>
  <si>
    <t>J. Lerma</t>
  </si>
  <si>
    <t>James David Rodríguez Rubio</t>
  </si>
  <si>
    <t>J. Rodríguez</t>
  </si>
  <si>
    <t>Juan Fernando Quintero Paniagua</t>
  </si>
  <si>
    <t>J. Quintero</t>
  </si>
  <si>
    <t>Jhon Arias</t>
  </si>
  <si>
    <t>J. Arias</t>
  </si>
  <si>
    <t>Jaminton Leandro Campaz</t>
  </si>
  <si>
    <t>J. Campaz</t>
  </si>
  <si>
    <t>Luis Fernando Díaz Marulanda</t>
  </si>
  <si>
    <t>Luis Javier Suárez Charris</t>
  </si>
  <si>
    <t>L. Suárez</t>
  </si>
  <si>
    <t>Jhon Andrés Córdoba Copete</t>
  </si>
  <si>
    <t>J. Córdoba</t>
  </si>
  <si>
    <t>Carlos Andrés Gómez Hinestroza</t>
  </si>
  <si>
    <t>A. Gómez</t>
  </si>
  <si>
    <t>Juan Camilo Hernández Suárez</t>
  </si>
  <si>
    <t>C. Hernández</t>
  </si>
  <si>
    <t>Lionel Mpasi-Nzau</t>
  </si>
  <si>
    <t>L. Mpasi</t>
  </si>
  <si>
    <t>Matthieu Luka Epolo</t>
  </si>
  <si>
    <t>M. Epolo</t>
  </si>
  <si>
    <t>Timothy Bruce Fayulu Munzoko</t>
  </si>
  <si>
    <t>T. Fayulu</t>
  </si>
  <si>
    <t>Aaron Wan-Bissaka</t>
  </si>
  <si>
    <t>A. Wan-Bissaka</t>
  </si>
  <si>
    <t>Joris Kayembe</t>
  </si>
  <si>
    <t>J. Kayembe</t>
  </si>
  <si>
    <t>Steve Nkanu Kapuadi</t>
  </si>
  <si>
    <t>S. Kapuadi</t>
  </si>
  <si>
    <t>Chancel Mangulu Mbemba</t>
  </si>
  <si>
    <t>C. Mbemba</t>
  </si>
  <si>
    <t>Axel Didier Kongo Tuanzebe</t>
  </si>
  <si>
    <t>A. Tuanzebe</t>
  </si>
  <si>
    <t>Gédéon Tshingoma Kalulu Kyatengwa</t>
  </si>
  <si>
    <t>G. Kalulu</t>
  </si>
  <si>
    <t>Buduka Dylan Batubinsika</t>
  </si>
  <si>
    <t>D. Batubinsika</t>
  </si>
  <si>
    <t>Fuka-Arthur Masuaku Kawela</t>
  </si>
  <si>
    <t>A. Masuaku</t>
  </si>
  <si>
    <t>Ngal'ayel Mukau</t>
  </si>
  <si>
    <t>N. Mukau</t>
  </si>
  <si>
    <t>Noah Junior Sadiki</t>
  </si>
  <si>
    <t>N. Sadiki</t>
  </si>
  <si>
    <t>Samuel Albert Alain Arcade Moutoussamy</t>
  </si>
  <si>
    <t>S. Moutoussamy</t>
  </si>
  <si>
    <t>Aaron Tshibola</t>
  </si>
  <si>
    <t>A. Tshibola</t>
  </si>
  <si>
    <t>Théo Bongonda Mbul'Ofeko Batombo</t>
  </si>
  <si>
    <t>T. Bongonda</t>
  </si>
  <si>
    <t>Charles Monginda Pickel</t>
  </si>
  <si>
    <t>C. Pickel</t>
  </si>
  <si>
    <t>Gaël Romeo Kakuta Mambenga</t>
  </si>
  <si>
    <t>G. Kakuta</t>
  </si>
  <si>
    <t>Edo Kayembe</t>
  </si>
  <si>
    <t>E. Kayembe</t>
  </si>
  <si>
    <t>Nathanaël Mbuku Wa Mbuku</t>
  </si>
  <si>
    <t>N. Mbuku</t>
  </si>
  <si>
    <t>Fiston Kalala Mayele</t>
  </si>
  <si>
    <t>F. Mayele</t>
  </si>
  <si>
    <t>Brian Kibambe Cipenga</t>
  </si>
  <si>
    <t>B. Cipenga</t>
  </si>
  <si>
    <t>Yoane Wissa Bileko</t>
  </si>
  <si>
    <t>Y. Wissa</t>
  </si>
  <si>
    <t>Meschack Elia Lina</t>
  </si>
  <si>
    <t>M. Elia</t>
  </si>
  <si>
    <t>Simon Bokoté Banza</t>
  </si>
  <si>
    <t>S. Banza</t>
  </si>
  <si>
    <t>Cédric Bakambu</t>
  </si>
  <si>
    <t>C. Bakambu</t>
  </si>
  <si>
    <t>Dominik Livaković</t>
  </si>
  <si>
    <t>Dominik Kotarski</t>
  </si>
  <si>
    <t>D. Kotarski</t>
  </si>
  <si>
    <t>Ivor Pandur</t>
  </si>
  <si>
    <t>I. Pandur</t>
  </si>
  <si>
    <t>Josip Stanišić</t>
  </si>
  <si>
    <t>J. Stanišić</t>
  </si>
  <si>
    <t>Josip Šutalo</t>
  </si>
  <si>
    <t>J. Šutalo</t>
  </si>
  <si>
    <t>Marin Pongračić</t>
  </si>
  <si>
    <t>M. Pongračić</t>
  </si>
  <si>
    <t>Luka Vušković</t>
  </si>
  <si>
    <t>Joško Gvardiol</t>
  </si>
  <si>
    <t>Martin Erlić</t>
  </si>
  <si>
    <t>M. Erlić</t>
  </si>
  <si>
    <t>Duje Ćaleta-Car</t>
  </si>
  <si>
    <t>D. Ćaleta-Car</t>
  </si>
  <si>
    <t>Nikola Moro</t>
  </si>
  <si>
    <t>N. Moro</t>
  </si>
  <si>
    <t>Martin Baturina</t>
  </si>
  <si>
    <t>M. Baturina</t>
  </si>
  <si>
    <t>Mateo Kovačić</t>
  </si>
  <si>
    <t>M. Kovačić</t>
  </si>
  <si>
    <t>Petar Sucic</t>
  </si>
  <si>
    <t>P. Sučić</t>
  </si>
  <si>
    <t>Luka Modrić</t>
  </si>
  <si>
    <t>L. Modrić</t>
  </si>
  <si>
    <t>Kristijan Jakić</t>
  </si>
  <si>
    <t>K. Jakić</t>
  </si>
  <si>
    <t>Nikola Vlašić</t>
  </si>
  <si>
    <t>N. Vlašić</t>
  </si>
  <si>
    <t>Toni Fruk</t>
  </si>
  <si>
    <t>T. Fruk</t>
  </si>
  <si>
    <t>Mario Pasalic</t>
  </si>
  <si>
    <t>Mario Pašalić</t>
  </si>
  <si>
    <t>Luka Sucic</t>
  </si>
  <si>
    <t>L. Sučić</t>
  </si>
  <si>
    <t>Andrej Kramarić</t>
  </si>
  <si>
    <t>A. Kramarić</t>
  </si>
  <si>
    <t>Igor Matanović</t>
  </si>
  <si>
    <t>I. Matanović</t>
  </si>
  <si>
    <t>Ante Budimir</t>
  </si>
  <si>
    <t>A. Budimir</t>
  </si>
  <si>
    <t>Marco Pasalic</t>
  </si>
  <si>
    <t>Marco Pašalić</t>
  </si>
  <si>
    <t>Ivan Perišić</t>
  </si>
  <si>
    <t>I. Perišić</t>
  </si>
  <si>
    <t>Petar Musa</t>
  </si>
  <si>
    <t>P. Musa</t>
  </si>
  <si>
    <t>Eloy Victor Room</t>
  </si>
  <si>
    <t>E. Room</t>
  </si>
  <si>
    <t>Curaçao</t>
  </si>
  <si>
    <t>Trevor Irving Doornbusch</t>
  </si>
  <si>
    <t>T. Doornbusch</t>
  </si>
  <si>
    <t>Tyrick Jeremy Bodak</t>
  </si>
  <si>
    <t>T. Bodak</t>
  </si>
  <si>
    <t>Shurandy Ruggerio Sambo</t>
  </si>
  <si>
    <t>S. Sambo</t>
  </si>
  <si>
    <t>Armando Maria Obispo</t>
  </si>
  <si>
    <t>A. Obispo</t>
  </si>
  <si>
    <t>Juriën Godfried Juan Gaari</t>
  </si>
  <si>
    <t>J. Gaari</t>
  </si>
  <si>
    <t>Joshua Benjamin Brenet</t>
  </si>
  <si>
    <t>J. Brenet</t>
  </si>
  <si>
    <t>Roshon Felix Romar Jordan van Eijma</t>
  </si>
  <si>
    <t>R. van Eijma</t>
  </si>
  <si>
    <t>Riechedly Guillermo Bazoer</t>
  </si>
  <si>
    <t>R. Bazoer</t>
  </si>
  <si>
    <t>Sherel Constancio Floranus</t>
  </si>
  <si>
    <t>S. Floranus</t>
  </si>
  <si>
    <t>Deveron Lenny Fonville</t>
  </si>
  <si>
    <t>D. Fonville</t>
  </si>
  <si>
    <t>Livano Shyron Liomar Comenencia</t>
  </si>
  <si>
    <t>L. Comenencia</t>
  </si>
  <si>
    <t>Godfried Roemeratoe</t>
  </si>
  <si>
    <t>G. Roemeratoe</t>
  </si>
  <si>
    <t>Ar'Jany Jainel Archenir Martha</t>
  </si>
  <si>
    <t>A. Martha</t>
  </si>
  <si>
    <t>Juninho Bacuna</t>
  </si>
  <si>
    <t>J. Bacuna</t>
  </si>
  <si>
    <t>Tahith Jose Girigorio Djorkaef Chong</t>
  </si>
  <si>
    <t>T. Chong</t>
  </si>
  <si>
    <t>Leandro Bacuna</t>
  </si>
  <si>
    <t>L. Bacuna</t>
  </si>
  <si>
    <t>Kevin Antonio Felida</t>
  </si>
  <si>
    <t>K. Felida</t>
  </si>
  <si>
    <t>Tyrese Yurvencey Noslin</t>
  </si>
  <si>
    <t>T. Noslin</t>
  </si>
  <si>
    <t>Jürgen Leonardo Locadia</t>
  </si>
  <si>
    <t>J. Locadia</t>
  </si>
  <si>
    <t>Jearl Erwin Margaritha</t>
  </si>
  <si>
    <t>J. Margaritha</t>
  </si>
  <si>
    <t>Jeremy Cornelis Jacobus Antonisse</t>
  </si>
  <si>
    <t>J. Antonisse</t>
  </si>
  <si>
    <t>Brandley Mack-Olien Kuwas</t>
  </si>
  <si>
    <t>B. Kuwas</t>
  </si>
  <si>
    <t>Misjonne Juniffer Naigelino Hansen</t>
  </si>
  <si>
    <t>S. Hansen</t>
  </si>
  <si>
    <t>Gervane Zjandric Adonnis Kastaneer</t>
  </si>
  <si>
    <t>G. Kastaneer</t>
  </si>
  <si>
    <t>Kenji Joel Gorré</t>
  </si>
  <si>
    <t>K. Gorré</t>
  </si>
  <si>
    <t>Matěj Kovář</t>
  </si>
  <si>
    <t>M. Kovář</t>
  </si>
  <si>
    <t>Lukáš Horníček</t>
  </si>
  <si>
    <t>L. Horníček</t>
  </si>
  <si>
    <t>Jindřich Staněk</t>
  </si>
  <si>
    <t>J. Staněk</t>
  </si>
  <si>
    <t>David Zima</t>
  </si>
  <si>
    <t>D. Zima</t>
  </si>
  <si>
    <t>Štěpán Chaloupek</t>
  </si>
  <si>
    <t>Š. Chaloupek</t>
  </si>
  <si>
    <t>Tomáš Holeš</t>
  </si>
  <si>
    <t>T. Holeš</t>
  </si>
  <si>
    <t>Ladislav Krejčí</t>
  </si>
  <si>
    <t>L. Krejčí</t>
  </si>
  <si>
    <t>Robin Hranáč</t>
  </si>
  <si>
    <t>R. Hranáč</t>
  </si>
  <si>
    <t>David Jurásek</t>
  </si>
  <si>
    <t>D. Jurásek</t>
  </si>
  <si>
    <t>Vladimír Coufal</t>
  </si>
  <si>
    <t>V. Coufal</t>
  </si>
  <si>
    <t>Jaroslav Zelený</t>
  </si>
  <si>
    <t>J. Zelený</t>
  </si>
  <si>
    <t>Vladimír Darida</t>
  </si>
  <si>
    <t>V. Darida</t>
  </si>
  <si>
    <t>David Douděra</t>
  </si>
  <si>
    <t>D. Douděra</t>
  </si>
  <si>
    <t>Lukáš Červ</t>
  </si>
  <si>
    <t>L. Červ</t>
  </si>
  <si>
    <t>Tomáš Souček</t>
  </si>
  <si>
    <t>T. Souček</t>
  </si>
  <si>
    <t>Pavel Šulc</t>
  </si>
  <si>
    <t>P. Šulc</t>
  </si>
  <si>
    <t>Alexandr Sojka</t>
  </si>
  <si>
    <t>A. Sojka</t>
  </si>
  <si>
    <t>Lukáš Provod</t>
  </si>
  <si>
    <t>L. Provod</t>
  </si>
  <si>
    <t>Hugo Sochůrek</t>
  </si>
  <si>
    <t>H. Sochůrek</t>
  </si>
  <si>
    <t>Michal Sadílek</t>
  </si>
  <si>
    <t>M. Sadílek</t>
  </si>
  <si>
    <t>Denis Višinský</t>
  </si>
  <si>
    <t>D. Višinský</t>
  </si>
  <si>
    <t>Adam Hložek</t>
  </si>
  <si>
    <t>A. Hložek</t>
  </si>
  <si>
    <t>Mojmír Chytil</t>
  </si>
  <si>
    <t>M. Chytil</t>
  </si>
  <si>
    <t>Patrik Schick</t>
  </si>
  <si>
    <t>P. Schick</t>
  </si>
  <si>
    <t>Tomáš Chorý</t>
  </si>
  <si>
    <t>T. Chorý</t>
  </si>
  <si>
    <t>Jan Kuchta</t>
  </si>
  <si>
    <t>J. Kuchta</t>
  </si>
  <si>
    <t>Yahia Fofana</t>
  </si>
  <si>
    <t>Y. Fofana</t>
  </si>
  <si>
    <t>Alban-Marc Lafont</t>
  </si>
  <si>
    <t>A. Lafont</t>
  </si>
  <si>
    <t>Mohamed Koné</t>
  </si>
  <si>
    <t>M. Koné</t>
  </si>
  <si>
    <t>Ousmane Diomande</t>
  </si>
  <si>
    <t>O. Diomande</t>
  </si>
  <si>
    <t>Christopher Téa Domoraud Opéri</t>
  </si>
  <si>
    <t>C. Opéri</t>
  </si>
  <si>
    <t>N'clomande Ghislain Konan</t>
  </si>
  <si>
    <t>G. Konan</t>
  </si>
  <si>
    <t>Guéla Maho-Lewis Doué</t>
  </si>
  <si>
    <t>G. Doué</t>
  </si>
  <si>
    <t>Wilfried Stéphane Singo</t>
  </si>
  <si>
    <t>W. Singo</t>
  </si>
  <si>
    <t>Badobre Emmanuel Elysee Djedje Agbadou</t>
  </si>
  <si>
    <t>E. Agbadou</t>
  </si>
  <si>
    <t>Kouakou Odilon Dorgeless Kossounou</t>
  </si>
  <si>
    <t>O. Kossounou</t>
  </si>
  <si>
    <t>Obite Evan Ndicka</t>
  </si>
  <si>
    <t>E. Ndicka</t>
  </si>
  <si>
    <t>Jean Michaël Seri</t>
  </si>
  <si>
    <t>J. Seri</t>
  </si>
  <si>
    <t>Ibrahim Sangaré</t>
  </si>
  <si>
    <t>Seko Fofana</t>
  </si>
  <si>
    <t>S. Fofana</t>
  </si>
  <si>
    <t>Parfait Guiagon</t>
  </si>
  <si>
    <t>P. Guiagon</t>
  </si>
  <si>
    <t>Franck Yannick Kessie</t>
  </si>
  <si>
    <t>F. Kessie</t>
  </si>
  <si>
    <t>Christ Ravynel Inao Oulaï</t>
  </si>
  <si>
    <t>C. Inao Oulaï</t>
  </si>
  <si>
    <t>Ange-Yoan Laurent Bonny</t>
  </si>
  <si>
    <t>A. Bonny</t>
  </si>
  <si>
    <t>Amad Diallo</t>
  </si>
  <si>
    <t>A. Diallo</t>
  </si>
  <si>
    <t>Simon Adingra</t>
  </si>
  <si>
    <t>S. Adingra</t>
  </si>
  <si>
    <t>Nicolas Pépé</t>
  </si>
  <si>
    <t>N. Pépé</t>
  </si>
  <si>
    <t>Yan Diomande</t>
  </si>
  <si>
    <t>Y. Diomande</t>
  </si>
  <si>
    <t>Evann Ludovic Vidjannagni Guessand</t>
  </si>
  <si>
    <t>E. Guessand</t>
  </si>
  <si>
    <t>Sepe Elye Delmas Wahi</t>
  </si>
  <si>
    <t>E. Wahi</t>
  </si>
  <si>
    <t>Bazoumana Touré</t>
  </si>
  <si>
    <t>B. Touré</t>
  </si>
  <si>
    <t>Oumar Diakité</t>
  </si>
  <si>
    <t>O. Diakité</t>
  </si>
  <si>
    <t>Hernán Ismael Galíndez</t>
  </si>
  <si>
    <t>H. Galíndez</t>
  </si>
  <si>
    <t>Gonzalo Roberto Valle Bustamante</t>
  </si>
  <si>
    <t>G. Valle</t>
  </si>
  <si>
    <t>Wellington Moisés Ramírez Preciado</t>
  </si>
  <si>
    <t>M. Ramírez</t>
  </si>
  <si>
    <t>Félix Eduardo Torres Caicedo</t>
  </si>
  <si>
    <t>F. Torres</t>
  </si>
  <si>
    <t>Pervis Josué Estupiñán Tenorio</t>
  </si>
  <si>
    <t>P. Estupiñán</t>
  </si>
  <si>
    <t>Piero Martín Hincapié Reyna</t>
  </si>
  <si>
    <t>P. Hincapié</t>
  </si>
  <si>
    <t>Ángelo Smit Preciado Quiñónez</t>
  </si>
  <si>
    <t>Á. Preciado</t>
  </si>
  <si>
    <t>Joel Leandro Ordóñez Guerrero</t>
  </si>
  <si>
    <t>J. Ordoñez</t>
  </si>
  <si>
    <t>Jackson Gabriel Porozo Vernaza</t>
  </si>
  <si>
    <t>J. Porozo</t>
  </si>
  <si>
    <t>Willian Joel Pacho Tenorio</t>
  </si>
  <si>
    <t>W. Pacho</t>
  </si>
  <si>
    <t>Yaimar Abel Medina Ortiz</t>
  </si>
  <si>
    <t>Y. Medina</t>
  </si>
  <si>
    <t>Jordy José Alcívar Macías</t>
  </si>
  <si>
    <t>J. Alcívar</t>
  </si>
  <si>
    <t>Denil Daniel Castillo Preciado</t>
  </si>
  <si>
    <t>D. Castillo</t>
  </si>
  <si>
    <t>Ray Kendry Páez Andrade</t>
  </si>
  <si>
    <t>K. Páez</t>
  </si>
  <si>
    <t>Alan Steven Franco Palma</t>
  </si>
  <si>
    <t>A. Franco</t>
  </si>
  <si>
    <t>Pedro Jeampierre Vite Uca</t>
  </si>
  <si>
    <t>P. Vite</t>
  </si>
  <si>
    <t>Moisés Caicedo</t>
  </si>
  <si>
    <t>M. Caicedo</t>
  </si>
  <si>
    <t>Anthony Valencia</t>
  </si>
  <si>
    <t>A. Valencia</t>
  </si>
  <si>
    <t>Jordy Caicedo</t>
  </si>
  <si>
    <t>J. Caicedo</t>
  </si>
  <si>
    <t>John Yeboah Zamora</t>
  </si>
  <si>
    <t>J. Yeboah</t>
  </si>
  <si>
    <t>Gonzalo Jordy Plata Jiménez</t>
  </si>
  <si>
    <t>G. Plata</t>
  </si>
  <si>
    <t>Kevin José Rodríguez Cortéz</t>
  </si>
  <si>
    <t>K. Rodríguez</t>
  </si>
  <si>
    <t>Nilson David Angulo Ramírez</t>
  </si>
  <si>
    <t>N. Angulo</t>
  </si>
  <si>
    <t>Enner Valencia</t>
  </si>
  <si>
    <t>E. Valencia</t>
  </si>
  <si>
    <t>Jeremy Alberto Arévalo Mera</t>
  </si>
  <si>
    <t>J. Arévalo</t>
  </si>
  <si>
    <t>Alan Steve Minda García</t>
  </si>
  <si>
    <t>A. Minda</t>
  </si>
  <si>
    <t>Mohamed El Shenawy</t>
  </si>
  <si>
    <t>Mostafa Shobeir</t>
  </si>
  <si>
    <t>El Mahdy Soliman</t>
  </si>
  <si>
    <t>Mohamed Alaa</t>
  </si>
  <si>
    <t>Yasser Ibrahim</t>
  </si>
  <si>
    <t>Mohamed Abdelmonem</t>
  </si>
  <si>
    <t>Mohamed Hany</t>
  </si>
  <si>
    <t>Ahmed Fatouh</t>
  </si>
  <si>
    <t>Hossam Abdelmaguid</t>
  </si>
  <si>
    <t>Karim Hafez</t>
  </si>
  <si>
    <t>Ramy Rabia</t>
  </si>
  <si>
    <t>Tarek Alaa</t>
  </si>
  <si>
    <t>Emam Ashour</t>
  </si>
  <si>
    <t>Marwan Attia</t>
  </si>
  <si>
    <t>Hamdi Fathy</t>
  </si>
  <si>
    <t>Mahmoud Saber</t>
  </si>
  <si>
    <t>Mohanad Lasheen</t>
  </si>
  <si>
    <t>Zizo</t>
  </si>
  <si>
    <t>Nabil Emad Dunga</t>
  </si>
  <si>
    <t>Trezeguet</t>
  </si>
  <si>
    <t>Haissem Hassan</t>
  </si>
  <si>
    <t>Hamza Abdelkarim</t>
  </si>
  <si>
    <t>Ibrahim Adel</t>
  </si>
  <si>
    <t>Omar Marmoush</t>
  </si>
  <si>
    <t>Mostafa Zico</t>
  </si>
  <si>
    <t>Jordan Lee Pickford</t>
  </si>
  <si>
    <t>James Harrington Trafford</t>
  </si>
  <si>
    <t>J. Trafford</t>
  </si>
  <si>
    <t>Dean Henderson</t>
  </si>
  <si>
    <t>D. Henderson</t>
  </si>
  <si>
    <t>Ezri Ngoyo Konsa</t>
  </si>
  <si>
    <t>Daniel Johnson Burn</t>
  </si>
  <si>
    <t>D. Burn</t>
  </si>
  <si>
    <t>Nico O'Reilly</t>
  </si>
  <si>
    <t>Reece Lewis James</t>
  </si>
  <si>
    <t>John Stones</t>
  </si>
  <si>
    <t>Diop Tehuti Djed-Hotep Spence</t>
  </si>
  <si>
    <t>D. Spence</t>
  </si>
  <si>
    <t>Addji Keaninkin Marc-Israel Guéhi</t>
  </si>
  <si>
    <t>Jarell Amorin Quansah</t>
  </si>
  <si>
    <t>J. Quansah</t>
  </si>
  <si>
    <t>Valentino Francisco Livramento</t>
  </si>
  <si>
    <t>T. Livramento</t>
  </si>
  <si>
    <t>Declan Rice</t>
  </si>
  <si>
    <t>Jordan Henderson</t>
  </si>
  <si>
    <t>J. Henderson</t>
  </si>
  <si>
    <t>Elliot Junior Anderson</t>
  </si>
  <si>
    <t>Kobbie Boateng Mainoo</t>
  </si>
  <si>
    <t>K. Mainoo</t>
  </si>
  <si>
    <t>Jude Victor William Bellingham</t>
  </si>
  <si>
    <t>Eberechi Oluchi Eze</t>
  </si>
  <si>
    <t>E. Eze</t>
  </si>
  <si>
    <t>Bukayo Ayoyinka Temidayo Saka</t>
  </si>
  <si>
    <t>Anthony Michael Gordon</t>
  </si>
  <si>
    <t>A. Gordon</t>
  </si>
  <si>
    <t>Harry Edward Kane</t>
  </si>
  <si>
    <t>Oliver George Arthur Watkins</t>
  </si>
  <si>
    <t>Marcus Rashford</t>
  </si>
  <si>
    <t>Chukwunonso Azuka Tristan Madueke</t>
  </si>
  <si>
    <t>N. Madueke</t>
  </si>
  <si>
    <t>Morgan Elliot Rogers</t>
  </si>
  <si>
    <t>Ivan Benjamin Elijah Toney</t>
  </si>
  <si>
    <t>I. Toney</t>
  </si>
  <si>
    <t>Brice Lauriche Samba</t>
  </si>
  <si>
    <t>B. Samba</t>
  </si>
  <si>
    <t>Robin François Philippe Risser</t>
  </si>
  <si>
    <t>R. Risser</t>
  </si>
  <si>
    <t>Mike Peterson Maignan</t>
  </si>
  <si>
    <t>Malo Arthur Gusto</t>
  </si>
  <si>
    <t>M. Gusto</t>
  </si>
  <si>
    <t>William Alain André Gabriel Saliba</t>
  </si>
  <si>
    <t>Lucas Digne</t>
  </si>
  <si>
    <t>L. Digne</t>
  </si>
  <si>
    <t>Théo Hernández</t>
  </si>
  <si>
    <t>Dayotchanculle Oswald Upamecano</t>
  </si>
  <si>
    <t>Lucas Hernández</t>
  </si>
  <si>
    <t>L. Hernández</t>
  </si>
  <si>
    <t>Jules Olivier Koundé</t>
  </si>
  <si>
    <t>Maxence Guy Lacroix</t>
  </si>
  <si>
    <t>M. Lacroix</t>
  </si>
  <si>
    <t>Ibrahima Konaté</t>
  </si>
  <si>
    <t>I. Konaté</t>
  </si>
  <si>
    <t>Kouadio Emmanuel Boris Koné</t>
  </si>
  <si>
    <t>Adrien Thibault Marie Rabiot-Provost</t>
  </si>
  <si>
    <t>A. Rabiot</t>
  </si>
  <si>
    <t>Aurélien Djani Tchouaméni</t>
  </si>
  <si>
    <t>Warren Marie Jean-Pierre Zaïre-Emery</t>
  </si>
  <si>
    <t>W. Zaïre-Emery</t>
  </si>
  <si>
    <t>Michael Akpovie Olise</t>
  </si>
  <si>
    <t>Mathis Rayan Cherki</t>
  </si>
  <si>
    <t>N'Golo Kanté</t>
  </si>
  <si>
    <t>N. Kanté</t>
  </si>
  <si>
    <t>Maghnes Akliouche</t>
  </si>
  <si>
    <t>M. Akliouche</t>
  </si>
  <si>
    <t>Masour Ousmane Dembélé</t>
  </si>
  <si>
    <t>Bradley Jean-Manuel Essolisam Addo Barcola</t>
  </si>
  <si>
    <t>Marcus Lilian Thuram-Ulien</t>
  </si>
  <si>
    <t>M. Thuram</t>
  </si>
  <si>
    <t>Désiré Nonka-Maho Doué</t>
  </si>
  <si>
    <t>Kylian Mbappé Lottin</t>
  </si>
  <si>
    <t>Jean-Philippe Mateta</t>
  </si>
  <si>
    <t>J. Mateta</t>
  </si>
  <si>
    <t>Manuel Peter Neuer</t>
  </si>
  <si>
    <t>Alexander Nübel</t>
  </si>
  <si>
    <t>A. Nübel</t>
  </si>
  <si>
    <t>Oliver Baumann</t>
  </si>
  <si>
    <t>O. Baumann</t>
  </si>
  <si>
    <t>Antonio Rüdiger</t>
  </si>
  <si>
    <t>Nathaniel Christopher Brown</t>
  </si>
  <si>
    <t>Waldemar Anton</t>
  </si>
  <si>
    <t>W. Anton</t>
  </si>
  <si>
    <t>David Raum</t>
  </si>
  <si>
    <t>Jonathan Glao Tah</t>
  </si>
  <si>
    <t>Malick Thiaw</t>
  </si>
  <si>
    <t>M. Thiaw</t>
  </si>
  <si>
    <t>Nico Cédric Schlotterbeck</t>
  </si>
  <si>
    <t>Aleksandar Pavlović</t>
  </si>
  <si>
    <t>A. Pavlović</t>
  </si>
  <si>
    <t>Angelo Nicolas Stiller</t>
  </si>
  <si>
    <t>A. Stiller</t>
  </si>
  <si>
    <t>Joshua Walter Kimmich</t>
  </si>
  <si>
    <t>Florian Richard Wirtz</t>
  </si>
  <si>
    <t>Leon Christoph Goretzka</t>
  </si>
  <si>
    <t>Nadiem Amiri</t>
  </si>
  <si>
    <t>N. Amiri</t>
  </si>
  <si>
    <t>Jamal Musiala</t>
  </si>
  <si>
    <t>Felix Kalu Nmecha</t>
  </si>
  <si>
    <t>Pascal Alexander Groß</t>
  </si>
  <si>
    <t>P. Groß</t>
  </si>
  <si>
    <t>Forzan Assan Ouédraogo</t>
  </si>
  <si>
    <t>A. Ouédraogo</t>
  </si>
  <si>
    <t>Kai Lukas Havertz</t>
  </si>
  <si>
    <t>Maximilian Beier</t>
  </si>
  <si>
    <t>M. Beier</t>
  </si>
  <si>
    <t>Jamie Jaleel Jeremy Leweling</t>
  </si>
  <si>
    <t>J. Leweling</t>
  </si>
  <si>
    <t>Leroy Aziz Sané</t>
  </si>
  <si>
    <t>Nick Woltemade</t>
  </si>
  <si>
    <t>N. Woltemade</t>
  </si>
  <si>
    <t>Deniz Undav</t>
  </si>
  <si>
    <t>D. Undav</t>
  </si>
  <si>
    <t>Lawrence Ati Zigi</t>
  </si>
  <si>
    <t>L. Zigi</t>
  </si>
  <si>
    <t>Benjamin Asare</t>
  </si>
  <si>
    <t>B. Asare</t>
  </si>
  <si>
    <t>Joseph Tetteh Anang</t>
  </si>
  <si>
    <t>J. Anang</t>
  </si>
  <si>
    <t>Alidu Seidu</t>
  </si>
  <si>
    <t>A. Seidu</t>
  </si>
  <si>
    <t>Jerome Osei Opoku</t>
  </si>
  <si>
    <t>J. Opoku</t>
  </si>
  <si>
    <t>Jonas Adjei Adjetey</t>
  </si>
  <si>
    <t>J. Adjetey</t>
  </si>
  <si>
    <t>Kojo Peprah Oppong</t>
  </si>
  <si>
    <t>K. Peprah Oppong</t>
  </si>
  <si>
    <t>Abdul Mumin Suleman</t>
  </si>
  <si>
    <t>A. Mumin</t>
  </si>
  <si>
    <t>Derrick Luckassen</t>
  </si>
  <si>
    <t>D. Luckassen</t>
  </si>
  <si>
    <t>Gideon Mensah</t>
  </si>
  <si>
    <t>G. Mensah</t>
  </si>
  <si>
    <t>Marvin Elom Senaya</t>
  </si>
  <si>
    <t>M. Senaya</t>
  </si>
  <si>
    <t>Abdul Rahman Baba</t>
  </si>
  <si>
    <t>A. Baba</t>
  </si>
  <si>
    <t>Caleb Marfo Yirenkyi</t>
  </si>
  <si>
    <t>C. Yirenkyi</t>
  </si>
  <si>
    <t>Kwasi Sibo</t>
  </si>
  <si>
    <t>K. Sibo</t>
  </si>
  <si>
    <t>Thomas Teye Partey</t>
  </si>
  <si>
    <t>T. Partey</t>
  </si>
  <si>
    <t>Elisha Owusu</t>
  </si>
  <si>
    <t>E. Owusu</t>
  </si>
  <si>
    <t>Abdul Fatawu</t>
  </si>
  <si>
    <t>A. Fatawu</t>
  </si>
  <si>
    <t>Iñaki Williams Arthuer</t>
  </si>
  <si>
    <t>I. Williams</t>
  </si>
  <si>
    <t>Jordan Pierre Ayew</t>
  </si>
  <si>
    <t>J. Ayew</t>
  </si>
  <si>
    <t>Augustine Boakye</t>
  </si>
  <si>
    <t>A. Boakye</t>
  </si>
  <si>
    <t>Solomon Brandon Michael Clarke Thomas-Asante</t>
  </si>
  <si>
    <t>B. Thomas-Asante</t>
  </si>
  <si>
    <t>Kamaldeen Sulemana</t>
  </si>
  <si>
    <t>K. Sulemana</t>
  </si>
  <si>
    <t>Antoine Serlom Semenyo</t>
  </si>
  <si>
    <t>A. Semenyo</t>
  </si>
  <si>
    <t>Ernest Nuamah Appiah</t>
  </si>
  <si>
    <t>E. Nuamah</t>
  </si>
  <si>
    <t>Christopher Bonsu Baah</t>
  </si>
  <si>
    <t>C. Bonsu Baah</t>
  </si>
  <si>
    <t>Prince Kwabena Adu</t>
  </si>
  <si>
    <t>P. Adu</t>
  </si>
  <si>
    <t>Johny Placide</t>
  </si>
  <si>
    <t>J. Placide</t>
  </si>
  <si>
    <t>Josué Duverger</t>
  </si>
  <si>
    <t>J. Duverger</t>
  </si>
  <si>
    <t>Alexandre Pierre</t>
  </si>
  <si>
    <t>A. Pierre</t>
  </si>
  <si>
    <t>Carlens Jean Fedlaire Ruby Arcus</t>
  </si>
  <si>
    <t>C. Arcus</t>
  </si>
  <si>
    <t>Martin Yves Robenrns Didier Expérience</t>
  </si>
  <si>
    <t>M. Expérience</t>
  </si>
  <si>
    <t>Keeto Thermoncy</t>
  </si>
  <si>
    <t>K. Thermoncy</t>
  </si>
  <si>
    <t>Markhus Lacroix</t>
  </si>
  <si>
    <t>D. Lacroix</t>
  </si>
  <si>
    <t>Ricardo Adé Kat</t>
  </si>
  <si>
    <t>R. Adé</t>
  </si>
  <si>
    <t>Jean-Kévin Duverne</t>
  </si>
  <si>
    <t>J. Duverne</t>
  </si>
  <si>
    <t>Hannes Piterson Delcroix</t>
  </si>
  <si>
    <t>H. Delcroix</t>
  </si>
  <si>
    <t>Wilguens Raphaël Polynice Paugain</t>
  </si>
  <si>
    <t>W. Paugain</t>
  </si>
  <si>
    <t>Carl Fred Sainté</t>
  </si>
  <si>
    <t>C. Sainté</t>
  </si>
  <si>
    <t>Danley Jean Jacques</t>
  </si>
  <si>
    <t>D. Jean Jacques</t>
  </si>
  <si>
    <t>Jean-Ricner Bellegarde</t>
  </si>
  <si>
    <t>J. Bellegarde</t>
  </si>
  <si>
    <t>Dominique Célidor Simon</t>
  </si>
  <si>
    <t>D. Simon</t>
  </si>
  <si>
    <t>Leverton Pierre</t>
  </si>
  <si>
    <t>L. Pierre</t>
  </si>
  <si>
    <t>Woodensky Pierre</t>
  </si>
  <si>
    <t>W. Pierre</t>
  </si>
  <si>
    <t>Derrick Burckley Etienne Jr.</t>
  </si>
  <si>
    <t>D. Etienne</t>
  </si>
  <si>
    <t>Wilson Isidor</t>
  </si>
  <si>
    <t>W. Isidor</t>
  </si>
  <si>
    <t>Duckens Moïse Nazon</t>
  </si>
  <si>
    <t>D. Nazon</t>
  </si>
  <si>
    <t>Yassin Enzo Fortuné</t>
  </si>
  <si>
    <t>Y. Fortuné</t>
  </si>
  <si>
    <t>Louicius Don Deedson</t>
  </si>
  <si>
    <t>L. Deedson</t>
  </si>
  <si>
    <t>Frantzdy Pierrot</t>
  </si>
  <si>
    <t>F. Pierrot</t>
  </si>
  <si>
    <t>Ruben Fritzner Providence</t>
  </si>
  <si>
    <t>R. Providence</t>
  </si>
  <si>
    <t>Josué Jeremie Casimir</t>
  </si>
  <si>
    <t>J. Casimir</t>
  </si>
  <si>
    <t>Lenny Alvin Pico Joseph</t>
  </si>
  <si>
    <t>L. Joseph</t>
  </si>
  <si>
    <t>Alireza Safar Beiranvand</t>
  </si>
  <si>
    <t>A. Beiranvand</t>
  </si>
  <si>
    <t>Iran</t>
  </si>
  <si>
    <t>Seyed Hossein Hosseini</t>
  </si>
  <si>
    <t>H. Hosseini</t>
  </si>
  <si>
    <t>Seyed Payam Niazmand Ghader</t>
  </si>
  <si>
    <t>P. Niazmand</t>
  </si>
  <si>
    <t>Saleh Hardani Kherad</t>
  </si>
  <si>
    <t>S. Hardani</t>
  </si>
  <si>
    <t>Arya Yousefi</t>
  </si>
  <si>
    <t>A. Yousefi</t>
  </si>
  <si>
    <t>Ehsan Hajisafi</t>
  </si>
  <si>
    <t>E. Hajisafi</t>
  </si>
  <si>
    <t>Ali Nemati</t>
  </si>
  <si>
    <t>A. Nemati</t>
  </si>
  <si>
    <t>Shoja Khalilzadeh</t>
  </si>
  <si>
    <t>S. Khalilzadeh</t>
  </si>
  <si>
    <t>Ramin Rezaeian Semeskandi</t>
  </si>
  <si>
    <t>R. Rezaeian</t>
  </si>
  <si>
    <t>Milad Mohammadi Keshmarzi</t>
  </si>
  <si>
    <t>M. Mohammadi</t>
  </si>
  <si>
    <t>Danial Eiri</t>
  </si>
  <si>
    <t>D. Eiri</t>
  </si>
  <si>
    <t>Mohammad Hossein Kanani Zadegan</t>
  </si>
  <si>
    <t>H. Kanani</t>
  </si>
  <si>
    <t>Saeid Ezatolahi Afagh</t>
  </si>
  <si>
    <t>S. Ezatolahi</t>
  </si>
  <si>
    <t>Mehdi Torabi</t>
  </si>
  <si>
    <t>M. Torabi</t>
  </si>
  <si>
    <t>Mohammad Mohebbi</t>
  </si>
  <si>
    <t>M. Mohebbi</t>
  </si>
  <si>
    <t>Mohammad Rasoul Ghorbani</t>
  </si>
  <si>
    <t>M. Ghorbani</t>
  </si>
  <si>
    <t>Seyed Saman Ghoddos</t>
  </si>
  <si>
    <t>S. Ghoddos</t>
  </si>
  <si>
    <t>Amir Mohammad Razzaghinia</t>
  </si>
  <si>
    <t>A. Razzaghinia</t>
  </si>
  <si>
    <t>Roozbeh Cheshmi</t>
  </si>
  <si>
    <t>R. Cheshmi</t>
  </si>
  <si>
    <t>Alireza Jahanbakhsh Jirandeh</t>
  </si>
  <si>
    <t>A. Jahanbakhsh</t>
  </si>
  <si>
    <t>Amirhossein Hosseinzadeh Tazeh Gheshlagh</t>
  </si>
  <si>
    <t>A. Hosseinzadeh</t>
  </si>
  <si>
    <t>Mehdi Taremi</t>
  </si>
  <si>
    <t>M. Taremi</t>
  </si>
  <si>
    <t>Shahriyar Hojat Moghanloo</t>
  </si>
  <si>
    <t>S. Moghanloo</t>
  </si>
  <si>
    <t>Mehdi Abdolhamid Ghayedi</t>
  </si>
  <si>
    <t>M. Ghayedi</t>
  </si>
  <si>
    <t>Dennis Yerai Eckert Ayensa</t>
  </si>
  <si>
    <t>D. Dargahi</t>
  </si>
  <si>
    <t>Ali Alipour Ghara</t>
  </si>
  <si>
    <t>A. Alipour</t>
  </si>
  <si>
    <t>Fahad Talib</t>
  </si>
  <si>
    <t>Ahmed Basil</t>
  </si>
  <si>
    <t>Jalal Hassan</t>
  </si>
  <si>
    <t>Rebin Sulaka</t>
  </si>
  <si>
    <t>Ahmed Maknzi</t>
  </si>
  <si>
    <t>Hussein Ali</t>
  </si>
  <si>
    <t>Merchas Doski</t>
  </si>
  <si>
    <t>Zaid Tahseen</t>
  </si>
  <si>
    <t>Mustafa Saadoon</t>
  </si>
  <si>
    <t>Akam Hashim</t>
  </si>
  <si>
    <t>Frans Putros</t>
  </si>
  <si>
    <t>Munaf Younus</t>
  </si>
  <si>
    <t>Ibrahim Bayesh</t>
  </si>
  <si>
    <t>Aimar Sher</t>
  </si>
  <si>
    <t>Zidane Iqbal</t>
  </si>
  <si>
    <t>Marko Farji</t>
  </si>
  <si>
    <t>Amir Al Ammari</t>
  </si>
  <si>
    <t>Zaid Ismael</t>
  </si>
  <si>
    <t>Kevin Enkido Yakob</t>
  </si>
  <si>
    <t>K. Yakob</t>
  </si>
  <si>
    <t>Youssef Amyn</t>
  </si>
  <si>
    <t>Ali Yousif</t>
  </si>
  <si>
    <t>Ali Al Hamadi</t>
  </si>
  <si>
    <t>Ali Jasim</t>
  </si>
  <si>
    <t>Mohanad Ali</t>
  </si>
  <si>
    <t>Aymen Hussein</t>
  </si>
  <si>
    <t>Ahmed Qasem</t>
  </si>
  <si>
    <t>Zion Suzuki</t>
  </si>
  <si>
    <t>Tomoki Hayakawa</t>
  </si>
  <si>
    <t>T. Hayakawa</t>
  </si>
  <si>
    <t>Keisuke Osako</t>
  </si>
  <si>
    <t>K. Osako</t>
  </si>
  <si>
    <t>Yukinari Sugawara</t>
  </si>
  <si>
    <t>Y. Sugawara</t>
  </si>
  <si>
    <t>Ayumu Seko</t>
  </si>
  <si>
    <t>A. Seko</t>
  </si>
  <si>
    <t>Shogo Taniguchi</t>
  </si>
  <si>
    <t>S. Taniguchi</t>
  </si>
  <si>
    <t>Hiroki Ito</t>
  </si>
  <si>
    <t>H. Ito</t>
  </si>
  <si>
    <t>Ko Itakura</t>
  </si>
  <si>
    <t>K. Itakura</t>
  </si>
  <si>
    <t>Takehiro Tomiyasu</t>
  </si>
  <si>
    <t>T. Tomiyasu</t>
  </si>
  <si>
    <t>Yuto Nagatomo</t>
  </si>
  <si>
    <t>Y. Nagatomo</t>
  </si>
  <si>
    <t>Junnosuke Suzuki</t>
  </si>
  <si>
    <t>J. Suzuki</t>
  </si>
  <si>
    <t>Tsuyoshi Watanabe</t>
  </si>
  <si>
    <t>T. Watanabe</t>
  </si>
  <si>
    <t>Wataru Endo</t>
  </si>
  <si>
    <t>W. Endo</t>
  </si>
  <si>
    <t>Daichi Kamada</t>
  </si>
  <si>
    <t>D. Kamada</t>
  </si>
  <si>
    <t>Ao Tanaka</t>
  </si>
  <si>
    <t>A. Tanaka</t>
  </si>
  <si>
    <t>Yuito Suzuki</t>
  </si>
  <si>
    <t>Y. Suzuki</t>
  </si>
  <si>
    <t>Ritsu Doan</t>
  </si>
  <si>
    <t>R. Doan</t>
  </si>
  <si>
    <t>Kaishu Sano</t>
  </si>
  <si>
    <t>K. Sano</t>
  </si>
  <si>
    <t>Takefusa Kubo</t>
  </si>
  <si>
    <t>T. Kubo</t>
  </si>
  <si>
    <t>Junya Ito</t>
  </si>
  <si>
    <t>J. Ito</t>
  </si>
  <si>
    <t>Keisuke Goto</t>
  </si>
  <si>
    <t>K. Goto</t>
  </si>
  <si>
    <t>Ayase Ueda</t>
  </si>
  <si>
    <t>A. Ueda</t>
  </si>
  <si>
    <t>Daizen Maeda</t>
  </si>
  <si>
    <t>D. Maeda</t>
  </si>
  <si>
    <t>Koki Ogawa</t>
  </si>
  <si>
    <t>K. Ogawa</t>
  </si>
  <si>
    <t>Keito Nakamura</t>
  </si>
  <si>
    <t>K. Nakamura</t>
  </si>
  <si>
    <t>Kento Shiogai</t>
  </si>
  <si>
    <t>K. Shiogai</t>
  </si>
  <si>
    <t>Yazeed Abulaila</t>
  </si>
  <si>
    <t>Abdallah Al Fakhori</t>
  </si>
  <si>
    <t>Nour Bani Ateyah</t>
  </si>
  <si>
    <t>Mohammad Abu Hasheesh</t>
  </si>
  <si>
    <t>Saleem Obaid</t>
  </si>
  <si>
    <t>Abdallah Nasib</t>
  </si>
  <si>
    <t>Saed Al Rosan</t>
  </si>
  <si>
    <t>Husam Abu Dahab</t>
  </si>
  <si>
    <t>Mohannad Abu Taha</t>
  </si>
  <si>
    <t>Yazan Al Arab</t>
  </si>
  <si>
    <t>Ehsan Haddad</t>
  </si>
  <si>
    <t>Amer Jamous</t>
  </si>
  <si>
    <t>Anas Badawi</t>
  </si>
  <si>
    <t>Mohammad Abu Al Nadi</t>
  </si>
  <si>
    <t>Noor Al Rawabdeh</t>
  </si>
  <si>
    <t>Nizar Al Rashdan</t>
  </si>
  <si>
    <t>Raja'ei Ayed</t>
  </si>
  <si>
    <t>Mohammad Al Daoud</t>
  </si>
  <si>
    <t>Ibrahim Sadeh</t>
  </si>
  <si>
    <t>Mohammad Abu Zraiq</t>
  </si>
  <si>
    <t>Odeh Fakhoury</t>
  </si>
  <si>
    <t>Ali Olwan</t>
  </si>
  <si>
    <t>Mahmoud Al Mardi</t>
  </si>
  <si>
    <t>Mousa Al Tamari</t>
  </si>
  <si>
    <t>Ali Azaizeh</t>
  </si>
  <si>
    <t>Kim Seung-Gyu</t>
  </si>
  <si>
    <t>Jo Hyeon-Woo</t>
  </si>
  <si>
    <t>Song Bum-Keun</t>
  </si>
  <si>
    <t>Lee Han-Beom</t>
  </si>
  <si>
    <t>Lee Tae-Seok</t>
  </si>
  <si>
    <t>Lee Gi-Hyuk</t>
  </si>
  <si>
    <t>Cho Wi-Je</t>
  </si>
  <si>
    <t>Kim Moon-Hwan</t>
  </si>
  <si>
    <t>Kim Tae-Hyeon</t>
  </si>
  <si>
    <t>Seol Young-Woo</t>
  </si>
  <si>
    <t>Hwang In-Beom</t>
  </si>
  <si>
    <t>Lee Kang-In</t>
  </si>
  <si>
    <t>Paik Seung-Ho</t>
  </si>
  <si>
    <t>Jens Castrop</t>
  </si>
  <si>
    <t>J. Castrop</t>
  </si>
  <si>
    <t>Lee Jae-Sung</t>
  </si>
  <si>
    <t>Kim Jin-Gyu</t>
  </si>
  <si>
    <t>Park Jin-Seob</t>
  </si>
  <si>
    <t>Lee Dong-Gyeong</t>
  </si>
  <si>
    <t>Bae Jun-Ho</t>
  </si>
  <si>
    <t>Oh Hyeon-Gyu</t>
  </si>
  <si>
    <t>Cho Gue-Sung</t>
  </si>
  <si>
    <t>Yang Hyun-Jun</t>
  </si>
  <si>
    <t>Hwang Hee-Chan</t>
  </si>
  <si>
    <t>Eom Ji-Sung</t>
  </si>
  <si>
    <t>José Raúl Rangel Aguilar</t>
  </si>
  <si>
    <t>R. Rangel</t>
  </si>
  <si>
    <t>Francisco Guillermo Ochoa Magaña</t>
  </si>
  <si>
    <t>G. Ochoa</t>
  </si>
  <si>
    <t>Carlos Acevedo López</t>
  </si>
  <si>
    <t>C. Acevedo</t>
  </si>
  <si>
    <t>Jorge Eduardo Sánchez Ramos</t>
  </si>
  <si>
    <t>J. Sánchez</t>
  </si>
  <si>
    <t>Israel Reyes Romero</t>
  </si>
  <si>
    <t>I. Reyes</t>
  </si>
  <si>
    <t>César Jasib Montes Castro</t>
  </si>
  <si>
    <t>C. Montes</t>
  </si>
  <si>
    <t>Mateo Chávez</t>
  </si>
  <si>
    <t>M. Chávez</t>
  </si>
  <si>
    <t>Johan Felipe Vásquez Ibarra</t>
  </si>
  <si>
    <t>J. Vásquez</t>
  </si>
  <si>
    <t>Jesús Daniel Gallardo Vasconcelos</t>
  </si>
  <si>
    <t>J. Gallardo</t>
  </si>
  <si>
    <t>Edson Omar Álvarez Velázquez</t>
  </si>
  <si>
    <t>E. Álvarez</t>
  </si>
  <si>
    <t>Obed Gómez Vargas</t>
  </si>
  <si>
    <t>O. Vargas</t>
  </si>
  <si>
    <t>Érik Antonio Lira Méndez</t>
  </si>
  <si>
    <t>É. Lira</t>
  </si>
  <si>
    <t>Gilberto Rafael Mora Zambrano</t>
  </si>
  <si>
    <t>G. Mora</t>
  </si>
  <si>
    <t>Luis Francisco Romo Barrón</t>
  </si>
  <si>
    <t>L. Romo</t>
  </si>
  <si>
    <t>César Saúl Huerta Valera</t>
  </si>
  <si>
    <t>C. Huerta</t>
  </si>
  <si>
    <t>Álvaro Fidalgo Fernández</t>
  </si>
  <si>
    <t>Á. Fidalgo</t>
  </si>
  <si>
    <t>Luis Chávez</t>
  </si>
  <si>
    <t>L. Chávez</t>
  </si>
  <si>
    <t>Orbelín Pineda Alvarado</t>
  </si>
  <si>
    <t>O. Pineda</t>
  </si>
  <si>
    <t>Brian Gutiérrez</t>
  </si>
  <si>
    <t>B. Gutiérrez</t>
  </si>
  <si>
    <t>Raúl Alonso Jiménez Rodríguez</t>
  </si>
  <si>
    <t>Julián Andrés Quiñones Quiñones</t>
  </si>
  <si>
    <t>J. Quiñones</t>
  </si>
  <si>
    <t>Ernesto Alexis Vega Rojas</t>
  </si>
  <si>
    <t>A. Vega</t>
  </si>
  <si>
    <t>Guillermo Martínez Ayala</t>
  </si>
  <si>
    <t>G. Martínez</t>
  </si>
  <si>
    <t>Santiago Tomás Giménez Zolotarchuk</t>
  </si>
  <si>
    <t>S. Giménez</t>
  </si>
  <si>
    <t>Roberto Carlos Alvarado Hernández</t>
  </si>
  <si>
    <t>R. Alvarado</t>
  </si>
  <si>
    <t>Armando González Alba</t>
  </si>
  <si>
    <t>A. González</t>
  </si>
  <si>
    <t>Yassine Bounou</t>
  </si>
  <si>
    <t>Ahmed Reda Tagnaouti</t>
  </si>
  <si>
    <t>A. Tagnaouti</t>
  </si>
  <si>
    <t>Munir Mohand Mohamedi El Kajoui</t>
  </si>
  <si>
    <t>M. El Kajoui</t>
  </si>
  <si>
    <t>Achraf Hakimi Mouh</t>
  </si>
  <si>
    <t>Chadi Riad Dnanou</t>
  </si>
  <si>
    <t>C. Riad</t>
  </si>
  <si>
    <t>Noussair Mazraoui</t>
  </si>
  <si>
    <t>N. Mazraoui</t>
  </si>
  <si>
    <t>Youssef Belammari</t>
  </si>
  <si>
    <t>Y. Belammari</t>
  </si>
  <si>
    <t>Nayef Aguerd</t>
  </si>
  <si>
    <t>N. Aguerd</t>
  </si>
  <si>
    <t>Redouane Halhal</t>
  </si>
  <si>
    <t>R. Halhal</t>
  </si>
  <si>
    <t>Zakaria El Ouahdi</t>
  </si>
  <si>
    <t>Z. El Ouahdi</t>
  </si>
  <si>
    <t>Anass Salah-Eddine</t>
  </si>
  <si>
    <t>A. Salah-Eddine</t>
  </si>
  <si>
    <t>Issa Laye Lucas Jean Diop</t>
  </si>
  <si>
    <t>I. Diop</t>
  </si>
  <si>
    <t>Sofyan Amrabat</t>
  </si>
  <si>
    <t>S. Amrabat</t>
  </si>
  <si>
    <t>Ismael Saibari Ben El Basra</t>
  </si>
  <si>
    <t>I. Saibari</t>
  </si>
  <si>
    <t>Ayyoub Bouaddi</t>
  </si>
  <si>
    <t>A. Bouaddi</t>
  </si>
  <si>
    <t>Samir El Mourabet</t>
  </si>
  <si>
    <t>S. El Mourabet</t>
  </si>
  <si>
    <t>Azzedine Ounahi</t>
  </si>
  <si>
    <t>A. Ounahi</t>
  </si>
  <si>
    <t>Bilal El Khannouss</t>
  </si>
  <si>
    <t>B. El Khannouss</t>
  </si>
  <si>
    <t>Brahim Abdelkader Díaz</t>
  </si>
  <si>
    <t>Neil Yoni El Aynaoui</t>
  </si>
  <si>
    <t>N. El Aynaoui</t>
  </si>
  <si>
    <t>Chemsdine Talbi</t>
  </si>
  <si>
    <t>C. Talbi</t>
  </si>
  <si>
    <t>Abdessamad Ezzalzouli</t>
  </si>
  <si>
    <t>A. Ezzalzouli</t>
  </si>
  <si>
    <t>Soufiane Rahimi</t>
  </si>
  <si>
    <t>S. Rahimi</t>
  </si>
  <si>
    <t>Ayoub El Kaabi</t>
  </si>
  <si>
    <t>A. El Kaabi</t>
  </si>
  <si>
    <t>Gessime Ben Youssef Mustapha Yassine</t>
  </si>
  <si>
    <t>G. Yassine</t>
  </si>
  <si>
    <t>Ayoube Amaimouni-Echghouyab</t>
  </si>
  <si>
    <t>A. Amaimouni-Echghouyab</t>
  </si>
  <si>
    <t>Bart Verbruggen</t>
  </si>
  <si>
    <t>Mark Maria Hubertus Flekken</t>
  </si>
  <si>
    <t>M. Flekken</t>
  </si>
  <si>
    <t>Robin Gerardus Petrus Roefs</t>
  </si>
  <si>
    <t>R. Roefs</t>
  </si>
  <si>
    <t>Jurriën Timber</t>
  </si>
  <si>
    <t>J. Timber</t>
  </si>
  <si>
    <t>Micky van de Ven</t>
  </si>
  <si>
    <t>Virgil van Dijk</t>
  </si>
  <si>
    <t>Denzel Justus Morris Dumfries</t>
  </si>
  <si>
    <t>Nathan Benjamin Aké</t>
  </si>
  <si>
    <t>N. Aké</t>
  </si>
  <si>
    <t>Jorrel Evan Hato</t>
  </si>
  <si>
    <t>J. Hato</t>
  </si>
  <si>
    <t>Jan Paul van Hecke</t>
  </si>
  <si>
    <t>J. van Hecke</t>
  </si>
  <si>
    <t>Marten Elco de Roon</t>
  </si>
  <si>
    <t>M. de Roon</t>
  </si>
  <si>
    <t>Guus Berend Til</t>
  </si>
  <si>
    <t>G. Til</t>
  </si>
  <si>
    <t>Ryan Jiro Gravenberch</t>
  </si>
  <si>
    <t>Teun Koopmeiners</t>
  </si>
  <si>
    <t>T. Koopmeiners</t>
  </si>
  <si>
    <t>Mats Henrik Berne Wieffer</t>
  </si>
  <si>
    <t>M. Wieffer</t>
  </si>
  <si>
    <t>Frenkie de Jong</t>
  </si>
  <si>
    <t>Tijjani Martinus Jan Reijnders Lekatompessy</t>
  </si>
  <si>
    <t>T. Reijnders</t>
  </si>
  <si>
    <t>Quinten Timber</t>
  </si>
  <si>
    <t>Q. Timber</t>
  </si>
  <si>
    <t>Justin Dean Kluivert</t>
  </si>
  <si>
    <t>J. Kluivert</t>
  </si>
  <si>
    <t>Noa Noëll Lang</t>
  </si>
  <si>
    <t>N. Lang</t>
  </si>
  <si>
    <t>Wout François Maria Weghorst</t>
  </si>
  <si>
    <t>W. Weghorst</t>
  </si>
  <si>
    <t>Donyell Malen</t>
  </si>
  <si>
    <t>D. Malen</t>
  </si>
  <si>
    <t>Memphis Depay</t>
  </si>
  <si>
    <t>Brian Ebenezer Adjei Brobbey</t>
  </si>
  <si>
    <t>Cody Mathès Gakpo</t>
  </si>
  <si>
    <t>Crysencio Jilbert Sylverio Cirro Summerville</t>
  </si>
  <si>
    <t>C. Summerville</t>
  </si>
  <si>
    <t>Maxime Teremoana Crocombe</t>
  </si>
  <si>
    <t>M. Crocombe</t>
  </si>
  <si>
    <t>Michael Cornelis Woud</t>
  </si>
  <si>
    <t>M. Woud</t>
  </si>
  <si>
    <t>Alexander Noah Paulsen</t>
  </si>
  <si>
    <t>A. Paulsen</t>
  </si>
  <si>
    <t>Timothy John Payne</t>
  </si>
  <si>
    <t>T. Payne</t>
  </si>
  <si>
    <t>Nando Zen Pijnaker</t>
  </si>
  <si>
    <t>N. Pijnaker</t>
  </si>
  <si>
    <t>Francis de Vries</t>
  </si>
  <si>
    <t>F. de Vries</t>
  </si>
  <si>
    <t>Finn Surman</t>
  </si>
  <si>
    <t>F. Surman</t>
  </si>
  <si>
    <t>Tyler Grant Bindon</t>
  </si>
  <si>
    <t>T. Bindon</t>
  </si>
  <si>
    <t>Callan Rennie Elliot</t>
  </si>
  <si>
    <t>C. Elliot</t>
  </si>
  <si>
    <t>Michael Joseph Boxall</t>
  </si>
  <si>
    <t>M. Boxall</t>
  </si>
  <si>
    <t>Thomas Jefferson Smith</t>
  </si>
  <si>
    <t>T. Smith</t>
  </si>
  <si>
    <t>Liberato Gianpaolo Cacace</t>
  </si>
  <si>
    <t>L. Cacace</t>
  </si>
  <si>
    <t>Joe Zen Robert Bell</t>
  </si>
  <si>
    <t>J. Bell</t>
  </si>
  <si>
    <t>Alex Arthur Rufer</t>
  </si>
  <si>
    <t>A. Rufer</t>
  </si>
  <si>
    <t>Matthew Jimmy David Garbett</t>
  </si>
  <si>
    <t>M. Garbett</t>
  </si>
  <si>
    <t>Callum William McCowatt</t>
  </si>
  <si>
    <t>C. McCowatt</t>
  </si>
  <si>
    <t>Marko Seufatu Nikola Stamenić</t>
  </si>
  <si>
    <t>M. Stamenić</t>
  </si>
  <si>
    <t>Ryan Jared Thomas</t>
  </si>
  <si>
    <t>R. Thomas</t>
  </si>
  <si>
    <t>Sarpreet Singh</t>
  </si>
  <si>
    <t>S. Singh</t>
  </si>
  <si>
    <t>Lachlan Ryan Bayliss</t>
  </si>
  <si>
    <t>L. Bayliss</t>
  </si>
  <si>
    <t>Christopher Grant Wood</t>
  </si>
  <si>
    <t>C. Wood</t>
  </si>
  <si>
    <t>Benjamin Peter Waine</t>
  </si>
  <si>
    <t>B. Waine</t>
  </si>
  <si>
    <t>Elijah Henry Just</t>
  </si>
  <si>
    <t>E. Just</t>
  </si>
  <si>
    <t>Benjamin Craig Old</t>
  </si>
  <si>
    <t>B. Old</t>
  </si>
  <si>
    <t>Konstantinos Barbarouses</t>
  </si>
  <si>
    <t>K. Barbarouses</t>
  </si>
  <si>
    <t>Jesse Carmichael Randall</t>
  </si>
  <si>
    <t>J. Randall</t>
  </si>
  <si>
    <t>Ørjan Håskjold Nyland</t>
  </si>
  <si>
    <t>Ø. Nyland</t>
  </si>
  <si>
    <t>Egil Selvik</t>
  </si>
  <si>
    <t>E. Selvik</t>
  </si>
  <si>
    <t>Sander Tangvik</t>
  </si>
  <si>
    <t>S. Tangvik</t>
  </si>
  <si>
    <t>Kristoffer Vassbakk Köpp Ajer</t>
  </si>
  <si>
    <t>K. Ajer</t>
  </si>
  <si>
    <t>Torbjørn Lysaker Heggem</t>
  </si>
  <si>
    <t>T. Heggem</t>
  </si>
  <si>
    <t>Leo Skiri Østigård</t>
  </si>
  <si>
    <t>L. Østigård</t>
  </si>
  <si>
    <t>Sondre Klingen Langås</t>
  </si>
  <si>
    <t>S. Langås</t>
  </si>
  <si>
    <t>David Møller Wolfe</t>
  </si>
  <si>
    <t>D. Møller Wolfe</t>
  </si>
  <si>
    <t>Henrik Sælebakke Falchener</t>
  </si>
  <si>
    <t>H. Falchener</t>
  </si>
  <si>
    <t>Fredrik André Bjørkan</t>
  </si>
  <si>
    <t>F. Bjørkan</t>
  </si>
  <si>
    <t>Julian Ryerson</t>
  </si>
  <si>
    <t>J. Ryerson</t>
  </si>
  <si>
    <t>Marcus Holmgren Pedersen</t>
  </si>
  <si>
    <t>M. Pedersen</t>
  </si>
  <si>
    <t>Morten Thorsby</t>
  </si>
  <si>
    <t>M. Thorsby</t>
  </si>
  <si>
    <t>Kristian Thorstvedt</t>
  </si>
  <si>
    <t>K. Thorstvedt</t>
  </si>
  <si>
    <t>Patrick Berg</t>
  </si>
  <si>
    <t>P. Berg</t>
  </si>
  <si>
    <t>Thelonious Gerard Aasgaard</t>
  </si>
  <si>
    <t>T. Aasgaard</t>
  </si>
  <si>
    <t>Sander Gard Bolin Berge</t>
  </si>
  <si>
    <t>S. Berge</t>
  </si>
  <si>
    <t>Antonio Eromonsele Nordby Nusa</t>
  </si>
  <si>
    <t>Martin Ødegaard</t>
  </si>
  <si>
    <t>Oscar Bobb</t>
  </si>
  <si>
    <t>O. Bobb</t>
  </si>
  <si>
    <t>Fredrik Aursnes</t>
  </si>
  <si>
    <t>F. Aursnes</t>
  </si>
  <si>
    <t>Jens Petter Hauge</t>
  </si>
  <si>
    <t>J. Hauge</t>
  </si>
  <si>
    <t>Alexander Sørloth</t>
  </si>
  <si>
    <t>A. Sørloth</t>
  </si>
  <si>
    <t>Jørgen Strand Larsen</t>
  </si>
  <si>
    <t>J. Strand Larsen</t>
  </si>
  <si>
    <t>Erling Braut Haaland</t>
  </si>
  <si>
    <t>Andreas Rædergård Schjelderup</t>
  </si>
  <si>
    <t>A. Schjelderup</t>
  </si>
  <si>
    <t>Luis Ricardo Mejía Cajar</t>
  </si>
  <si>
    <t>L. Mejía</t>
  </si>
  <si>
    <t>Orlando Mosquera</t>
  </si>
  <si>
    <t>O. Mosquera</t>
  </si>
  <si>
    <t>César Jair Samudio Murillo</t>
  </si>
  <si>
    <t>C. Samudio</t>
  </si>
  <si>
    <t>César Rodolfo Blackman Camarena</t>
  </si>
  <si>
    <t>C. Blackman</t>
  </si>
  <si>
    <t>Éric Javier Davis Grajales</t>
  </si>
  <si>
    <t>É. Davis</t>
  </si>
  <si>
    <t>José Ángel Córdoba Chambers</t>
  </si>
  <si>
    <t>Andrés Alberto Andrade Cedeño</t>
  </si>
  <si>
    <t>A. Andrade</t>
  </si>
  <si>
    <t>Fidel Escobar Mendieta</t>
  </si>
  <si>
    <t>F. Escobar</t>
  </si>
  <si>
    <t>Michael Amir Murillo Bermúdez</t>
  </si>
  <si>
    <t>A. Murillo</t>
  </si>
  <si>
    <t>Edgardo Issac Fariña Wynter</t>
  </si>
  <si>
    <t>E. Fariña</t>
  </si>
  <si>
    <t>Roderick Alonso Miller Molina</t>
  </si>
  <si>
    <t>R. Miller</t>
  </si>
  <si>
    <t>Jiovany Javier Ramos Díaz</t>
  </si>
  <si>
    <t>J. Ramos</t>
  </si>
  <si>
    <t>Jorge Abdiel Gutiérrez Cornejo</t>
  </si>
  <si>
    <t>J. Gutiérrez</t>
  </si>
  <si>
    <t>Cristian Jesús Martínez</t>
  </si>
  <si>
    <t>C. Martínez</t>
  </si>
  <si>
    <t>Édgar Yoel Bárcenas Herrera</t>
  </si>
  <si>
    <t>Y. Bárcenas</t>
  </si>
  <si>
    <t>José Luis Rodríguez</t>
  </si>
  <si>
    <t>Carlos Miguel Harvey Cisneros</t>
  </si>
  <si>
    <t>C. Harvey</t>
  </si>
  <si>
    <t>Adalberto Eliécer Carrasquilla Alcázar</t>
  </si>
  <si>
    <t>A. Carrasquilla</t>
  </si>
  <si>
    <t>Aníbal Casis Godoy Lemus</t>
  </si>
  <si>
    <t>A. Godoy</t>
  </si>
  <si>
    <t>Tomás Rodríguez</t>
  </si>
  <si>
    <t>T. Rodríguez</t>
  </si>
  <si>
    <t>Alberto Abdiel Quintero Medina</t>
  </si>
  <si>
    <t>A. Quintero</t>
  </si>
  <si>
    <t>Ismael Díaz de León</t>
  </si>
  <si>
    <t>I. Díaz</t>
  </si>
  <si>
    <t>César Augusto Yanis Velasco</t>
  </si>
  <si>
    <t>C. Yanis</t>
  </si>
  <si>
    <t>José Fajardo Nelson</t>
  </si>
  <si>
    <t>J. Fajardo</t>
  </si>
  <si>
    <t>Azarías Emmanuel Londoño González</t>
  </si>
  <si>
    <t>A. Londoño</t>
  </si>
  <si>
    <t>Cecilio Alfonso Waterman Ruíz</t>
  </si>
  <si>
    <t>C. Waterman</t>
  </si>
  <si>
    <t>Roberto Junior Fernández Torres</t>
  </si>
  <si>
    <t>R. Fernández</t>
  </si>
  <si>
    <t>Gastón Hernán Olveira Echeverría</t>
  </si>
  <si>
    <t>G. Olveira</t>
  </si>
  <si>
    <t>Orlando Daniel Gill Noldín</t>
  </si>
  <si>
    <t>O. Gill</t>
  </si>
  <si>
    <t>Víctor Gustavo Velázquez Ramos</t>
  </si>
  <si>
    <t>G. Velázquez</t>
  </si>
  <si>
    <t>Júnior Osmar Ignacio Alonso Mujica</t>
  </si>
  <si>
    <t>J. Alonso</t>
  </si>
  <si>
    <t>Omar Federico Alderete Fernández</t>
  </si>
  <si>
    <t>O. Alderete</t>
  </si>
  <si>
    <t>José María Canale Domínguez</t>
  </si>
  <si>
    <t>J. Canale</t>
  </si>
  <si>
    <t>Juan José Cáceres</t>
  </si>
  <si>
    <t>J. Cáceres</t>
  </si>
  <si>
    <t>Gustavo Gómez</t>
  </si>
  <si>
    <t>G. Gómez</t>
  </si>
  <si>
    <t>Fabián Cornelio Balbuena González</t>
  </si>
  <si>
    <t>F. Balbuena</t>
  </si>
  <si>
    <t>Alexandro Maidana Mendieta</t>
  </si>
  <si>
    <t>A. Maidana</t>
  </si>
  <si>
    <t>Diego Gómez</t>
  </si>
  <si>
    <t>D. Gómez</t>
  </si>
  <si>
    <t>Alejandro Sebastián Romero Gamarra</t>
  </si>
  <si>
    <t>A. Romero</t>
  </si>
  <si>
    <t>Mauricio Magalhães Prado</t>
  </si>
  <si>
    <t>Mauricio</t>
  </si>
  <si>
    <t>Julio César Enciso Espínola</t>
  </si>
  <si>
    <t>J. Enciso</t>
  </si>
  <si>
    <t>Adrián Andrés Cubas</t>
  </si>
  <si>
    <t>A. Cubas</t>
  </si>
  <si>
    <t>Braian Óscar Ojeda Rodríguez</t>
  </si>
  <si>
    <t>B. Ojeda</t>
  </si>
  <si>
    <t>Damián Josué Bobadilla Benítez</t>
  </si>
  <si>
    <t>D. Bobadilla</t>
  </si>
  <si>
    <t>Matías Galarza Fonda</t>
  </si>
  <si>
    <t>M. Galarza</t>
  </si>
  <si>
    <t>Ramón Sosa Acosta</t>
  </si>
  <si>
    <t>R. Sosa</t>
  </si>
  <si>
    <t>Gabriel Ávalos Stumpfs</t>
  </si>
  <si>
    <t>G. Ávalos</t>
  </si>
  <si>
    <t>Arnaldo Antonio Sanabria Ayala</t>
  </si>
  <si>
    <t>A. Sanabria</t>
  </si>
  <si>
    <t>Gustavo Rubén Caballero González</t>
  </si>
  <si>
    <t>G. Caballero</t>
  </si>
  <si>
    <t>Miguel Ángel Almirón Rejala</t>
  </si>
  <si>
    <t>M. Almirón</t>
  </si>
  <si>
    <t>Isidro Miguel Pitta Saldívar</t>
  </si>
  <si>
    <t>I. Pitta</t>
  </si>
  <si>
    <t>Álex Adrián Arce Barrios</t>
  </si>
  <si>
    <t>Á. Arce</t>
  </si>
  <si>
    <t>Rui Silva</t>
  </si>
  <si>
    <t>José Sá</t>
  </si>
  <si>
    <t>Nélson Semedo</t>
  </si>
  <si>
    <t>Renato Veiga</t>
  </si>
  <si>
    <t>Gonçalo Inácio</t>
  </si>
  <si>
    <t>Tomás Araújo</t>
  </si>
  <si>
    <t>Diogo Dalot</t>
  </si>
  <si>
    <t>Matheus Nunes</t>
  </si>
  <si>
    <t>Rúben Neves</t>
  </si>
  <si>
    <t>Vitinha</t>
  </si>
  <si>
    <t>Samú Costa</t>
  </si>
  <si>
    <t>Gonçalo Ramos</t>
  </si>
  <si>
    <t>Pedro Neto</t>
  </si>
  <si>
    <t>João Félix</t>
  </si>
  <si>
    <t>Gonçalo Guedes</t>
  </si>
  <si>
    <t>Trincão</t>
  </si>
  <si>
    <t>Francisco Conceição</t>
  </si>
  <si>
    <t>Mahmoud Abunada</t>
  </si>
  <si>
    <t>Mahmud Abunada</t>
  </si>
  <si>
    <t>Meshaal Barsham</t>
  </si>
  <si>
    <t>Salah Zakaria</t>
  </si>
  <si>
    <t>Pedro Miguel</t>
  </si>
  <si>
    <t>Homam El Amin</t>
  </si>
  <si>
    <t>Lucas Mendes</t>
  </si>
  <si>
    <t>Boualem Khoukhi</t>
  </si>
  <si>
    <t>Issa Laye</t>
  </si>
  <si>
    <t>Sultan Al Brake</t>
  </si>
  <si>
    <t>Jassem Gaber</t>
  </si>
  <si>
    <t>Al Hashmi Al Hussain</t>
  </si>
  <si>
    <t>Ayoub Al Oui</t>
  </si>
  <si>
    <t>Abdulaziz Hatem</t>
  </si>
  <si>
    <t>Assim Madibo</t>
  </si>
  <si>
    <t>Karim Boudiaf</t>
  </si>
  <si>
    <t>Mohammad Al Mannai</t>
  </si>
  <si>
    <t>Ahmed Fathy</t>
  </si>
  <si>
    <t>Ahmed Alaa</t>
  </si>
  <si>
    <t>Yusuf Abdurisag</t>
  </si>
  <si>
    <t>Edmílson Junior</t>
  </si>
  <si>
    <t>Ahmed Al Ganehi</t>
  </si>
  <si>
    <t>Mohammed Muntari</t>
  </si>
  <si>
    <t>Almoez Ali</t>
  </si>
  <si>
    <t>Hassan Al Haydos</t>
  </si>
  <si>
    <t>Tahsin Mohammed</t>
  </si>
  <si>
    <t>Akram Afif</t>
  </si>
  <si>
    <t>Nawaf Al Aqidi</t>
  </si>
  <si>
    <t>Ahmed Al Kassar</t>
  </si>
  <si>
    <t>Mohammed Al Owais</t>
  </si>
  <si>
    <t>Ali Majrashi</t>
  </si>
  <si>
    <t>Nawaf Bu Washl</t>
  </si>
  <si>
    <t>Ali Lajami</t>
  </si>
  <si>
    <t>Hassan Kadish</t>
  </si>
  <si>
    <t>Abdulelah Al Amri</t>
  </si>
  <si>
    <t>Moteb Al Harbi</t>
  </si>
  <si>
    <t>Hassan Al Tambakti</t>
  </si>
  <si>
    <t>Jehad Thikri</t>
  </si>
  <si>
    <t>Saud Abdulhamid</t>
  </si>
  <si>
    <t>Nasser Al Dawsari</t>
  </si>
  <si>
    <t>Ziyad Al Johani</t>
  </si>
  <si>
    <t>Musab Al Juwayr</t>
  </si>
  <si>
    <t>Alaa Al Hejji</t>
  </si>
  <si>
    <t>Aiman Yahya</t>
  </si>
  <si>
    <t>Mohamed Kanno</t>
  </si>
  <si>
    <t>Salem Al Dawsari</t>
  </si>
  <si>
    <t>Mohammed Abu Al Shamat</t>
  </si>
  <si>
    <t>Abdullah Al Khaibari</t>
  </si>
  <si>
    <t>Feras Al Brikan</t>
  </si>
  <si>
    <t>Abdullah Al Hamddan</t>
  </si>
  <si>
    <t>Saleh Al Shehri</t>
  </si>
  <si>
    <t>Sultan Mandash</t>
  </si>
  <si>
    <t>Khalid Al Ghannam</t>
  </si>
  <si>
    <t>Angus Fraser James Gunn</t>
  </si>
  <si>
    <t>A. Gunn</t>
  </si>
  <si>
    <t>Craig Sinclair Gordon</t>
  </si>
  <si>
    <t>C. Gordon</t>
  </si>
  <si>
    <t>Liam Patrick Kelly</t>
  </si>
  <si>
    <t>L. Kelly</t>
  </si>
  <si>
    <t>Aaron Buchanan Hickey</t>
  </si>
  <si>
    <t>A. Hickey</t>
  </si>
  <si>
    <t>John Francis Souttar</t>
  </si>
  <si>
    <t>J. Souttar</t>
  </si>
  <si>
    <t>Andrew Henry Robertson</t>
  </si>
  <si>
    <t>A. Robertson</t>
  </si>
  <si>
    <t>Dominic John Hyam</t>
  </si>
  <si>
    <t>D. Hyam</t>
  </si>
  <si>
    <t>Grant Campbell Hanley</t>
  </si>
  <si>
    <t>G. Hanley</t>
  </si>
  <si>
    <t>Nathan Kenneth Patterson</t>
  </si>
  <si>
    <t>N. Patterson</t>
  </si>
  <si>
    <t>Kieran Tierney</t>
  </si>
  <si>
    <t>K. Tierney</t>
  </si>
  <si>
    <t>Anthony Ralston</t>
  </si>
  <si>
    <t>A. Ralston</t>
  </si>
  <si>
    <t>Jack William Hendry</t>
  </si>
  <si>
    <t>J. Hendry</t>
  </si>
  <si>
    <t>Scott Fraser McKenna</t>
  </si>
  <si>
    <t>S. McKenna</t>
  </si>
  <si>
    <t>Scott Francis McTominay</t>
  </si>
  <si>
    <t>Ryan Christie</t>
  </si>
  <si>
    <t>R. Christie</t>
  </si>
  <si>
    <t>John McGinn</t>
  </si>
  <si>
    <t>J. McGinn</t>
  </si>
  <si>
    <t>Lewis Ferguson</t>
  </si>
  <si>
    <t>L. Ferguson</t>
  </si>
  <si>
    <t>Tyler Robert Fletcher</t>
  </si>
  <si>
    <t>T. Fletcher</t>
  </si>
  <si>
    <t>Kenneth McLean</t>
  </si>
  <si>
    <t>K. McLean</t>
  </si>
  <si>
    <t>Lyndon John Dykes</t>
  </si>
  <si>
    <t>L. Dykes</t>
  </si>
  <si>
    <t>George David Eric Hirst</t>
  </si>
  <si>
    <t>G. Hirst</t>
  </si>
  <si>
    <t>Ché Zach Everton Fred Adams</t>
  </si>
  <si>
    <t>C. Adams</t>
  </si>
  <si>
    <t>Lawrence Shankland</t>
  </si>
  <si>
    <t>L. Shankland</t>
  </si>
  <si>
    <t>Ross Cameron Stewart</t>
  </si>
  <si>
    <t>R. Stewart</t>
  </si>
  <si>
    <t>Findlay Kenneth Curtis</t>
  </si>
  <si>
    <t>F. Curtis</t>
  </si>
  <si>
    <t>Ben Gannon-Doak</t>
  </si>
  <si>
    <t>B. Gannon-Doak</t>
  </si>
  <si>
    <t>Yehvann Diouf</t>
  </si>
  <si>
    <t>Y. Diouf</t>
  </si>
  <si>
    <t>Mory Diaw</t>
  </si>
  <si>
    <t>M. Diaw</t>
  </si>
  <si>
    <t>Édouard Mendy</t>
  </si>
  <si>
    <t>É. Mendy</t>
  </si>
  <si>
    <t>Mamadou Sarr</t>
  </si>
  <si>
    <t>M. Sarr</t>
  </si>
  <si>
    <t>Moussa Niakhaté</t>
  </si>
  <si>
    <t>M. Niakhaté</t>
  </si>
  <si>
    <t>Kalidou Koulibaly</t>
  </si>
  <si>
    <t>K. Koulibaly</t>
  </si>
  <si>
    <t>Antoine Mendy</t>
  </si>
  <si>
    <t>A. Mendy</t>
  </si>
  <si>
    <t>Abdoulaye Seck</t>
  </si>
  <si>
    <t>A. Seck</t>
  </si>
  <si>
    <t>El Hadji Malick Diouf</t>
  </si>
  <si>
    <t>E. Diouf</t>
  </si>
  <si>
    <t>Ismail Joshua Jakobs</t>
  </si>
  <si>
    <t>I. Jakobs</t>
  </si>
  <si>
    <t>Idrissa Gueye</t>
  </si>
  <si>
    <t>I. Gueye</t>
  </si>
  <si>
    <t>Pape Matar Sarr</t>
  </si>
  <si>
    <t>P. Sarr</t>
  </si>
  <si>
    <t>Pathé Ismaël Ciss</t>
  </si>
  <si>
    <t>P. Ciss</t>
  </si>
  <si>
    <t>Mouhamadou Habib Mbacke Diarra</t>
  </si>
  <si>
    <t>H. Diarra</t>
  </si>
  <si>
    <t>Lamine Camara</t>
  </si>
  <si>
    <t>L. Camara</t>
  </si>
  <si>
    <t>Bara Sapoko Ndiaye</t>
  </si>
  <si>
    <t>B. Ndiaye</t>
  </si>
  <si>
    <t>Krépin Diatta</t>
  </si>
  <si>
    <t>K. Diatta</t>
  </si>
  <si>
    <t>Pape Gueye</t>
  </si>
  <si>
    <t>P. Gueye</t>
  </si>
  <si>
    <t>Assane Diao Diaoune</t>
  </si>
  <si>
    <t>A. Diao</t>
  </si>
  <si>
    <t>Cherif Ndiaye</t>
  </si>
  <si>
    <t>C. Ndiaye</t>
  </si>
  <si>
    <t>Cheikh Ahmadou Bamba Mbacke Dieng</t>
  </si>
  <si>
    <t>B. Dieng</t>
  </si>
  <si>
    <t>Iliman Ndiaye</t>
  </si>
  <si>
    <t>I. Ndiaye</t>
  </si>
  <si>
    <t>Sadio Mané</t>
  </si>
  <si>
    <t>Ismaïla Sarr</t>
  </si>
  <si>
    <t>I. Sarr</t>
  </si>
  <si>
    <t>Nicolas Jackson</t>
  </si>
  <si>
    <t>N. Jackson</t>
  </si>
  <si>
    <t>Ibrahim Mbaye</t>
  </si>
  <si>
    <t>I. Mbaye</t>
  </si>
  <si>
    <t>Ronwen Hayden Williams</t>
  </si>
  <si>
    <t>R. Williams</t>
  </si>
  <si>
    <t>Stuart Ricardo Goss</t>
  </si>
  <si>
    <t>R. Goss</t>
  </si>
  <si>
    <t>Sipho Justin Chaine</t>
  </si>
  <si>
    <t>S. Chaine</t>
  </si>
  <si>
    <t>Tholo Thabang Matuludi</t>
  </si>
  <si>
    <t>T. Matuludi</t>
  </si>
  <si>
    <t>Nkosinathi Emmanuel Sibisi</t>
  </si>
  <si>
    <t>N. Sibisi</t>
  </si>
  <si>
    <t>Khulumani Ndamane</t>
  </si>
  <si>
    <t>K. Ndamane</t>
  </si>
  <si>
    <t>Khuliso Johnson Mudau</t>
  </si>
  <si>
    <t>K. Mudau</t>
  </si>
  <si>
    <t>Aubrey Maphosa Modiba</t>
  </si>
  <si>
    <t>A. Modiba</t>
  </si>
  <si>
    <t>Ime Daniel Okon</t>
  </si>
  <si>
    <t>I. Okon</t>
  </si>
  <si>
    <t>Mbekezeli Mfanufikile Mbokazi</t>
  </si>
  <si>
    <t>M. Mbokazi</t>
  </si>
  <si>
    <t>Olwethu Mpilwenhle Makhanya</t>
  </si>
  <si>
    <t>O. Makhanya</t>
  </si>
  <si>
    <t>Samukele Alucious Kabini</t>
  </si>
  <si>
    <t>S. Kabini</t>
  </si>
  <si>
    <t>Bradley Paul Cross</t>
  </si>
  <si>
    <t>B. Cross</t>
  </si>
  <si>
    <t>Teboho Mokoena</t>
  </si>
  <si>
    <t>T. Mokoena</t>
  </si>
  <si>
    <t>Yaya Sithole</t>
  </si>
  <si>
    <t>Y. Sithole</t>
  </si>
  <si>
    <t>Thalente Wandile Mbatha</t>
  </si>
  <si>
    <t>T. Mbatha</t>
  </si>
  <si>
    <t>Jayden Oswin Adams</t>
  </si>
  <si>
    <t>J. Adams</t>
  </si>
  <si>
    <t>Themba Zwane</t>
  </si>
  <si>
    <t>T. Zwane</t>
  </si>
  <si>
    <t>Mike Kamogelo Sebelebele</t>
  </si>
  <si>
    <t>K. Sebelebele</t>
  </si>
  <si>
    <t>Oswin Reagan Appollis</t>
  </si>
  <si>
    <t>O. Appollis</t>
  </si>
  <si>
    <t>Thapelo Maseko</t>
  </si>
  <si>
    <t>T. Maseko</t>
  </si>
  <si>
    <t>Tshepang Moremi</t>
  </si>
  <si>
    <t>T. Moremi</t>
  </si>
  <si>
    <t>Iqraam Rayners</t>
  </si>
  <si>
    <t>I. Rayners</t>
  </si>
  <si>
    <t>Lyle Brent Foster</t>
  </si>
  <si>
    <t>L. Foster</t>
  </si>
  <si>
    <t>Sekotori Evidence Makgopa</t>
  </si>
  <si>
    <t>E. Makgopa</t>
  </si>
  <si>
    <t>Relebohile Mofokeng</t>
  </si>
  <si>
    <t>David Raya Martín</t>
  </si>
  <si>
    <t>Unai Simón Mendibil</t>
  </si>
  <si>
    <t>Joan García</t>
  </si>
  <si>
    <t>Marc Pubill Pagès</t>
  </si>
  <si>
    <t>Marc Pubill</t>
  </si>
  <si>
    <t>Aymeric Jean Louis Gérard Alphonse Laporte Fevre</t>
  </si>
  <si>
    <t>Alejandro Grimaldo García</t>
  </si>
  <si>
    <t>Pau Cubarsí Paredes</t>
  </si>
  <si>
    <t>Eric García</t>
  </si>
  <si>
    <t>Marc Cucurella Saseta</t>
  </si>
  <si>
    <t>Pedro Antonio Porro Sauceda</t>
  </si>
  <si>
    <t>Marcos Llorente Moreno</t>
  </si>
  <si>
    <t>Yéremy Jesús Pino Santos</t>
  </si>
  <si>
    <t>Yéremy Pino</t>
  </si>
  <si>
    <t>Mikel Merino Zazón</t>
  </si>
  <si>
    <t>Mikel Merino</t>
  </si>
  <si>
    <t>Alejandro Baena Rodríguez</t>
  </si>
  <si>
    <t>Álex Baena</t>
  </si>
  <si>
    <t>Fabián Ruiz Peña</t>
  </si>
  <si>
    <t>Gavi</t>
  </si>
  <si>
    <t>Martín Zubimendi Ibáñez</t>
  </si>
  <si>
    <t>Martín Zubimendi</t>
  </si>
  <si>
    <t>Daniel Olmo Carvajal</t>
  </si>
  <si>
    <t>Ferran Torres García</t>
  </si>
  <si>
    <t>Mikel Oyarzabal Ugarte</t>
  </si>
  <si>
    <t>Nicholas Williams Arthuer</t>
  </si>
  <si>
    <t>Víctor Muñoz Villanueva</t>
  </si>
  <si>
    <t>Víctor Muñoz</t>
  </si>
  <si>
    <t>Borja Iglesias Quintás</t>
  </si>
  <si>
    <t>Borja Iglesias</t>
  </si>
  <si>
    <t>Jacob Mikael Widell Zetterström</t>
  </si>
  <si>
    <t>J. Widell Zetterström</t>
  </si>
  <si>
    <t>Bo Kristoffer Nordfeldt</t>
  </si>
  <si>
    <t>K. Nordfeldt</t>
  </si>
  <si>
    <t>Viktor Johansson</t>
  </si>
  <si>
    <t>V. Johansson</t>
  </si>
  <si>
    <t>Gustaf Johan Lagerbielke</t>
  </si>
  <si>
    <t>G. Lagerbielke</t>
  </si>
  <si>
    <t>Daniel Jonathan Svensson</t>
  </si>
  <si>
    <t>D. Svensson</t>
  </si>
  <si>
    <t>Victor Jörgen Nilsson Lindelöf</t>
  </si>
  <si>
    <t>V. Lindelöf</t>
  </si>
  <si>
    <t>Hjalmar Ekdal</t>
  </si>
  <si>
    <t>H. Ekdal</t>
  </si>
  <si>
    <t>Isak Malcolm Kwaku Hien</t>
  </si>
  <si>
    <t>I. Hien</t>
  </si>
  <si>
    <t>Carl Anders Theodor Starfelt</t>
  </si>
  <si>
    <t>C. Starfelt</t>
  </si>
  <si>
    <t>Gabriel Johan Gudmundsson</t>
  </si>
  <si>
    <t>G. Gudmundsson</t>
  </si>
  <si>
    <t>Eric Anders Smith</t>
  </si>
  <si>
    <t>E. Smith</t>
  </si>
  <si>
    <t>Herman Johansson</t>
  </si>
  <si>
    <t>H. Johansson</t>
  </si>
  <si>
    <t>Mattias Olof Svanberg</t>
  </si>
  <si>
    <t>M. Svanberg</t>
  </si>
  <si>
    <t>Lucas Erik Holger Bergvall</t>
  </si>
  <si>
    <t>L. Bergvall</t>
  </si>
  <si>
    <t>Besfort Zeneli</t>
  </si>
  <si>
    <t>B. Zeneli</t>
  </si>
  <si>
    <t>Kenneth Nlata Sema</t>
  </si>
  <si>
    <t>K. Sema</t>
  </si>
  <si>
    <t>Elliot Karl Stroud</t>
  </si>
  <si>
    <t>E. Stroud</t>
  </si>
  <si>
    <t>Jesper Kewe Karlström</t>
  </si>
  <si>
    <t>J. Karlström</t>
  </si>
  <si>
    <t>Taha Abdi Ali</t>
  </si>
  <si>
    <t>T. Ali</t>
  </si>
  <si>
    <t>Yasin Abbas Ayari</t>
  </si>
  <si>
    <t>Y. Ayari</t>
  </si>
  <si>
    <t>Alexander Isak</t>
  </si>
  <si>
    <t>Viktor Einar Gyökeres</t>
  </si>
  <si>
    <t>Erik Benjamin Nygren</t>
  </si>
  <si>
    <t>B. Nygren</t>
  </si>
  <si>
    <t>Alexander Olof Bernhardsson</t>
  </si>
  <si>
    <t>A. Bernhardsson</t>
  </si>
  <si>
    <t>Anthony David Junior Elanga</t>
  </si>
  <si>
    <t>A. Elanga</t>
  </si>
  <si>
    <t>Håkan Gustaf Nilsson</t>
  </si>
  <si>
    <t>G. Nilsson</t>
  </si>
  <si>
    <t>Gregor Kobel</t>
  </si>
  <si>
    <t>Marvin Keller</t>
  </si>
  <si>
    <t>M. Keller</t>
  </si>
  <si>
    <t>Yvon Landry Mvogo Nganoma</t>
  </si>
  <si>
    <t>Y. Mvogo</t>
  </si>
  <si>
    <t>Miro Max Maria Muheim</t>
  </si>
  <si>
    <t>M. Muheim</t>
  </si>
  <si>
    <t>Ricardo Iván Rodríguez Araya</t>
  </si>
  <si>
    <t>R. Rodríguez</t>
  </si>
  <si>
    <t>Silvan Dominic Widmer</t>
  </si>
  <si>
    <t>S. Widmer</t>
  </si>
  <si>
    <t>Eray Ervin Cömert</t>
  </si>
  <si>
    <t>E. Cömert</t>
  </si>
  <si>
    <t>Nico Elvedi</t>
  </si>
  <si>
    <t>N. Elvedi</t>
  </si>
  <si>
    <t>Aurèle Florian Amenda</t>
  </si>
  <si>
    <t>A. Amenda</t>
  </si>
  <si>
    <t>Manuel Obafemi Akanji</t>
  </si>
  <si>
    <t>M. Akanji</t>
  </si>
  <si>
    <t>Luca Antony Jaquez</t>
  </si>
  <si>
    <t>L. Jaquez</t>
  </si>
  <si>
    <t>Denis Lemi Zakaria Lako Lado</t>
  </si>
  <si>
    <t>D. Zakaria</t>
  </si>
  <si>
    <t>Mohameth Djibril Ibrahima Sow</t>
  </si>
  <si>
    <t>D. Sow</t>
  </si>
  <si>
    <t>Remo Marco Freuler</t>
  </si>
  <si>
    <t>R. Freuler</t>
  </si>
  <si>
    <t>Christian Andreas Fassnacht</t>
  </si>
  <si>
    <t>C. Fassnacht</t>
  </si>
  <si>
    <t>Johan Kula Manzambi</t>
  </si>
  <si>
    <t>Rubén Estephan Vargas Martínez</t>
  </si>
  <si>
    <t>Granit Xhaka</t>
  </si>
  <si>
    <t>G. Xhaka</t>
  </si>
  <si>
    <t>Michel Aebischer</t>
  </si>
  <si>
    <t>M. Aebischer</t>
  </si>
  <si>
    <t>Ardon Jashari</t>
  </si>
  <si>
    <t>A. Jashari</t>
  </si>
  <si>
    <t>Fabian Rieder</t>
  </si>
  <si>
    <t>F. Rieder</t>
  </si>
  <si>
    <t>Breel Donald Embolo</t>
  </si>
  <si>
    <t>B. Embolo</t>
  </si>
  <si>
    <t>Mohamed Zeki Amdouni</t>
  </si>
  <si>
    <t>Z. Amdouni</t>
  </si>
  <si>
    <t>Dan Assane Ndoye</t>
  </si>
  <si>
    <t>Cedric Jan Itten</t>
  </si>
  <si>
    <t>C. Itten</t>
  </si>
  <si>
    <t>Noah Arinzechukwu Okafor</t>
  </si>
  <si>
    <t>N. Okafor</t>
  </si>
  <si>
    <t>Abdelmouhib Chamakh</t>
  </si>
  <si>
    <t>A. Chamakh</t>
  </si>
  <si>
    <t>Sabri Ben Hassen</t>
  </si>
  <si>
    <t>S. Ben Hassen</t>
  </si>
  <si>
    <t>Aymen Dahmen</t>
  </si>
  <si>
    <t>A. Dahmen</t>
  </si>
  <si>
    <t>Ali El Abdi</t>
  </si>
  <si>
    <t>A. Abdi</t>
  </si>
  <si>
    <t>Yan Valery</t>
  </si>
  <si>
    <t>Y. Valery</t>
  </si>
  <si>
    <t>Montassar Omar Talbi</t>
  </si>
  <si>
    <t>M. Talbi</t>
  </si>
  <si>
    <t>Mohamed Amine Ben Hmida</t>
  </si>
  <si>
    <t>M. Ben Hmida</t>
  </si>
  <si>
    <t>Omar Rekik</t>
  </si>
  <si>
    <t>O. Rekik</t>
  </si>
  <si>
    <t>Moutaz Neffati</t>
  </si>
  <si>
    <t>M. Neffati</t>
  </si>
  <si>
    <t>Adem Arous</t>
  </si>
  <si>
    <t>A. Arous</t>
  </si>
  <si>
    <t>Raed Chikhaoui</t>
  </si>
  <si>
    <t>R. Chikhaoui</t>
  </si>
  <si>
    <t>Dylan Daniel Mahmoud Bronn</t>
  </si>
  <si>
    <t>D. Bronn</t>
  </si>
  <si>
    <t>Mohamed Elyes Achouri</t>
  </si>
  <si>
    <t>E. Achouri</t>
  </si>
  <si>
    <t>Mohamed Belhadj Mahmoud</t>
  </si>
  <si>
    <t>H. Mahmoud</t>
  </si>
  <si>
    <t>Hannibal Mejbri</t>
  </si>
  <si>
    <t>H. Mejbri</t>
  </si>
  <si>
    <t>Ellyes Joris Skhiri</t>
  </si>
  <si>
    <t>E. Skhiri</t>
  </si>
  <si>
    <t>Ahmed Mortadha Ben Ouanes</t>
  </si>
  <si>
    <t>M. Ben Ouanes</t>
  </si>
  <si>
    <t>Anis Ben Slimane</t>
  </si>
  <si>
    <t>A. Ben Slimane</t>
  </si>
  <si>
    <t>Rani Khedira</t>
  </si>
  <si>
    <t>R. Khedira</t>
  </si>
  <si>
    <t>Elias Saad</t>
  </si>
  <si>
    <t>E. Saad</t>
  </si>
  <si>
    <t>Rayan Elloumi</t>
  </si>
  <si>
    <t>R. Elloumi</t>
  </si>
  <si>
    <t>Hazem Mastouri</t>
  </si>
  <si>
    <t>H. Mastouri</t>
  </si>
  <si>
    <t>Firas Chaouat</t>
  </si>
  <si>
    <t>F. Chaouat</t>
  </si>
  <si>
    <t>Ismaël Seifallah Gharbi Álvarez</t>
  </si>
  <si>
    <t>I. Gharbi</t>
  </si>
  <si>
    <t>Sebastian Tounekti</t>
  </si>
  <si>
    <t>S. Tounekti</t>
  </si>
  <si>
    <t>Khalil Ayari</t>
  </si>
  <si>
    <t>K. Ayari</t>
  </si>
  <si>
    <t>Fehmi Mert Günok</t>
  </si>
  <si>
    <t>M. Günok</t>
  </si>
  <si>
    <t>Türkiye</t>
  </si>
  <si>
    <t>Uğurcan Çakır</t>
  </si>
  <si>
    <t>U. Çakır</t>
  </si>
  <si>
    <t>Altay Bayındır</t>
  </si>
  <si>
    <t>A. Bayındır</t>
  </si>
  <si>
    <t>Mehmet Zeki Çelik</t>
  </si>
  <si>
    <t>Z. Çelik</t>
  </si>
  <si>
    <t>Ozan Muhammed Kabak</t>
  </si>
  <si>
    <t>O. Kabak</t>
  </si>
  <si>
    <t>Merih Demiral</t>
  </si>
  <si>
    <t>M. Demiral</t>
  </si>
  <si>
    <t>Mert Müldür</t>
  </si>
  <si>
    <t>M. Müldür</t>
  </si>
  <si>
    <t>Çağlar Söyüncü</t>
  </si>
  <si>
    <t>Ç. Söyüncü</t>
  </si>
  <si>
    <t>Ferdi Erenay Kadıoğlu</t>
  </si>
  <si>
    <t>F. Kadıoğlu</t>
  </si>
  <si>
    <t>Evren Eren Elmalı</t>
  </si>
  <si>
    <t>E. Elmalı</t>
  </si>
  <si>
    <t>Kaan Ayhan</t>
  </si>
  <si>
    <t>K. Ayhan</t>
  </si>
  <si>
    <t>Abdülkerim Bardakcı</t>
  </si>
  <si>
    <t>A. Bardakcı</t>
  </si>
  <si>
    <t>Samet Akaydin</t>
  </si>
  <si>
    <t>S. Akaydin</t>
  </si>
  <si>
    <t>Salih Özcan</t>
  </si>
  <si>
    <t>S. Özcan</t>
  </si>
  <si>
    <t>İsmail Yüksek</t>
  </si>
  <si>
    <t>İ. Yüksek</t>
  </si>
  <si>
    <t>Orkun Kökçü</t>
  </si>
  <si>
    <t>O. Kökçü</t>
  </si>
  <si>
    <t>İrfan Can Kahveci</t>
  </si>
  <si>
    <t>İ. Kahveci</t>
  </si>
  <si>
    <t>Arda Güler</t>
  </si>
  <si>
    <t>Can Yılmaz Uzun</t>
  </si>
  <si>
    <t>C. Uzun</t>
  </si>
  <si>
    <t>Hakan Çalhanoğlu</t>
  </si>
  <si>
    <t>H. Çalhanoğlu</t>
  </si>
  <si>
    <t>Muhammed Kerem Aktürkoğlu</t>
  </si>
  <si>
    <t>K. Aktürkoğlu</t>
  </si>
  <si>
    <t>Yunus Akgün</t>
  </si>
  <si>
    <t>Y. Akgün</t>
  </si>
  <si>
    <t>Deniz Daniel Gül</t>
  </si>
  <si>
    <t>D. Gül</t>
  </si>
  <si>
    <t>Barış Alper Yılmaz</t>
  </si>
  <si>
    <t>B. Yılmaz</t>
  </si>
  <si>
    <t>Kenan Yıldız</t>
  </si>
  <si>
    <t>K. Yıldız</t>
  </si>
  <si>
    <t>Oğuz Aydın</t>
  </si>
  <si>
    <t>O. Aydın</t>
  </si>
  <si>
    <t>Matthew Charles Turner</t>
  </si>
  <si>
    <t>M. Turner</t>
  </si>
  <si>
    <t>USA</t>
  </si>
  <si>
    <t>Christopher Keith Brady</t>
  </si>
  <si>
    <t>C. Brady</t>
  </si>
  <si>
    <t>Matthew Andrew Geary Freese</t>
  </si>
  <si>
    <t>Sergiño Gianni Dest</t>
  </si>
  <si>
    <t>Timothy Michael Ream</t>
  </si>
  <si>
    <t>T. Ream</t>
  </si>
  <si>
    <t>Christopher Jeffrey Richards</t>
  </si>
  <si>
    <t>C. Richards</t>
  </si>
  <si>
    <t>Alexander Michael Freeman</t>
  </si>
  <si>
    <t>A. Freeman</t>
  </si>
  <si>
    <t>Antonee Robinson</t>
  </si>
  <si>
    <t>Mark Alexander McKenzie</t>
  </si>
  <si>
    <t>M. McKenzie</t>
  </si>
  <si>
    <t>Auston Levi-Jesaiah Trusty</t>
  </si>
  <si>
    <t>A. Trusty</t>
  </si>
  <si>
    <t>Joseph Michael Scally</t>
  </si>
  <si>
    <t>J. Scally</t>
  </si>
  <si>
    <t>Miles Robinson</t>
  </si>
  <si>
    <t>M. Robinson</t>
  </si>
  <si>
    <t>Tyler Shaan Adams</t>
  </si>
  <si>
    <t>T. Adams</t>
  </si>
  <si>
    <t>Sebastian Matthew Berhalter</t>
  </si>
  <si>
    <t>S. Berhalter</t>
  </si>
  <si>
    <t>Giovanni Alejandro Reyna</t>
  </si>
  <si>
    <t>G. Reyna</t>
  </si>
  <si>
    <t>Cristian Roldan</t>
  </si>
  <si>
    <t>C. Roldan</t>
  </si>
  <si>
    <t>Weston James Earl McKennie</t>
  </si>
  <si>
    <t>W. McKennie</t>
  </si>
  <si>
    <t>Malik Leon Tillman</t>
  </si>
  <si>
    <t>M. Tillman</t>
  </si>
  <si>
    <t>Christian Mate Pulisic</t>
  </si>
  <si>
    <t>Maximilian Michael Arfsten</t>
  </si>
  <si>
    <t>M. Arfsten</t>
  </si>
  <si>
    <t>Brenden Russell Aaronson</t>
  </si>
  <si>
    <t>B. Aaronson</t>
  </si>
  <si>
    <t>Ricardo Daniel Pepi</t>
  </si>
  <si>
    <t>R. Pepi</t>
  </si>
  <si>
    <t>Timothy Tarpeh Weah</t>
  </si>
  <si>
    <t>T. Weah</t>
  </si>
  <si>
    <t>Haji Amir Wright</t>
  </si>
  <si>
    <t>H. Wright</t>
  </si>
  <si>
    <t>Alejandro Zendejas Saavedra</t>
  </si>
  <si>
    <t>Á. Zendejas</t>
  </si>
  <si>
    <t>Folarin Jolaoluwa Jerry Balogun</t>
  </si>
  <si>
    <t>F. Balogun</t>
  </si>
  <si>
    <t>Sergio Ramón Rochet Álvarez</t>
  </si>
  <si>
    <t>S. Rochet</t>
  </si>
  <si>
    <t>Néstor Fernando Muslera Micol</t>
  </si>
  <si>
    <t>F. Muslera</t>
  </si>
  <si>
    <t>Santiago Andrés Mele Castañero</t>
  </si>
  <si>
    <t>S. Mele</t>
  </si>
  <si>
    <t>José María Giménez de Vargas</t>
  </si>
  <si>
    <t>J. Giménez</t>
  </si>
  <si>
    <t>Mathías Olivera Miramontes</t>
  </si>
  <si>
    <t>M. Olivera</t>
  </si>
  <si>
    <t>Sebastián Enzo Cáceres Ramos</t>
  </si>
  <si>
    <t>S. Cáceres</t>
  </si>
  <si>
    <t>Matías Nicolás Viña Susperreguy</t>
  </si>
  <si>
    <t>M. Viña</t>
  </si>
  <si>
    <t>Ronald Federico Araujo da Silva</t>
  </si>
  <si>
    <t>R. Araujo</t>
  </si>
  <si>
    <t>Joaquín Piquerez Moreira</t>
  </si>
  <si>
    <t>J. Piquerez</t>
  </si>
  <si>
    <t>Guillermo Varela Olivera</t>
  </si>
  <si>
    <t>G. Varela</t>
  </si>
  <si>
    <t>Santiago Ignacio Bueno Sciutto</t>
  </si>
  <si>
    <t>S. Bueno</t>
  </si>
  <si>
    <t>Manuel Ugarte Ribeiro</t>
  </si>
  <si>
    <t>M. Ugarte</t>
  </si>
  <si>
    <t>Facundo Pellistri Rebollo</t>
  </si>
  <si>
    <t>F. Pellistri</t>
  </si>
  <si>
    <t>Rodrigo Bentancur Colmán</t>
  </si>
  <si>
    <t>R. Bentancur</t>
  </si>
  <si>
    <t>Emiliano Martínez Toranza</t>
  </si>
  <si>
    <t>Diego Nicolás de la Cruz Arcosa</t>
  </si>
  <si>
    <t>N. de la Cruz</t>
  </si>
  <si>
    <t>Maximiliano Javier Araújo Vilches</t>
  </si>
  <si>
    <t>M. Araújo</t>
  </si>
  <si>
    <t>Federico Santiago Valverde Dipetta</t>
  </si>
  <si>
    <t>Juan Manuel Sanabria Magolé</t>
  </si>
  <si>
    <t>J. Sanabria</t>
  </si>
  <si>
    <t>Giorgian Daniel de Arrascaeta Benedetti</t>
  </si>
  <si>
    <t>G. de Arrascaeta</t>
  </si>
  <si>
    <t>Rodrigo Zalazar Martínez</t>
  </si>
  <si>
    <t>R. Zalazar</t>
  </si>
  <si>
    <t>Darwin Gabriel Núñez Ribeiro</t>
  </si>
  <si>
    <t>Rodrigo Sebastián Aguirre Soto</t>
  </si>
  <si>
    <t>R. Aguirre</t>
  </si>
  <si>
    <t>Agustín Canobbio Graviz</t>
  </si>
  <si>
    <t>A. Canobbio</t>
  </si>
  <si>
    <t>Federico Sebastián Viñas Barboza</t>
  </si>
  <si>
    <t>F. Viñas</t>
  </si>
  <si>
    <t>Paul Brian Rodríguez Bravo</t>
  </si>
  <si>
    <t>B. Rodríguez</t>
  </si>
  <si>
    <t>Utkir Yusupov</t>
  </si>
  <si>
    <t>U. Yusupov</t>
  </si>
  <si>
    <t>Botirali Ergashev</t>
  </si>
  <si>
    <t>B. Ergashev</t>
  </si>
  <si>
    <t>Abduvokhid Nematov</t>
  </si>
  <si>
    <t>A. Nematov</t>
  </si>
  <si>
    <t>Abdukodir Khusanov</t>
  </si>
  <si>
    <t>A. Khusanov</t>
  </si>
  <si>
    <t>Umarbek Eshmurodov</t>
  </si>
  <si>
    <t>U. Eshmurodov</t>
  </si>
  <si>
    <t>Khojiakbar Alijonov</t>
  </si>
  <si>
    <t>K. Alijonov</t>
  </si>
  <si>
    <t>Bekhruzjon Karimov</t>
  </si>
  <si>
    <t>B. Karimov</t>
  </si>
  <si>
    <t>Farrukh Sayfiev</t>
  </si>
  <si>
    <t>F. Sayfiev</t>
  </si>
  <si>
    <t>Avazbek O'lmasaliev</t>
  </si>
  <si>
    <t>A. O'lmasaliev</t>
  </si>
  <si>
    <t>Rustamjon Ashurmatov</t>
  </si>
  <si>
    <t>R. Ashurmatov</t>
  </si>
  <si>
    <t>Jakhongir Urozov</t>
  </si>
  <si>
    <t>J. Urozov</t>
  </si>
  <si>
    <t>Sherzod Nasrullaev</t>
  </si>
  <si>
    <t>S. Nasrullaev</t>
  </si>
  <si>
    <t>Akmal Mozgovoy</t>
  </si>
  <si>
    <t>A. Mozgovoy</t>
  </si>
  <si>
    <t>Dostonbek Khamdamov</t>
  </si>
  <si>
    <t>D. Khamdamov</t>
  </si>
  <si>
    <t>Otabek Shukurov</t>
  </si>
  <si>
    <t>O. Shukurov</t>
  </si>
  <si>
    <t>Abdulla Abdullaev</t>
  </si>
  <si>
    <t>A. Abdullaev</t>
  </si>
  <si>
    <t>Jamshid Iskanderov</t>
  </si>
  <si>
    <t>J. Iskanderov</t>
  </si>
  <si>
    <t>Azizjon G'aniev</t>
  </si>
  <si>
    <t>A. G'aniev</t>
  </si>
  <si>
    <t>Odiljon Khamrobekov</t>
  </si>
  <si>
    <t>O. Khamrobekov</t>
  </si>
  <si>
    <t>Abbosbek Fayzullayev</t>
  </si>
  <si>
    <t>A. Fayzullayev</t>
  </si>
  <si>
    <t>Jaloliddin Masharipov</t>
  </si>
  <si>
    <t>J. Masharipov</t>
  </si>
  <si>
    <t>Sherzod Esanov</t>
  </si>
  <si>
    <t>S. Esanov</t>
  </si>
  <si>
    <t>Oston Urunov</t>
  </si>
  <si>
    <t>O. Urunov</t>
  </si>
  <si>
    <t>Eldor Shomurodov</t>
  </si>
  <si>
    <t>E. Shomurodov</t>
  </si>
  <si>
    <t>Igor Sergeev</t>
  </si>
  <si>
    <t>I. Sergeev</t>
  </si>
  <si>
    <t>Azizbek Amonov</t>
  </si>
  <si>
    <t>A. Amonov</t>
  </si>
  <si>
    <t>Pos</t>
  </si>
  <si>
    <t>Nationality</t>
  </si>
  <si>
    <t>Max</t>
  </si>
  <si>
    <t>GK</t>
  </si>
  <si>
    <t>DEF</t>
  </si>
  <si>
    <t>MID</t>
  </si>
  <si>
    <t>5*</t>
  </si>
  <si>
    <t>FWD</t>
  </si>
  <si>
    <t>1 Captain 1 Sub</t>
  </si>
  <si>
    <t>Group (1)</t>
  </si>
  <si>
    <t>Group (2)</t>
  </si>
  <si>
    <t>Group (3)</t>
  </si>
  <si>
    <t>Opposition</t>
  </si>
  <si>
    <t>Selection</t>
  </si>
  <si>
    <t>Points</t>
  </si>
  <si>
    <t>Subbed Off</t>
  </si>
  <si>
    <t>Sub GK</t>
  </si>
  <si>
    <t>Picked</t>
  </si>
  <si>
    <t>Sub 2</t>
  </si>
  <si>
    <t>Sub 4</t>
  </si>
  <si>
    <t>Sub 3</t>
  </si>
  <si>
    <t>Vice Captain</t>
  </si>
  <si>
    <t>Captain</t>
  </si>
  <si>
    <t>CUT</t>
  </si>
  <si>
    <t>GER</t>
  </si>
  <si>
    <t>Sub 1</t>
  </si>
  <si>
    <t>Turkey</t>
  </si>
  <si>
    <t>South Korea</t>
  </si>
  <si>
    <t>0 Captain 1 Sub</t>
  </si>
  <si>
    <t>Ivory Coast</t>
  </si>
  <si>
    <t>1 Captain 0 Sub</t>
  </si>
  <si>
    <t>R. de Paul</t>
  </si>
  <si>
    <t>id</t>
  </si>
  <si>
    <t>Score</t>
  </si>
  <si>
    <t>SBR</t>
  </si>
  <si>
    <t>ATR</t>
  </si>
  <si>
    <t>IUR</t>
  </si>
  <si>
    <t>WTR</t>
  </si>
  <si>
    <t>JSR</t>
  </si>
  <si>
    <t>DWR</t>
  </si>
  <si>
    <t>AMR</t>
  </si>
  <si>
    <t>WSR</t>
  </si>
  <si>
    <t>2-0</t>
  </si>
  <si>
    <t>2-1</t>
  </si>
  <si>
    <t>3-1</t>
  </si>
  <si>
    <t>1-0</t>
  </si>
  <si>
    <t>South Korea vs Czechia</t>
  </si>
  <si>
    <t>1-1</t>
  </si>
  <si>
    <t>Canada vs Bosnia &amp; Herzegovina</t>
  </si>
  <si>
    <t>Bosnia &amp; Herzegovina</t>
  </si>
  <si>
    <t>0-1</t>
  </si>
  <si>
    <t>USA vs Paraguay</t>
  </si>
  <si>
    <t>4-1</t>
  </si>
  <si>
    <t>4-2</t>
  </si>
  <si>
    <t>0-2</t>
  </si>
  <si>
    <t>0-3</t>
  </si>
  <si>
    <t>1-3</t>
  </si>
  <si>
    <t>1-2</t>
  </si>
  <si>
    <t>0-5</t>
  </si>
  <si>
    <t>Australia vs Turkey</t>
  </si>
  <si>
    <t>2-2</t>
  </si>
  <si>
    <t>Germany vs Curucao</t>
  </si>
  <si>
    <t>Curucao</t>
  </si>
  <si>
    <t>7-1</t>
  </si>
  <si>
    <t>3-0</t>
  </si>
  <si>
    <t>8-0</t>
  </si>
  <si>
    <t>5-0</t>
  </si>
  <si>
    <t>6-0</t>
  </si>
  <si>
    <t>4-0</t>
  </si>
  <si>
    <t>Ivory Coast vs Ecuador</t>
  </si>
  <si>
    <t>0-0</t>
  </si>
  <si>
    <t>5-1</t>
  </si>
  <si>
    <t>Spain vs Cape Verde</t>
  </si>
  <si>
    <t>Cape Verde</t>
  </si>
  <si>
    <t>7-0</t>
  </si>
  <si>
    <t>Iran vs New Zealand</t>
  </si>
  <si>
    <t>1-4</t>
  </si>
  <si>
    <t>0-4</t>
  </si>
  <si>
    <t>Switzerland vs Bosnia &amp; Herzegovina</t>
  </si>
  <si>
    <t>Mexico vs South Korea</t>
  </si>
  <si>
    <t>3-2</t>
  </si>
  <si>
    <t>USA vs Australia</t>
  </si>
  <si>
    <t>Turkey vs Paraguay</t>
  </si>
  <si>
    <t>Germany vs Ivory Coast</t>
  </si>
  <si>
    <t>Ecuador vs Curucao</t>
  </si>
  <si>
    <t>Belgium vs Iran</t>
  </si>
  <si>
    <t>Uruguay vs Cape Verde</t>
  </si>
  <si>
    <t>6-1</t>
  </si>
  <si>
    <t>0-6</t>
  </si>
  <si>
    <t>Bosnia &amp; Herzegovina vs Qatar</t>
  </si>
  <si>
    <t>South Africa vs South Korea</t>
  </si>
  <si>
    <t>Curucao vs Ivory Coast</t>
  </si>
  <si>
    <t>Turkey vs USA</t>
  </si>
  <si>
    <t>2-4</t>
  </si>
  <si>
    <t>Cape Verde vs Saudi Arabia</t>
  </si>
  <si>
    <t>1-5</t>
  </si>
  <si>
    <t>Egypt vs Iran</t>
  </si>
  <si>
    <t>3-3</t>
  </si>
  <si>
    <t>R2</t>
  </si>
  <si>
    <t>Ivory Coast vs Norway</t>
  </si>
  <si>
    <t>2-3</t>
  </si>
  <si>
    <t>Mexico v Ecuador</t>
  </si>
  <si>
    <t>England v DR Congo</t>
  </si>
  <si>
    <t>Belgium v Senegal</t>
  </si>
  <si>
    <t>USA vs Bosnia &amp; Herzegovina</t>
  </si>
  <si>
    <t>Spain v Austria</t>
  </si>
  <si>
    <t>Portugal v Croatia</t>
  </si>
  <si>
    <t>Switzerland v Algeria</t>
  </si>
  <si>
    <t>Colombia v Ghana</t>
  </si>
  <si>
    <t>Canada v Morocco</t>
  </si>
  <si>
    <t>R3</t>
  </si>
  <si>
    <t>Paraguay v France</t>
  </si>
  <si>
    <t>Brazil v Norway</t>
  </si>
  <si>
    <t>QF</t>
  </si>
  <si>
    <t>SF</t>
  </si>
  <si>
    <t>F</t>
  </si>
  <si>
    <t>L32</t>
  </si>
  <si>
    <t>L16</t>
  </si>
  <si>
    <t>3/F</t>
  </si>
  <si>
    <t>ARG</t>
  </si>
  <si>
    <t>JOR</t>
  </si>
  <si>
    <t>AUT</t>
  </si>
  <si>
    <t>SWI</t>
  </si>
  <si>
    <t>TBC</t>
  </si>
  <si>
    <t>ALG</t>
  </si>
  <si>
    <t>CAP</t>
  </si>
  <si>
    <t>TUR</t>
  </si>
  <si>
    <t>PAR</t>
  </si>
  <si>
    <t>EGY</t>
  </si>
  <si>
    <t>SPA</t>
  </si>
  <si>
    <t>IRA</t>
  </si>
  <si>
    <t>NZL</t>
  </si>
  <si>
    <t>SEN</t>
  </si>
  <si>
    <t>Bosnia &amp; Herzogovina</t>
  </si>
  <si>
    <t>CAN</t>
  </si>
  <si>
    <t>QAT</t>
  </si>
  <si>
    <t>MOR</t>
  </si>
  <si>
    <t>HAI</t>
  </si>
  <si>
    <t>SCO</t>
  </si>
  <si>
    <t>JAP</t>
  </si>
  <si>
    <t>NOR</t>
  </si>
  <si>
    <t>BOS</t>
  </si>
  <si>
    <t>SOU</t>
  </si>
  <si>
    <t>URU</t>
  </si>
  <si>
    <t>SAU</t>
  </si>
  <si>
    <t>UZB</t>
  </si>
  <si>
    <t>CON</t>
  </si>
  <si>
    <t>POR</t>
  </si>
  <si>
    <t>GHA</t>
  </si>
  <si>
    <t>ENG</t>
  </si>
  <si>
    <t>PAN</t>
  </si>
  <si>
    <t>Curacao</t>
  </si>
  <si>
    <t>ECU</t>
  </si>
  <si>
    <t>IVO</t>
  </si>
  <si>
    <t>out</t>
  </si>
  <si>
    <t>KOR</t>
  </si>
  <si>
    <t>MEX</t>
  </si>
  <si>
    <t>DR Congo</t>
  </si>
  <si>
    <t>COL</t>
  </si>
  <si>
    <t>CUR</t>
  </si>
  <si>
    <t>BEL</t>
  </si>
  <si>
    <t>AUS</t>
  </si>
  <si>
    <t>CRO</t>
  </si>
  <si>
    <t>IRQ</t>
  </si>
  <si>
    <t>SWE</t>
  </si>
  <si>
    <t>BRA</t>
  </si>
  <si>
    <t>FRA</t>
  </si>
  <si>
    <t>NED</t>
  </si>
  <si>
    <t>TUN</t>
  </si>
  <si>
    <t>CZE</t>
  </si>
  <si>
    <t>Full Name</t>
  </si>
  <si>
    <t>Name</t>
  </si>
  <si>
    <t>Available</t>
  </si>
  <si>
    <t>Group A</t>
  </si>
  <si>
    <t>Group B</t>
  </si>
  <si>
    <t>Group C</t>
  </si>
  <si>
    <t>Group D</t>
  </si>
  <si>
    <t>Positions</t>
  </si>
  <si>
    <t>Czech Republic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</si>
  <si>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</si>
  <si>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</si>
  <si>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</si>
  <si>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</si>
  <si>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</si>
  <si>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</si>
  <si>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</si>
  <si>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</si>
  <si>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Round1</t>
  </si>
  <si>
    <t>Round2</t>
  </si>
  <si>
    <t>Round3</t>
  </si>
  <si>
    <t>Round4</t>
  </si>
  <si>
    <t>Round5</t>
  </si>
  <si>
    <t>Round6</t>
  </si>
  <si>
    <t>Round7</t>
  </si>
  <si>
    <t>Round8</t>
  </si>
  <si>
    <t>Round9</t>
  </si>
  <si>
    <t>Round10</t>
  </si>
  <si>
    <t>Round11</t>
  </si>
  <si>
    <t>Round12</t>
  </si>
  <si>
    <t>Round13</t>
  </si>
  <si>
    <t>Round14</t>
  </si>
  <si>
    <t>Round15</t>
  </si>
  <si>
    <t>Round16</t>
  </si>
  <si>
    <t>Teams</t>
  </si>
  <si>
    <t>Mexico v England</t>
  </si>
  <si>
    <t>4zrut521fzw9fddqt74pnl756</t>
  </si>
  <si>
    <t>br7zigajqee6fms35zhm1sb8p</t>
  </si>
  <si>
    <t>Portugal v Spain</t>
  </si>
  <si>
    <t>USA v Belgium</t>
  </si>
  <si>
    <t>Switzerland v ---</t>
  </si>
  <si>
    <t>dodddfi0l5i36vlgbaybhzeqy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</si>
</sst>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/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0" borderId="20" xfId="0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14" fontId="0" fillId="4" borderId="20" xfId="0" applyNumberFormat="1" applyFill="1" applyBorder="1" applyAlignment="1">
      <alignment horizontal="center"/>
    </xf>
    <xf numFmtId="20" fontId="0" fillId="4" borderId="20" xfId="0" applyNumberFormat="1" applyFill="1" applyBorder="1" applyAlignment="1">
      <alignment horizontal="center"/>
    </xf>
    <xf numFmtId="49" fontId="0" fillId="6" borderId="20" xfId="0" applyNumberForma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9" xfId="0" applyFill="1" applyBorder="1"/>
    <xf numFmtId="0" fontId="0" fillId="4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8" fillId="8" borderId="17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351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0.59996337778862885"/>
        </patternFill>
      </fill>
    </dxf>
    <dxf>
      <fill>
        <patternFill>
          <bgColor rgb="FFFF8F7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8F75"/>
      <color rgb="FFFFFFCC"/>
      <color rgb="FFF8696B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A9C2-586E-4EFA-AF05-F7E9A99C062D}">
  <dimension ref="A1:G105"/>
  <sheetViews>
    <sheetView workbookViewId="0">
      <selection activeCell="E11" sqref="E11"/>
    </sheetView>
  </sheetViews>
  <sheetFormatPr defaultRowHeight="15" x14ac:dyDescent="0.25"/>
  <cols>
    <col min="1" max="1" width="29.85546875" bestFit="1" customWidth="1"/>
    <col min="2" max="2" width="32.140625" bestFit="1" customWidth="1"/>
    <col min="3" max="3" width="10.85546875" bestFit="1" customWidth="1"/>
    <col min="5" max="5" width="13.5703125" bestFit="1" customWidth="1"/>
    <col min="6" max="6" width="17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47">
        <v>46222</v>
      </c>
      <c r="D2" t="s">
        <v>8</v>
      </c>
      <c r="G2" t="s">
        <v>9</v>
      </c>
    </row>
    <row r="3" spans="1:7" x14ac:dyDescent="0.25">
      <c r="A3" t="s">
        <v>10</v>
      </c>
      <c r="C3" s="47">
        <v>46221</v>
      </c>
      <c r="D3" t="s">
        <v>11</v>
      </c>
      <c r="G3" t="s">
        <v>9</v>
      </c>
    </row>
    <row r="4" spans="1:7" x14ac:dyDescent="0.25">
      <c r="A4" t="s">
        <v>12</v>
      </c>
      <c r="C4" s="47">
        <v>46218</v>
      </c>
      <c r="D4" t="s">
        <v>8</v>
      </c>
      <c r="G4" t="s">
        <v>13</v>
      </c>
    </row>
    <row r="5" spans="1:7" x14ac:dyDescent="0.25">
      <c r="A5" t="s">
        <v>14</v>
      </c>
      <c r="C5" s="47">
        <v>46217</v>
      </c>
      <c r="D5" t="s">
        <v>8</v>
      </c>
      <c r="G5" t="s">
        <v>13</v>
      </c>
    </row>
    <row r="6" spans="1:7" x14ac:dyDescent="0.25">
      <c r="A6" t="s">
        <v>15</v>
      </c>
      <c r="C6" s="47">
        <v>46215</v>
      </c>
      <c r="D6" t="s">
        <v>16</v>
      </c>
      <c r="G6" t="s">
        <v>17</v>
      </c>
    </row>
    <row r="7" spans="1:7" x14ac:dyDescent="0.25">
      <c r="A7" t="s">
        <v>18</v>
      </c>
      <c r="C7" s="47">
        <v>46214</v>
      </c>
      <c r="D7" t="s">
        <v>11</v>
      </c>
      <c r="G7" t="s">
        <v>17</v>
      </c>
    </row>
    <row r="8" spans="1:7" x14ac:dyDescent="0.25">
      <c r="A8" t="s">
        <v>19</v>
      </c>
      <c r="C8" s="47">
        <v>46213</v>
      </c>
      <c r="D8" t="s">
        <v>8</v>
      </c>
      <c r="G8" t="s">
        <v>17</v>
      </c>
    </row>
    <row r="9" spans="1:7" x14ac:dyDescent="0.25">
      <c r="A9" t="s">
        <v>20</v>
      </c>
      <c r="C9" s="47">
        <v>46212</v>
      </c>
      <c r="D9" t="s">
        <v>21</v>
      </c>
      <c r="G9" t="s">
        <v>17</v>
      </c>
    </row>
    <row r="10" spans="1:7" x14ac:dyDescent="0.25">
      <c r="A10" t="s">
        <v>22</v>
      </c>
      <c r="B10" t="s">
        <v>2879</v>
      </c>
      <c r="C10" s="47">
        <v>46210</v>
      </c>
      <c r="D10" t="s">
        <v>21</v>
      </c>
      <c r="E10" t="s">
        <v>165</v>
      </c>
      <c r="G10" t="s">
        <v>23</v>
      </c>
    </row>
    <row r="11" spans="1:7" x14ac:dyDescent="0.25">
      <c r="A11" t="s">
        <v>24</v>
      </c>
      <c r="C11" s="47">
        <v>46210</v>
      </c>
      <c r="D11" t="s">
        <v>25</v>
      </c>
      <c r="G11" t="s">
        <v>23</v>
      </c>
    </row>
    <row r="12" spans="1:7" x14ac:dyDescent="0.25">
      <c r="A12" t="s">
        <v>26</v>
      </c>
      <c r="B12" t="s">
        <v>2878</v>
      </c>
      <c r="C12" s="47">
        <v>46210</v>
      </c>
      <c r="D12" t="s">
        <v>27</v>
      </c>
      <c r="E12" t="s">
        <v>2522</v>
      </c>
      <c r="F12" t="s">
        <v>113</v>
      </c>
      <c r="G12" t="s">
        <v>23</v>
      </c>
    </row>
    <row r="13" spans="1:7" x14ac:dyDescent="0.25">
      <c r="A13" t="s">
        <v>28</v>
      </c>
      <c r="B13" t="s">
        <v>2877</v>
      </c>
      <c r="C13" s="47">
        <v>46209</v>
      </c>
      <c r="D13" t="s">
        <v>8</v>
      </c>
      <c r="E13" t="s">
        <v>101</v>
      </c>
      <c r="F13" t="s">
        <v>123</v>
      </c>
      <c r="G13" t="s">
        <v>23</v>
      </c>
    </row>
    <row r="14" spans="1:7" x14ac:dyDescent="0.25">
      <c r="A14" t="s">
        <v>29</v>
      </c>
      <c r="B14" s="88" t="s">
        <v>2874</v>
      </c>
      <c r="C14" s="47">
        <v>46209</v>
      </c>
      <c r="D14" t="s">
        <v>27</v>
      </c>
      <c r="E14" t="s">
        <v>153</v>
      </c>
      <c r="F14" t="s">
        <v>109</v>
      </c>
      <c r="G14" t="s">
        <v>23</v>
      </c>
    </row>
    <row r="15" spans="1:7" x14ac:dyDescent="0.25">
      <c r="A15" t="s">
        <v>30</v>
      </c>
      <c r="B15" s="88" t="s">
        <v>2782</v>
      </c>
      <c r="C15" s="47">
        <v>46208</v>
      </c>
      <c r="D15" t="s">
        <v>21</v>
      </c>
      <c r="E15" t="s">
        <v>78</v>
      </c>
      <c r="F15" t="s">
        <v>66</v>
      </c>
      <c r="G15" t="s">
        <v>23</v>
      </c>
    </row>
    <row r="16" spans="1:7" x14ac:dyDescent="0.25">
      <c r="A16" t="s">
        <v>31</v>
      </c>
      <c r="B16" s="88" t="s">
        <v>2781</v>
      </c>
      <c r="C16" s="47">
        <v>46207</v>
      </c>
      <c r="D16" t="s">
        <v>11</v>
      </c>
      <c r="E16" t="s">
        <v>75</v>
      </c>
      <c r="F16" t="s">
        <v>61</v>
      </c>
      <c r="G16" t="s">
        <v>23</v>
      </c>
    </row>
    <row r="17" spans="1:7" x14ac:dyDescent="0.25">
      <c r="A17" t="s">
        <v>32</v>
      </c>
      <c r="B17" s="88" t="s">
        <v>2779</v>
      </c>
      <c r="C17" s="47">
        <v>46207</v>
      </c>
      <c r="D17" t="s">
        <v>33</v>
      </c>
      <c r="E17" t="s">
        <v>83</v>
      </c>
      <c r="F17" t="s">
        <v>70</v>
      </c>
      <c r="G17" t="s">
        <v>23</v>
      </c>
    </row>
    <row r="18" spans="1:7" x14ac:dyDescent="0.25">
      <c r="A18" t="s">
        <v>34</v>
      </c>
      <c r="B18" s="89" t="s">
        <v>2778</v>
      </c>
      <c r="C18" s="47">
        <v>46207</v>
      </c>
      <c r="D18" t="s">
        <v>35</v>
      </c>
      <c r="E18" t="s">
        <v>100</v>
      </c>
      <c r="F18" t="s">
        <v>105</v>
      </c>
      <c r="G18" t="s">
        <v>36</v>
      </c>
    </row>
    <row r="19" spans="1:7" x14ac:dyDescent="0.25">
      <c r="A19" t="s">
        <v>37</v>
      </c>
      <c r="B19" t="s">
        <v>38</v>
      </c>
      <c r="C19" s="47">
        <v>46206</v>
      </c>
      <c r="D19" t="s">
        <v>39</v>
      </c>
      <c r="E19" t="s">
        <v>40</v>
      </c>
      <c r="F19" t="s">
        <v>41</v>
      </c>
      <c r="G19" t="s">
        <v>36</v>
      </c>
    </row>
    <row r="20" spans="1:7" x14ac:dyDescent="0.25">
      <c r="A20" t="s">
        <v>42</v>
      </c>
      <c r="B20" t="s">
        <v>43</v>
      </c>
      <c r="C20" s="47">
        <v>46206</v>
      </c>
      <c r="D20" t="s">
        <v>44</v>
      </c>
      <c r="E20" t="s">
        <v>45</v>
      </c>
      <c r="F20" t="s">
        <v>46</v>
      </c>
      <c r="G20" t="s">
        <v>36</v>
      </c>
    </row>
    <row r="21" spans="1:7" x14ac:dyDescent="0.25">
      <c r="A21" t="s">
        <v>47</v>
      </c>
      <c r="B21" t="s">
        <v>2777</v>
      </c>
      <c r="C21" s="47">
        <v>46206</v>
      </c>
      <c r="D21" t="s">
        <v>48</v>
      </c>
      <c r="E21" t="s">
        <v>165</v>
      </c>
      <c r="F21" t="s">
        <v>87</v>
      </c>
      <c r="G21" t="s">
        <v>36</v>
      </c>
    </row>
    <row r="22" spans="1:7" x14ac:dyDescent="0.25">
      <c r="A22" t="s">
        <v>49</v>
      </c>
      <c r="B22" t="s">
        <v>2776</v>
      </c>
      <c r="C22" s="47">
        <v>46205</v>
      </c>
      <c r="D22" t="s">
        <v>50</v>
      </c>
      <c r="E22" t="s">
        <v>101</v>
      </c>
      <c r="F22" t="s">
        <v>104</v>
      </c>
      <c r="G22" t="s">
        <v>36</v>
      </c>
    </row>
    <row r="23" spans="1:7" x14ac:dyDescent="0.25">
      <c r="A23" t="s">
        <v>51</v>
      </c>
      <c r="B23" t="s">
        <v>2775</v>
      </c>
      <c r="C23" s="47">
        <v>46205</v>
      </c>
      <c r="D23" t="s">
        <v>8</v>
      </c>
      <c r="E23" t="s">
        <v>123</v>
      </c>
      <c r="F23" t="s">
        <v>88</v>
      </c>
      <c r="G23" t="s">
        <v>36</v>
      </c>
    </row>
    <row r="24" spans="1:7" x14ac:dyDescent="0.25">
      <c r="A24" t="s">
        <v>52</v>
      </c>
      <c r="B24" t="s">
        <v>53</v>
      </c>
      <c r="C24" s="47">
        <v>46205</v>
      </c>
      <c r="D24" t="s">
        <v>27</v>
      </c>
      <c r="E24" t="s">
        <v>54</v>
      </c>
      <c r="F24" t="s">
        <v>55</v>
      </c>
      <c r="G24" t="s">
        <v>36</v>
      </c>
    </row>
    <row r="25" spans="1:7" x14ac:dyDescent="0.25">
      <c r="A25" t="s">
        <v>56</v>
      </c>
      <c r="B25" t="s">
        <v>2773</v>
      </c>
      <c r="C25" s="47">
        <v>46204</v>
      </c>
      <c r="D25" t="s">
        <v>21</v>
      </c>
      <c r="E25" t="s">
        <v>113</v>
      </c>
      <c r="F25" t="s">
        <v>126</v>
      </c>
      <c r="G25" t="s">
        <v>36</v>
      </c>
    </row>
    <row r="26" spans="1:7" x14ac:dyDescent="0.25">
      <c r="A26" t="s">
        <v>57</v>
      </c>
      <c r="B26" t="s">
        <v>2772</v>
      </c>
      <c r="C26" s="47">
        <v>46204</v>
      </c>
      <c r="D26" t="s">
        <v>25</v>
      </c>
      <c r="E26" t="s">
        <v>109</v>
      </c>
      <c r="F26" t="s">
        <v>2827</v>
      </c>
      <c r="G26" t="s">
        <v>36</v>
      </c>
    </row>
    <row r="27" spans="1:7" x14ac:dyDescent="0.25">
      <c r="A27" t="s">
        <v>58</v>
      </c>
      <c r="B27" t="s">
        <v>2771</v>
      </c>
      <c r="C27" s="47">
        <v>46204</v>
      </c>
      <c r="D27" t="s">
        <v>16</v>
      </c>
      <c r="E27" t="s">
        <v>153</v>
      </c>
      <c r="F27" t="s">
        <v>146</v>
      </c>
      <c r="G27" t="s">
        <v>36</v>
      </c>
    </row>
    <row r="28" spans="1:7" x14ac:dyDescent="0.25">
      <c r="A28" t="s">
        <v>59</v>
      </c>
      <c r="B28" t="s">
        <v>60</v>
      </c>
      <c r="C28" s="47">
        <v>46203</v>
      </c>
      <c r="D28" t="s">
        <v>11</v>
      </c>
      <c r="E28" t="s">
        <v>61</v>
      </c>
      <c r="F28" t="s">
        <v>62</v>
      </c>
      <c r="G28" t="s">
        <v>36</v>
      </c>
    </row>
    <row r="29" spans="1:7" x14ac:dyDescent="0.25">
      <c r="A29" t="s">
        <v>63</v>
      </c>
      <c r="B29" t="s">
        <v>64</v>
      </c>
      <c r="C29" s="47">
        <v>46203</v>
      </c>
      <c r="D29" t="s">
        <v>33</v>
      </c>
      <c r="E29" t="s">
        <v>65</v>
      </c>
      <c r="F29" t="s">
        <v>66</v>
      </c>
      <c r="G29" t="s">
        <v>36</v>
      </c>
    </row>
    <row r="30" spans="1:7" x14ac:dyDescent="0.25">
      <c r="A30" t="s">
        <v>67</v>
      </c>
      <c r="B30" t="s">
        <v>68</v>
      </c>
      <c r="C30" s="47">
        <v>46203</v>
      </c>
      <c r="D30" t="s">
        <v>16</v>
      </c>
      <c r="E30" t="s">
        <v>69</v>
      </c>
      <c r="F30" t="s">
        <v>70</v>
      </c>
      <c r="G30" t="s">
        <v>36</v>
      </c>
    </row>
    <row r="31" spans="1:7" x14ac:dyDescent="0.25">
      <c r="A31" t="s">
        <v>71</v>
      </c>
      <c r="B31" t="s">
        <v>72</v>
      </c>
      <c r="C31" s="47">
        <v>46202</v>
      </c>
      <c r="D31" t="s">
        <v>73</v>
      </c>
      <c r="E31" t="s">
        <v>74</v>
      </c>
      <c r="F31" t="s">
        <v>75</v>
      </c>
      <c r="G31" t="s">
        <v>36</v>
      </c>
    </row>
    <row r="32" spans="1:7" x14ac:dyDescent="0.25">
      <c r="A32" t="s">
        <v>76</v>
      </c>
      <c r="B32" t="s">
        <v>77</v>
      </c>
      <c r="C32" s="47">
        <v>46202</v>
      </c>
      <c r="D32" t="s">
        <v>33</v>
      </c>
      <c r="E32" t="s">
        <v>78</v>
      </c>
      <c r="F32" t="s">
        <v>79</v>
      </c>
      <c r="G32" t="s">
        <v>36</v>
      </c>
    </row>
    <row r="33" spans="1:7" x14ac:dyDescent="0.25">
      <c r="A33" t="s">
        <v>80</v>
      </c>
      <c r="B33" t="s">
        <v>81</v>
      </c>
      <c r="C33" s="47">
        <v>46201</v>
      </c>
      <c r="D33" t="s">
        <v>8</v>
      </c>
      <c r="E33" t="s">
        <v>82</v>
      </c>
      <c r="F33" t="s">
        <v>83</v>
      </c>
      <c r="G33" t="s">
        <v>36</v>
      </c>
    </row>
    <row r="34" spans="1:7" x14ac:dyDescent="0.25">
      <c r="A34" t="s">
        <v>84</v>
      </c>
      <c r="B34" t="s">
        <v>85</v>
      </c>
      <c r="C34" s="47">
        <v>46201</v>
      </c>
      <c r="D34" t="s">
        <v>86</v>
      </c>
      <c r="E34" t="s">
        <v>87</v>
      </c>
      <c r="F34" t="s">
        <v>88</v>
      </c>
      <c r="G34" t="s">
        <v>89</v>
      </c>
    </row>
    <row r="35" spans="1:7" x14ac:dyDescent="0.25">
      <c r="A35" t="s">
        <v>90</v>
      </c>
      <c r="B35" t="s">
        <v>91</v>
      </c>
      <c r="C35" s="47">
        <v>46201</v>
      </c>
      <c r="D35" t="s">
        <v>86</v>
      </c>
      <c r="E35" t="s">
        <v>92</v>
      </c>
      <c r="F35" t="s">
        <v>40</v>
      </c>
      <c r="G35" t="s">
        <v>89</v>
      </c>
    </row>
    <row r="36" spans="1:7" x14ac:dyDescent="0.25">
      <c r="A36" t="s">
        <v>93</v>
      </c>
      <c r="B36" t="s">
        <v>94</v>
      </c>
      <c r="C36" s="47">
        <v>46200</v>
      </c>
      <c r="D36" t="s">
        <v>95</v>
      </c>
      <c r="E36" t="s">
        <v>96</v>
      </c>
      <c r="F36" t="s">
        <v>97</v>
      </c>
      <c r="G36" t="s">
        <v>89</v>
      </c>
    </row>
    <row r="37" spans="1:7" x14ac:dyDescent="0.25">
      <c r="A37" t="s">
        <v>98</v>
      </c>
      <c r="B37" t="s">
        <v>99</v>
      </c>
      <c r="C37" s="47">
        <v>46200</v>
      </c>
      <c r="D37" t="s">
        <v>95</v>
      </c>
      <c r="E37" t="s">
        <v>100</v>
      </c>
      <c r="F37" t="s">
        <v>101</v>
      </c>
      <c r="G37" t="s">
        <v>89</v>
      </c>
    </row>
    <row r="38" spans="1:7" x14ac:dyDescent="0.25">
      <c r="A38" t="s">
        <v>102</v>
      </c>
      <c r="B38" t="s">
        <v>103</v>
      </c>
      <c r="C38" s="47">
        <v>46200</v>
      </c>
      <c r="D38" t="s">
        <v>11</v>
      </c>
      <c r="E38" t="s">
        <v>104</v>
      </c>
      <c r="F38" t="s">
        <v>105</v>
      </c>
      <c r="G38" t="s">
        <v>89</v>
      </c>
    </row>
    <row r="39" spans="1:7" x14ac:dyDescent="0.25">
      <c r="A39" t="s">
        <v>106</v>
      </c>
      <c r="B39" t="s">
        <v>107</v>
      </c>
      <c r="C39" s="47">
        <v>46200</v>
      </c>
      <c r="D39" t="s">
        <v>11</v>
      </c>
      <c r="E39" t="s">
        <v>108</v>
      </c>
      <c r="F39" t="s">
        <v>109</v>
      </c>
      <c r="G39" t="s">
        <v>89</v>
      </c>
    </row>
    <row r="40" spans="1:7" x14ac:dyDescent="0.25">
      <c r="A40" t="s">
        <v>110</v>
      </c>
      <c r="B40" t="s">
        <v>111</v>
      </c>
      <c r="C40" s="47">
        <v>46200</v>
      </c>
      <c r="D40" t="s">
        <v>48</v>
      </c>
      <c r="E40" t="s">
        <v>112</v>
      </c>
      <c r="F40" t="s">
        <v>113</v>
      </c>
      <c r="G40" t="s">
        <v>89</v>
      </c>
    </row>
    <row r="41" spans="1:7" x14ac:dyDescent="0.25">
      <c r="A41" t="s">
        <v>114</v>
      </c>
      <c r="B41" t="s">
        <v>115</v>
      </c>
      <c r="C41" s="47">
        <v>46200</v>
      </c>
      <c r="D41" t="s">
        <v>48</v>
      </c>
      <c r="E41" t="s">
        <v>46</v>
      </c>
      <c r="F41" t="s">
        <v>116</v>
      </c>
      <c r="G41" t="s">
        <v>89</v>
      </c>
    </row>
    <row r="42" spans="1:7" x14ac:dyDescent="0.25">
      <c r="A42" t="s">
        <v>117</v>
      </c>
      <c r="B42" t="s">
        <v>118</v>
      </c>
      <c r="C42" s="47">
        <v>46200</v>
      </c>
      <c r="D42" t="s">
        <v>27</v>
      </c>
      <c r="E42" t="s">
        <v>41</v>
      </c>
      <c r="F42" t="s">
        <v>119</v>
      </c>
      <c r="G42" t="s">
        <v>89</v>
      </c>
    </row>
    <row r="43" spans="1:7" x14ac:dyDescent="0.25">
      <c r="A43" t="s">
        <v>120</v>
      </c>
      <c r="B43" t="s">
        <v>121</v>
      </c>
      <c r="C43" s="47">
        <v>46200</v>
      </c>
      <c r="D43" t="s">
        <v>27</v>
      </c>
      <c r="E43" t="s">
        <v>122</v>
      </c>
      <c r="F43" t="s">
        <v>123</v>
      </c>
      <c r="G43" t="s">
        <v>89</v>
      </c>
    </row>
    <row r="44" spans="1:7" x14ac:dyDescent="0.25">
      <c r="A44" t="s">
        <v>124</v>
      </c>
      <c r="B44" t="s">
        <v>125</v>
      </c>
      <c r="C44" s="47">
        <v>46199</v>
      </c>
      <c r="D44" t="s">
        <v>8</v>
      </c>
      <c r="E44" t="s">
        <v>126</v>
      </c>
      <c r="F44" t="s">
        <v>127</v>
      </c>
      <c r="G44" t="s">
        <v>89</v>
      </c>
    </row>
    <row r="45" spans="1:7" x14ac:dyDescent="0.25">
      <c r="A45" t="s">
        <v>128</v>
      </c>
      <c r="B45" t="s">
        <v>129</v>
      </c>
      <c r="C45" s="47">
        <v>46199</v>
      </c>
      <c r="D45" t="s">
        <v>8</v>
      </c>
      <c r="E45" t="s">
        <v>66</v>
      </c>
      <c r="F45" t="s">
        <v>61</v>
      </c>
      <c r="G45" t="s">
        <v>89</v>
      </c>
    </row>
    <row r="46" spans="1:7" x14ac:dyDescent="0.25">
      <c r="A46" t="s">
        <v>130</v>
      </c>
      <c r="B46" t="s">
        <v>131</v>
      </c>
      <c r="C46" s="47">
        <v>46199</v>
      </c>
      <c r="D46" t="s">
        <v>86</v>
      </c>
      <c r="E46" t="s">
        <v>75</v>
      </c>
      <c r="F46" t="s">
        <v>45</v>
      </c>
      <c r="G46" t="s">
        <v>89</v>
      </c>
    </row>
    <row r="47" spans="1:7" x14ac:dyDescent="0.25">
      <c r="A47" t="s">
        <v>132</v>
      </c>
      <c r="B47" t="s">
        <v>133</v>
      </c>
      <c r="C47" s="47">
        <v>46199</v>
      </c>
      <c r="D47" t="s">
        <v>86</v>
      </c>
      <c r="E47" t="s">
        <v>134</v>
      </c>
      <c r="F47" t="s">
        <v>54</v>
      </c>
      <c r="G47" t="s">
        <v>89</v>
      </c>
    </row>
    <row r="48" spans="1:7" x14ac:dyDescent="0.25">
      <c r="A48" t="s">
        <v>135</v>
      </c>
      <c r="B48" t="s">
        <v>136</v>
      </c>
      <c r="C48" s="47">
        <v>46198</v>
      </c>
      <c r="D48" t="s">
        <v>50</v>
      </c>
      <c r="E48" t="s">
        <v>79</v>
      </c>
      <c r="F48" t="s">
        <v>62</v>
      </c>
      <c r="G48" t="s">
        <v>89</v>
      </c>
    </row>
    <row r="49" spans="1:7" x14ac:dyDescent="0.25">
      <c r="A49" t="s">
        <v>137</v>
      </c>
      <c r="B49" t="s">
        <v>138</v>
      </c>
      <c r="C49" s="47">
        <v>46198</v>
      </c>
      <c r="D49" t="s">
        <v>50</v>
      </c>
      <c r="E49" t="s">
        <v>139</v>
      </c>
      <c r="F49" t="s">
        <v>69</v>
      </c>
      <c r="G49" t="s">
        <v>89</v>
      </c>
    </row>
    <row r="50" spans="1:7" x14ac:dyDescent="0.25">
      <c r="A50" t="s">
        <v>140</v>
      </c>
      <c r="B50" t="s">
        <v>141</v>
      </c>
      <c r="C50" s="47">
        <v>46198</v>
      </c>
      <c r="D50" t="s">
        <v>21</v>
      </c>
      <c r="E50" t="s">
        <v>142</v>
      </c>
      <c r="F50" t="s">
        <v>143</v>
      </c>
      <c r="G50" t="s">
        <v>89</v>
      </c>
    </row>
    <row r="51" spans="1:7" x14ac:dyDescent="0.25">
      <c r="A51" t="s">
        <v>144</v>
      </c>
      <c r="B51" t="s">
        <v>145</v>
      </c>
      <c r="C51" s="47">
        <v>46198</v>
      </c>
      <c r="D51" t="s">
        <v>21</v>
      </c>
      <c r="E51" t="s">
        <v>146</v>
      </c>
      <c r="F51" t="s">
        <v>74</v>
      </c>
      <c r="G51" t="s">
        <v>89</v>
      </c>
    </row>
    <row r="52" spans="1:7" x14ac:dyDescent="0.25">
      <c r="A52" t="s">
        <v>147</v>
      </c>
      <c r="B52" t="s">
        <v>148</v>
      </c>
      <c r="C52" s="47">
        <v>46198</v>
      </c>
      <c r="D52" t="s">
        <v>16</v>
      </c>
      <c r="E52" t="s">
        <v>82</v>
      </c>
      <c r="F52" t="s">
        <v>149</v>
      </c>
      <c r="G52" t="s">
        <v>89</v>
      </c>
    </row>
    <row r="53" spans="1:7" x14ac:dyDescent="0.25">
      <c r="A53" t="s">
        <v>150</v>
      </c>
      <c r="B53" t="s">
        <v>151</v>
      </c>
      <c r="C53" s="47">
        <v>46198</v>
      </c>
      <c r="D53" t="s">
        <v>16</v>
      </c>
      <c r="E53" t="s">
        <v>152</v>
      </c>
      <c r="F53" t="s">
        <v>153</v>
      </c>
      <c r="G53" t="s">
        <v>89</v>
      </c>
    </row>
    <row r="54" spans="1:7" x14ac:dyDescent="0.25">
      <c r="A54" t="s">
        <v>154</v>
      </c>
      <c r="B54" t="s">
        <v>155</v>
      </c>
      <c r="C54" s="47">
        <v>46197</v>
      </c>
      <c r="D54" t="s">
        <v>39</v>
      </c>
      <c r="E54" t="s">
        <v>156</v>
      </c>
      <c r="F54" t="s">
        <v>78</v>
      </c>
      <c r="G54" t="s">
        <v>89</v>
      </c>
    </row>
    <row r="55" spans="1:7" x14ac:dyDescent="0.25">
      <c r="A55" t="s">
        <v>157</v>
      </c>
      <c r="B55" t="s">
        <v>158</v>
      </c>
      <c r="C55" s="47">
        <v>46197</v>
      </c>
      <c r="D55" t="s">
        <v>39</v>
      </c>
      <c r="E55" t="s">
        <v>70</v>
      </c>
      <c r="F55" t="s">
        <v>159</v>
      </c>
      <c r="G55" t="s">
        <v>89</v>
      </c>
    </row>
    <row r="56" spans="1:7" x14ac:dyDescent="0.25">
      <c r="A56" t="s">
        <v>160</v>
      </c>
      <c r="B56" t="s">
        <v>161</v>
      </c>
      <c r="C56" s="47">
        <v>46197</v>
      </c>
      <c r="D56" t="s">
        <v>8</v>
      </c>
      <c r="E56" t="s">
        <v>55</v>
      </c>
      <c r="F56" t="s">
        <v>162</v>
      </c>
      <c r="G56" t="s">
        <v>89</v>
      </c>
    </row>
    <row r="57" spans="1:7" x14ac:dyDescent="0.25">
      <c r="A57" t="s">
        <v>163</v>
      </c>
      <c r="B57" t="s">
        <v>164</v>
      </c>
      <c r="C57" s="47">
        <v>46197</v>
      </c>
      <c r="D57" t="s">
        <v>8</v>
      </c>
      <c r="E57" t="s">
        <v>165</v>
      </c>
      <c r="F57" t="s">
        <v>83</v>
      </c>
      <c r="G57" t="s">
        <v>89</v>
      </c>
    </row>
    <row r="58" spans="1:7" x14ac:dyDescent="0.25">
      <c r="A58" t="s">
        <v>166</v>
      </c>
      <c r="B58" t="s">
        <v>167</v>
      </c>
      <c r="C58" s="47">
        <v>46197</v>
      </c>
      <c r="D58" t="s">
        <v>86</v>
      </c>
      <c r="E58" t="s">
        <v>100</v>
      </c>
      <c r="F58" t="s">
        <v>96</v>
      </c>
      <c r="G58" t="s">
        <v>168</v>
      </c>
    </row>
    <row r="59" spans="1:7" x14ac:dyDescent="0.25">
      <c r="A59" t="s">
        <v>169</v>
      </c>
      <c r="B59" t="s">
        <v>170</v>
      </c>
      <c r="C59" s="47">
        <v>46196</v>
      </c>
      <c r="D59" t="s">
        <v>50</v>
      </c>
      <c r="E59" t="s">
        <v>108</v>
      </c>
      <c r="F59" t="s">
        <v>104</v>
      </c>
      <c r="G59" t="s">
        <v>168</v>
      </c>
    </row>
    <row r="60" spans="1:7" x14ac:dyDescent="0.25">
      <c r="A60" t="s">
        <v>171</v>
      </c>
      <c r="B60" t="s">
        <v>172</v>
      </c>
      <c r="C60" s="47">
        <v>46196</v>
      </c>
      <c r="D60" t="s">
        <v>21</v>
      </c>
      <c r="E60" t="s">
        <v>109</v>
      </c>
      <c r="F60" t="s">
        <v>105</v>
      </c>
      <c r="G60" t="s">
        <v>168</v>
      </c>
    </row>
    <row r="61" spans="1:7" x14ac:dyDescent="0.25">
      <c r="A61" t="s">
        <v>173</v>
      </c>
      <c r="B61" t="s">
        <v>174</v>
      </c>
      <c r="C61" s="47">
        <v>46196</v>
      </c>
      <c r="D61" t="s">
        <v>33</v>
      </c>
      <c r="E61" t="s">
        <v>101</v>
      </c>
      <c r="F61" t="s">
        <v>97</v>
      </c>
      <c r="G61" t="s">
        <v>168</v>
      </c>
    </row>
    <row r="62" spans="1:7" x14ac:dyDescent="0.25">
      <c r="A62" t="s">
        <v>175</v>
      </c>
      <c r="B62" t="s">
        <v>176</v>
      </c>
      <c r="C62" s="47">
        <v>46196</v>
      </c>
      <c r="D62" t="s">
        <v>48</v>
      </c>
      <c r="E62" t="s">
        <v>92</v>
      </c>
      <c r="F62" t="s">
        <v>87</v>
      </c>
      <c r="G62" t="s">
        <v>168</v>
      </c>
    </row>
    <row r="63" spans="1:7" x14ac:dyDescent="0.25">
      <c r="A63" t="s">
        <v>177</v>
      </c>
      <c r="B63" t="s">
        <v>178</v>
      </c>
      <c r="C63" s="47">
        <v>46196</v>
      </c>
      <c r="D63" t="s">
        <v>27</v>
      </c>
      <c r="E63" t="s">
        <v>66</v>
      </c>
      <c r="F63" t="s">
        <v>126</v>
      </c>
      <c r="G63" t="s">
        <v>168</v>
      </c>
    </row>
    <row r="64" spans="1:7" x14ac:dyDescent="0.25">
      <c r="A64" t="s">
        <v>179</v>
      </c>
      <c r="B64" t="s">
        <v>180</v>
      </c>
      <c r="C64" s="47">
        <v>46195</v>
      </c>
      <c r="D64" t="s">
        <v>11</v>
      </c>
      <c r="E64" t="s">
        <v>61</v>
      </c>
      <c r="F64" t="s">
        <v>127</v>
      </c>
      <c r="G64" t="s">
        <v>168</v>
      </c>
    </row>
    <row r="65" spans="1:7" x14ac:dyDescent="0.25">
      <c r="A65" t="s">
        <v>181</v>
      </c>
      <c r="B65" t="s">
        <v>182</v>
      </c>
      <c r="C65" s="47">
        <v>46195</v>
      </c>
      <c r="D65" t="s">
        <v>33</v>
      </c>
      <c r="E65" t="s">
        <v>40</v>
      </c>
      <c r="F65" t="s">
        <v>88</v>
      </c>
      <c r="G65" t="s">
        <v>168</v>
      </c>
    </row>
    <row r="66" spans="1:7" x14ac:dyDescent="0.25">
      <c r="A66" t="s">
        <v>183</v>
      </c>
      <c r="B66" t="s">
        <v>184</v>
      </c>
      <c r="C66" s="47">
        <v>46195</v>
      </c>
      <c r="D66" t="s">
        <v>16</v>
      </c>
      <c r="E66" t="s">
        <v>112</v>
      </c>
      <c r="F66" t="s">
        <v>46</v>
      </c>
      <c r="G66" t="s">
        <v>168</v>
      </c>
    </row>
    <row r="67" spans="1:7" x14ac:dyDescent="0.25">
      <c r="A67" t="s">
        <v>185</v>
      </c>
      <c r="B67" t="s">
        <v>186</v>
      </c>
      <c r="C67" s="47">
        <v>46194</v>
      </c>
      <c r="D67" t="s">
        <v>39</v>
      </c>
      <c r="E67" t="s">
        <v>122</v>
      </c>
      <c r="F67" t="s">
        <v>41</v>
      </c>
      <c r="G67" t="s">
        <v>168</v>
      </c>
    </row>
    <row r="68" spans="1:7" x14ac:dyDescent="0.25">
      <c r="A68" t="s">
        <v>187</v>
      </c>
      <c r="B68" t="s">
        <v>188</v>
      </c>
      <c r="C68" s="47">
        <v>46194</v>
      </c>
      <c r="D68" t="s">
        <v>8</v>
      </c>
      <c r="E68" t="s">
        <v>113</v>
      </c>
      <c r="F68" t="s">
        <v>116</v>
      </c>
      <c r="G68" t="s">
        <v>168</v>
      </c>
    </row>
    <row r="69" spans="1:7" x14ac:dyDescent="0.25">
      <c r="A69" t="s">
        <v>189</v>
      </c>
      <c r="B69" t="s">
        <v>190</v>
      </c>
      <c r="C69" s="47">
        <v>46194</v>
      </c>
      <c r="D69" t="s">
        <v>25</v>
      </c>
      <c r="E69" t="s">
        <v>123</v>
      </c>
      <c r="F69" t="s">
        <v>119</v>
      </c>
      <c r="G69" t="s">
        <v>168</v>
      </c>
    </row>
    <row r="70" spans="1:7" x14ac:dyDescent="0.25">
      <c r="A70" t="s">
        <v>191</v>
      </c>
      <c r="B70" t="s">
        <v>192</v>
      </c>
      <c r="C70" s="47">
        <v>46194</v>
      </c>
      <c r="D70" t="s">
        <v>193</v>
      </c>
      <c r="E70" t="s">
        <v>139</v>
      </c>
      <c r="F70" t="s">
        <v>79</v>
      </c>
      <c r="G70" t="s">
        <v>168</v>
      </c>
    </row>
    <row r="71" spans="1:7" x14ac:dyDescent="0.25">
      <c r="A71" t="s">
        <v>194</v>
      </c>
      <c r="B71" t="s">
        <v>195</v>
      </c>
      <c r="C71" s="47">
        <v>46194</v>
      </c>
      <c r="D71" t="s">
        <v>27</v>
      </c>
      <c r="E71" t="s">
        <v>146</v>
      </c>
      <c r="F71" t="s">
        <v>142</v>
      </c>
      <c r="G71" t="s">
        <v>168</v>
      </c>
    </row>
    <row r="72" spans="1:7" x14ac:dyDescent="0.25">
      <c r="A72" t="s">
        <v>196</v>
      </c>
      <c r="B72" t="s">
        <v>197</v>
      </c>
      <c r="C72" s="47">
        <v>46193</v>
      </c>
      <c r="D72" t="s">
        <v>21</v>
      </c>
      <c r="E72" t="s">
        <v>74</v>
      </c>
      <c r="F72" t="s">
        <v>143</v>
      </c>
      <c r="G72" t="s">
        <v>168</v>
      </c>
    </row>
    <row r="73" spans="1:7" x14ac:dyDescent="0.25">
      <c r="A73" t="s">
        <v>198</v>
      </c>
      <c r="B73" t="s">
        <v>199</v>
      </c>
      <c r="C73" s="47">
        <v>46193</v>
      </c>
      <c r="D73" t="s">
        <v>33</v>
      </c>
      <c r="E73" t="s">
        <v>69</v>
      </c>
      <c r="F73" t="s">
        <v>62</v>
      </c>
      <c r="G73" t="s">
        <v>168</v>
      </c>
    </row>
    <row r="74" spans="1:7" x14ac:dyDescent="0.25">
      <c r="A74" t="s">
        <v>200</v>
      </c>
      <c r="B74" t="s">
        <v>201</v>
      </c>
      <c r="C74" s="47">
        <v>46193</v>
      </c>
      <c r="D74" t="s">
        <v>48</v>
      </c>
      <c r="E74" t="s">
        <v>134</v>
      </c>
      <c r="F74" t="s">
        <v>75</v>
      </c>
      <c r="G74" t="s">
        <v>168</v>
      </c>
    </row>
    <row r="75" spans="1:7" x14ac:dyDescent="0.25">
      <c r="A75" t="s">
        <v>202</v>
      </c>
      <c r="B75" t="s">
        <v>203</v>
      </c>
      <c r="C75" s="47">
        <v>46193</v>
      </c>
      <c r="D75" t="s">
        <v>204</v>
      </c>
      <c r="E75" t="s">
        <v>78</v>
      </c>
      <c r="F75" t="s">
        <v>159</v>
      </c>
      <c r="G75" t="s">
        <v>168</v>
      </c>
    </row>
    <row r="76" spans="1:7" x14ac:dyDescent="0.25">
      <c r="A76" t="s">
        <v>205</v>
      </c>
      <c r="B76" t="s">
        <v>206</v>
      </c>
      <c r="C76" s="47">
        <v>46192</v>
      </c>
      <c r="D76" t="s">
        <v>39</v>
      </c>
      <c r="E76" t="s">
        <v>156</v>
      </c>
      <c r="F76" t="s">
        <v>70</v>
      </c>
      <c r="G76" t="s">
        <v>168</v>
      </c>
    </row>
    <row r="77" spans="1:7" x14ac:dyDescent="0.25">
      <c r="A77" t="s">
        <v>207</v>
      </c>
      <c r="B77" t="s">
        <v>208</v>
      </c>
      <c r="C77" s="47">
        <v>46192</v>
      </c>
      <c r="D77" t="s">
        <v>8</v>
      </c>
      <c r="E77" t="s">
        <v>54</v>
      </c>
      <c r="F77" t="s">
        <v>45</v>
      </c>
      <c r="G77" t="s">
        <v>168</v>
      </c>
    </row>
    <row r="78" spans="1:7" x14ac:dyDescent="0.25">
      <c r="A78" t="s">
        <v>209</v>
      </c>
      <c r="B78" t="s">
        <v>210</v>
      </c>
      <c r="C78" s="47">
        <v>46192</v>
      </c>
      <c r="D78" t="s">
        <v>16</v>
      </c>
      <c r="E78" t="s">
        <v>153</v>
      </c>
      <c r="F78" t="s">
        <v>149</v>
      </c>
      <c r="G78" t="s">
        <v>168</v>
      </c>
    </row>
    <row r="79" spans="1:7" x14ac:dyDescent="0.25">
      <c r="A79" t="s">
        <v>211</v>
      </c>
      <c r="B79" t="s">
        <v>212</v>
      </c>
      <c r="C79" s="47">
        <v>46191</v>
      </c>
      <c r="D79" t="s">
        <v>39</v>
      </c>
      <c r="E79" t="s">
        <v>83</v>
      </c>
      <c r="F79" t="s">
        <v>162</v>
      </c>
      <c r="G79" t="s">
        <v>168</v>
      </c>
    </row>
    <row r="80" spans="1:7" x14ac:dyDescent="0.25">
      <c r="A80" t="s">
        <v>213</v>
      </c>
      <c r="B80" t="s">
        <v>214</v>
      </c>
      <c r="C80" s="47">
        <v>46191</v>
      </c>
      <c r="D80" t="s">
        <v>8</v>
      </c>
      <c r="E80" t="s">
        <v>165</v>
      </c>
      <c r="F80" t="s">
        <v>55</v>
      </c>
      <c r="G80" t="s">
        <v>168</v>
      </c>
    </row>
    <row r="81" spans="1:7" x14ac:dyDescent="0.25">
      <c r="A81" t="s">
        <v>215</v>
      </c>
      <c r="B81" t="s">
        <v>216</v>
      </c>
      <c r="C81" s="47">
        <v>46191</v>
      </c>
      <c r="D81" t="s">
        <v>25</v>
      </c>
      <c r="E81" t="s">
        <v>152</v>
      </c>
      <c r="F81" t="s">
        <v>82</v>
      </c>
      <c r="G81" t="s">
        <v>168</v>
      </c>
    </row>
    <row r="82" spans="1:7" x14ac:dyDescent="0.25">
      <c r="A82" t="s">
        <v>217</v>
      </c>
      <c r="B82" t="s">
        <v>218</v>
      </c>
      <c r="C82" s="47">
        <v>46191</v>
      </c>
      <c r="D82" t="s">
        <v>86</v>
      </c>
      <c r="E82" t="s">
        <v>97</v>
      </c>
      <c r="F82" t="s">
        <v>100</v>
      </c>
      <c r="G82" t="s">
        <v>219</v>
      </c>
    </row>
    <row r="83" spans="1:7" x14ac:dyDescent="0.25">
      <c r="A83" t="s">
        <v>220</v>
      </c>
      <c r="B83" t="s">
        <v>221</v>
      </c>
      <c r="C83" s="47">
        <v>46190</v>
      </c>
      <c r="D83" t="s">
        <v>50</v>
      </c>
      <c r="E83" t="s">
        <v>105</v>
      </c>
      <c r="F83" t="s">
        <v>108</v>
      </c>
      <c r="G83" t="s">
        <v>219</v>
      </c>
    </row>
    <row r="84" spans="1:7" x14ac:dyDescent="0.25">
      <c r="A84" t="s">
        <v>222</v>
      </c>
      <c r="B84" t="s">
        <v>223</v>
      </c>
      <c r="C84" s="47">
        <v>46190</v>
      </c>
      <c r="D84" t="s">
        <v>21</v>
      </c>
      <c r="E84" t="s">
        <v>109</v>
      </c>
      <c r="F84" t="s">
        <v>104</v>
      </c>
      <c r="G84" t="s">
        <v>219</v>
      </c>
    </row>
    <row r="85" spans="1:7" x14ac:dyDescent="0.25">
      <c r="A85" t="s">
        <v>224</v>
      </c>
      <c r="B85" t="s">
        <v>225</v>
      </c>
      <c r="C85" s="47">
        <v>46190</v>
      </c>
      <c r="D85" t="s">
        <v>33</v>
      </c>
      <c r="E85" t="s">
        <v>101</v>
      </c>
      <c r="F85" t="s">
        <v>96</v>
      </c>
      <c r="G85" t="s">
        <v>219</v>
      </c>
    </row>
    <row r="86" spans="1:7" x14ac:dyDescent="0.25">
      <c r="A86" t="s">
        <v>226</v>
      </c>
      <c r="B86" t="s">
        <v>227</v>
      </c>
      <c r="C86" s="47">
        <v>46190</v>
      </c>
      <c r="D86" t="s">
        <v>193</v>
      </c>
      <c r="E86" t="s">
        <v>88</v>
      </c>
      <c r="F86" t="s">
        <v>92</v>
      </c>
      <c r="G86" t="s">
        <v>219</v>
      </c>
    </row>
    <row r="87" spans="1:7" x14ac:dyDescent="0.25">
      <c r="A87" t="s">
        <v>228</v>
      </c>
      <c r="B87" t="s">
        <v>229</v>
      </c>
      <c r="C87" s="47">
        <v>46190</v>
      </c>
      <c r="D87" t="s">
        <v>16</v>
      </c>
      <c r="E87" t="s">
        <v>40</v>
      </c>
      <c r="F87" t="s">
        <v>87</v>
      </c>
      <c r="G87" t="s">
        <v>219</v>
      </c>
    </row>
    <row r="88" spans="1:7" x14ac:dyDescent="0.25">
      <c r="A88" t="s">
        <v>230</v>
      </c>
      <c r="B88" t="s">
        <v>231</v>
      </c>
      <c r="C88" s="47">
        <v>46189</v>
      </c>
      <c r="D88" t="s">
        <v>39</v>
      </c>
      <c r="E88" t="s">
        <v>127</v>
      </c>
      <c r="F88" t="s">
        <v>66</v>
      </c>
      <c r="G88" t="s">
        <v>219</v>
      </c>
    </row>
    <row r="89" spans="1:7" x14ac:dyDescent="0.25">
      <c r="A89" t="s">
        <v>232</v>
      </c>
      <c r="B89" t="s">
        <v>233</v>
      </c>
      <c r="C89" s="47">
        <v>46189</v>
      </c>
      <c r="D89" t="s">
        <v>8</v>
      </c>
      <c r="E89" t="s">
        <v>61</v>
      </c>
      <c r="F89" t="s">
        <v>126</v>
      </c>
      <c r="G89" t="s">
        <v>219</v>
      </c>
    </row>
    <row r="90" spans="1:7" x14ac:dyDescent="0.25">
      <c r="A90" t="s">
        <v>234</v>
      </c>
      <c r="B90" t="s">
        <v>235</v>
      </c>
      <c r="C90" s="47">
        <v>46189</v>
      </c>
      <c r="D90" t="s">
        <v>16</v>
      </c>
      <c r="E90" t="s">
        <v>116</v>
      </c>
      <c r="F90" t="s">
        <v>112</v>
      </c>
      <c r="G90" t="s">
        <v>219</v>
      </c>
    </row>
    <row r="91" spans="1:7" x14ac:dyDescent="0.25">
      <c r="A91" t="s">
        <v>236</v>
      </c>
      <c r="B91" t="s">
        <v>237</v>
      </c>
      <c r="C91" s="47">
        <v>46188</v>
      </c>
      <c r="D91" t="s">
        <v>39</v>
      </c>
      <c r="E91" t="s">
        <v>119</v>
      </c>
      <c r="F91" t="s">
        <v>122</v>
      </c>
      <c r="G91" t="s">
        <v>219</v>
      </c>
    </row>
    <row r="92" spans="1:7" x14ac:dyDescent="0.25">
      <c r="A92" t="s">
        <v>238</v>
      </c>
      <c r="B92" t="s">
        <v>239</v>
      </c>
      <c r="C92" s="47">
        <v>46188</v>
      </c>
      <c r="D92" t="s">
        <v>8</v>
      </c>
      <c r="E92" t="s">
        <v>113</v>
      </c>
      <c r="F92" t="s">
        <v>46</v>
      </c>
      <c r="G92" t="s">
        <v>219</v>
      </c>
    </row>
    <row r="93" spans="1:7" x14ac:dyDescent="0.25">
      <c r="A93" t="s">
        <v>240</v>
      </c>
      <c r="B93" t="s">
        <v>241</v>
      </c>
      <c r="C93" s="47">
        <v>46188</v>
      </c>
      <c r="D93" t="s">
        <v>25</v>
      </c>
      <c r="E93" t="s">
        <v>123</v>
      </c>
      <c r="F93" t="s">
        <v>41</v>
      </c>
      <c r="G93" t="s">
        <v>219</v>
      </c>
    </row>
    <row r="94" spans="1:7" x14ac:dyDescent="0.25">
      <c r="A94" t="s">
        <v>242</v>
      </c>
      <c r="B94" t="s">
        <v>243</v>
      </c>
      <c r="C94" s="47">
        <v>46188</v>
      </c>
      <c r="D94" t="s">
        <v>86</v>
      </c>
      <c r="E94" t="s">
        <v>62</v>
      </c>
      <c r="F94" t="s">
        <v>139</v>
      </c>
      <c r="G94" t="s">
        <v>219</v>
      </c>
    </row>
    <row r="95" spans="1:7" x14ac:dyDescent="0.25">
      <c r="A95" t="s">
        <v>244</v>
      </c>
      <c r="B95" t="s">
        <v>245</v>
      </c>
      <c r="C95" s="47">
        <v>46187</v>
      </c>
      <c r="D95" t="s">
        <v>50</v>
      </c>
      <c r="E95" t="s">
        <v>143</v>
      </c>
      <c r="F95" t="s">
        <v>146</v>
      </c>
      <c r="G95" t="s">
        <v>219</v>
      </c>
    </row>
    <row r="96" spans="1:7" x14ac:dyDescent="0.25">
      <c r="A96" t="s">
        <v>246</v>
      </c>
      <c r="B96" t="s">
        <v>247</v>
      </c>
      <c r="C96" s="47">
        <v>46187</v>
      </c>
      <c r="D96" t="s">
        <v>21</v>
      </c>
      <c r="E96" t="s">
        <v>69</v>
      </c>
      <c r="F96" t="s">
        <v>79</v>
      </c>
      <c r="G96" t="s">
        <v>219</v>
      </c>
    </row>
    <row r="97" spans="1:7" x14ac:dyDescent="0.25">
      <c r="A97" t="s">
        <v>248</v>
      </c>
      <c r="B97" t="s">
        <v>249</v>
      </c>
      <c r="C97" s="47">
        <v>46187</v>
      </c>
      <c r="D97" t="s">
        <v>33</v>
      </c>
      <c r="E97" t="s">
        <v>74</v>
      </c>
      <c r="F97" t="s">
        <v>142</v>
      </c>
      <c r="G97" t="s">
        <v>219</v>
      </c>
    </row>
    <row r="98" spans="1:7" x14ac:dyDescent="0.25">
      <c r="A98" t="s">
        <v>250</v>
      </c>
      <c r="B98" t="s">
        <v>251</v>
      </c>
      <c r="C98" s="47">
        <v>46187</v>
      </c>
      <c r="D98" t="s">
        <v>193</v>
      </c>
      <c r="E98" t="s">
        <v>45</v>
      </c>
      <c r="F98" t="s">
        <v>134</v>
      </c>
      <c r="G98" t="s">
        <v>219</v>
      </c>
    </row>
    <row r="99" spans="1:7" x14ac:dyDescent="0.25">
      <c r="A99" t="s">
        <v>252</v>
      </c>
      <c r="B99" t="s">
        <v>253</v>
      </c>
      <c r="C99" s="47">
        <v>46187</v>
      </c>
      <c r="D99" t="s">
        <v>16</v>
      </c>
      <c r="E99" t="s">
        <v>159</v>
      </c>
      <c r="F99" t="s">
        <v>156</v>
      </c>
      <c r="G99" t="s">
        <v>219</v>
      </c>
    </row>
    <row r="100" spans="1:7" x14ac:dyDescent="0.25">
      <c r="A100" t="s">
        <v>254</v>
      </c>
      <c r="B100" t="s">
        <v>255</v>
      </c>
      <c r="C100" s="47">
        <v>46186</v>
      </c>
      <c r="D100" t="s">
        <v>39</v>
      </c>
      <c r="E100" t="s">
        <v>78</v>
      </c>
      <c r="F100" t="s">
        <v>70</v>
      </c>
      <c r="G100" t="s">
        <v>219</v>
      </c>
    </row>
    <row r="101" spans="1:7" x14ac:dyDescent="0.25">
      <c r="A101" t="s">
        <v>256</v>
      </c>
      <c r="B101" t="s">
        <v>257</v>
      </c>
      <c r="C101" s="47">
        <v>46186</v>
      </c>
      <c r="D101" t="s">
        <v>8</v>
      </c>
      <c r="E101" t="s">
        <v>162</v>
      </c>
      <c r="F101" t="s">
        <v>165</v>
      </c>
      <c r="G101" t="s">
        <v>219</v>
      </c>
    </row>
    <row r="102" spans="1:7" x14ac:dyDescent="0.25">
      <c r="A102" t="s">
        <v>258</v>
      </c>
      <c r="B102" t="s">
        <v>259</v>
      </c>
      <c r="C102" s="47">
        <v>46186</v>
      </c>
      <c r="D102" t="s">
        <v>16</v>
      </c>
      <c r="E102" t="s">
        <v>54</v>
      </c>
      <c r="F102" t="s">
        <v>75</v>
      </c>
      <c r="G102" t="s">
        <v>219</v>
      </c>
    </row>
    <row r="103" spans="1:7" x14ac:dyDescent="0.25">
      <c r="A103" t="s">
        <v>260</v>
      </c>
      <c r="B103" t="s">
        <v>261</v>
      </c>
      <c r="C103" s="47">
        <v>46185</v>
      </c>
      <c r="D103" t="s">
        <v>8</v>
      </c>
      <c r="E103" t="s">
        <v>83</v>
      </c>
      <c r="F103" t="s">
        <v>55</v>
      </c>
      <c r="G103" t="s">
        <v>219</v>
      </c>
    </row>
    <row r="104" spans="1:7" x14ac:dyDescent="0.25">
      <c r="A104" t="s">
        <v>262</v>
      </c>
      <c r="B104" t="s">
        <v>263</v>
      </c>
      <c r="C104" s="47">
        <v>46185</v>
      </c>
      <c r="D104" t="s">
        <v>86</v>
      </c>
      <c r="E104" t="s">
        <v>149</v>
      </c>
      <c r="F104" t="s">
        <v>152</v>
      </c>
      <c r="G104" t="s">
        <v>219</v>
      </c>
    </row>
    <row r="105" spans="1:7" x14ac:dyDescent="0.25">
      <c r="A105" t="s">
        <v>264</v>
      </c>
      <c r="B105" t="s">
        <v>265</v>
      </c>
      <c r="C105" s="47">
        <v>46184</v>
      </c>
      <c r="D105" t="s">
        <v>8</v>
      </c>
      <c r="E105" t="s">
        <v>153</v>
      </c>
      <c r="F105" t="s">
        <v>82</v>
      </c>
      <c r="G105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0DC5-0001-44E4-BE4A-9DD16990B50B}">
  <dimension ref="A1:Q145"/>
  <sheetViews>
    <sheetView tabSelected="1" topLeftCell="B1" workbookViewId="0">
      <pane ySplit="1" topLeftCell="A76" activePane="bottomLeft" state="frozen"/>
      <selection activeCell="B1" sqref="B1"/>
      <selection pane="bottomLeft" activeCell="E94" sqref="E94"/>
    </sheetView>
  </sheetViews>
  <sheetFormatPr defaultColWidth="9.140625" defaultRowHeight="15" x14ac:dyDescent="0.25"/>
  <cols>
    <col min="1" max="3" width="9.140625" style="3"/>
    <col min="4" max="4" width="27.42578125" style="3" customWidth="1"/>
    <col min="5" max="5" width="27.7109375" style="3" bestFit="1" customWidth="1"/>
    <col min="6" max="6" width="20.42578125" style="3" customWidth="1"/>
    <col min="7" max="7" width="16.7109375" style="3" customWidth="1"/>
    <col min="8" max="16384" width="9.140625" style="3"/>
  </cols>
  <sheetData>
    <row r="1" spans="1:17" s="4" customFormat="1" x14ac:dyDescent="0.25">
      <c r="A1" s="4" t="s">
        <v>6</v>
      </c>
      <c r="B1" s="4" t="s">
        <v>266</v>
      </c>
      <c r="C1" s="4" t="s">
        <v>267</v>
      </c>
      <c r="D1" s="4" t="s">
        <v>268</v>
      </c>
      <c r="E1" s="4" t="s">
        <v>269</v>
      </c>
      <c r="F1" s="4" t="s">
        <v>270</v>
      </c>
      <c r="G1" s="4" t="s">
        <v>271</v>
      </c>
      <c r="H1" s="4" t="s">
        <v>272</v>
      </c>
      <c r="I1" s="4" t="s">
        <v>273</v>
      </c>
      <c r="J1" s="4" t="s">
        <v>219</v>
      </c>
      <c r="K1" s="4" t="s">
        <v>168</v>
      </c>
      <c r="L1" s="4" t="s">
        <v>89</v>
      </c>
      <c r="M1" s="4" t="s">
        <v>36</v>
      </c>
      <c r="N1" s="4" t="s">
        <v>23</v>
      </c>
      <c r="O1" s="4" t="s">
        <v>17</v>
      </c>
      <c r="P1" s="4" t="s">
        <v>13</v>
      </c>
      <c r="Q1" s="4" t="s">
        <v>9</v>
      </c>
    </row>
    <row r="2" spans="1:17" x14ac:dyDescent="0.25">
      <c r="A2" s="3">
        <v>1</v>
      </c>
      <c r="B2" s="3">
        <v>1</v>
      </c>
      <c r="C2" s="2" t="s">
        <v>274</v>
      </c>
      <c r="D2" s="3" t="s">
        <v>275</v>
      </c>
      <c r="E2" s="3" t="s">
        <v>276</v>
      </c>
      <c r="F2" s="3" t="str">
        <f>IF(D2="","",VLOOKUP(D2,SquadLists!C:E,2,FALSE))</f>
        <v>France</v>
      </c>
      <c r="G2" s="3" t="str">
        <f>IF(D2="","",VLOOKUP(D2,SquadLists!C:E,3,FALSE))</f>
        <v>FWD</v>
      </c>
    </row>
    <row r="3" spans="1:17" x14ac:dyDescent="0.25">
      <c r="A3" s="3">
        <v>1</v>
      </c>
      <c r="B3" s="3">
        <v>2</v>
      </c>
      <c r="C3" s="2" t="s">
        <v>277</v>
      </c>
      <c r="D3" s="3" t="s">
        <v>278</v>
      </c>
      <c r="E3" s="46" t="s">
        <v>279</v>
      </c>
      <c r="F3" s="3" t="str">
        <f>IF(D3="","",VLOOKUP(D3,SquadLists!C:E,2,FALSE))</f>
        <v>England</v>
      </c>
      <c r="G3" s="3" t="str">
        <f>IF(D3="","",VLOOKUP(D3,SquadLists!C:E,3,FALSE))</f>
        <v>FWD</v>
      </c>
    </row>
    <row r="4" spans="1:17" x14ac:dyDescent="0.25">
      <c r="A4" s="3">
        <v>1</v>
      </c>
      <c r="B4" s="3">
        <v>3</v>
      </c>
      <c r="C4" s="2" t="s">
        <v>280</v>
      </c>
      <c r="D4" s="3" t="s">
        <v>281</v>
      </c>
      <c r="E4" s="46" t="s">
        <v>282</v>
      </c>
      <c r="F4" s="3" t="str">
        <f>IF(D4="","",VLOOKUP(D4,SquadLists!C:E,2,FALSE))</f>
        <v>Spain</v>
      </c>
      <c r="G4" s="3" t="str">
        <f>IF(D4="","",VLOOKUP(D4,SquadLists!C:E,3,FALSE))</f>
        <v>FWD</v>
      </c>
    </row>
    <row r="5" spans="1:17" x14ac:dyDescent="0.25">
      <c r="A5" s="3">
        <v>1</v>
      </c>
      <c r="B5" s="3">
        <v>4</v>
      </c>
      <c r="C5" s="2" t="s">
        <v>283</v>
      </c>
      <c r="D5" s="3" t="s">
        <v>284</v>
      </c>
      <c r="E5" s="46" t="s">
        <v>285</v>
      </c>
      <c r="F5" s="3" t="str">
        <f>IF(D5="","",VLOOKUP(D5,SquadLists!C:E,2,FALSE))</f>
        <v>Spain</v>
      </c>
      <c r="G5" s="3" t="str">
        <f>IF(D5="","",VLOOKUP(D5,SquadLists!C:E,3,FALSE))</f>
        <v>FWD</v>
      </c>
    </row>
    <row r="6" spans="1:17" x14ac:dyDescent="0.25">
      <c r="A6" s="3">
        <v>1</v>
      </c>
      <c r="B6" s="3">
        <v>5</v>
      </c>
      <c r="C6" s="2" t="s">
        <v>286</v>
      </c>
      <c r="D6" s="3" t="s">
        <v>287</v>
      </c>
      <c r="E6" s="3" t="s">
        <v>288</v>
      </c>
      <c r="F6" s="3" t="str">
        <f>IF(D6="","",VLOOKUP(D6,SquadLists!C:E,2,FALSE))</f>
        <v>France</v>
      </c>
      <c r="G6" s="3" t="str">
        <f>IF(D6="","",VLOOKUP(D6,SquadLists!C:E,3,FALSE))</f>
        <v>FWD</v>
      </c>
    </row>
    <row r="7" spans="1:17" x14ac:dyDescent="0.25">
      <c r="A7" s="3">
        <v>1</v>
      </c>
      <c r="B7" s="3">
        <v>6</v>
      </c>
      <c r="C7" s="2" t="s">
        <v>289</v>
      </c>
      <c r="D7" s="3" t="s">
        <v>290</v>
      </c>
      <c r="E7" s="3" t="s">
        <v>291</v>
      </c>
      <c r="F7" s="3" t="str">
        <f>IF(D7="","",VLOOKUP(D7,SquadLists!C:E,2,FALSE))</f>
        <v>Argentina</v>
      </c>
      <c r="G7" s="3" t="str">
        <f>IF(D7="","",VLOOKUP(D7,SquadLists!C:E,3,FALSE))</f>
        <v>FWD</v>
      </c>
    </row>
    <row r="8" spans="1:17" x14ac:dyDescent="0.25">
      <c r="A8" s="3">
        <v>1</v>
      </c>
      <c r="B8" s="3">
        <v>7</v>
      </c>
      <c r="C8" s="2" t="s">
        <v>292</v>
      </c>
      <c r="D8" s="3" t="s">
        <v>293</v>
      </c>
      <c r="E8" s="3" t="s">
        <v>294</v>
      </c>
      <c r="F8" s="3" t="str">
        <f>IF(D8="","",VLOOKUP(D8,SquadLists!C:E,2,FALSE))</f>
        <v>Portugal</v>
      </c>
      <c r="G8" s="3" t="str">
        <f>IF(D8="","",VLOOKUP(D8,SquadLists!C:E,3,FALSE))</f>
        <v>MID</v>
      </c>
    </row>
    <row r="9" spans="1:17" x14ac:dyDescent="0.25">
      <c r="A9" s="3">
        <v>1</v>
      </c>
      <c r="B9" s="3">
        <v>8</v>
      </c>
      <c r="C9" s="2" t="s">
        <v>295</v>
      </c>
      <c r="D9" s="3" t="s">
        <v>296</v>
      </c>
      <c r="E9" s="3" t="s">
        <v>297</v>
      </c>
      <c r="F9" s="3" t="str">
        <f>IF(D9="","",VLOOKUP(D9,SquadLists!C:E,2,FALSE))</f>
        <v>Portugal</v>
      </c>
      <c r="G9" s="3" t="str">
        <f>IF(D9="","",VLOOKUP(D9,SquadLists!C:E,3,FALSE))</f>
        <v>FWD</v>
      </c>
    </row>
    <row r="10" spans="1:17" x14ac:dyDescent="0.25">
      <c r="A10" s="3">
        <v>2</v>
      </c>
      <c r="B10" s="3">
        <v>9</v>
      </c>
      <c r="C10" s="2" t="s">
        <v>295</v>
      </c>
      <c r="D10" s="3" t="s">
        <v>298</v>
      </c>
      <c r="E10" s="46" t="s">
        <v>299</v>
      </c>
      <c r="F10" s="3" t="str">
        <f>IF(D10="","",VLOOKUP(D10,SquadLists!C:E,2,FALSE))</f>
        <v>Germany</v>
      </c>
      <c r="G10" s="3" t="str">
        <f>IF(D10="","",VLOOKUP(D10,SquadLists!C:E,3,FALSE))</f>
        <v>FWD</v>
      </c>
    </row>
    <row r="11" spans="1:17" x14ac:dyDescent="0.25">
      <c r="A11" s="3">
        <v>2</v>
      </c>
      <c r="B11" s="3">
        <v>10</v>
      </c>
      <c r="C11" s="2" t="s">
        <v>292</v>
      </c>
      <c r="D11" s="3" t="s">
        <v>300</v>
      </c>
      <c r="E11" s="3" t="s">
        <v>301</v>
      </c>
      <c r="F11" s="3" t="str">
        <f>IF(D11="","",VLOOKUP(D11,SquadLists!C:E,2,FALSE))</f>
        <v>Argentina</v>
      </c>
      <c r="G11" s="3" t="str">
        <f>IF(D11="","",VLOOKUP(D11,SquadLists!C:E,3,FALSE))</f>
        <v>FWD</v>
      </c>
    </row>
    <row r="12" spans="1:17" x14ac:dyDescent="0.25">
      <c r="A12" s="3">
        <v>2</v>
      </c>
      <c r="B12" s="3">
        <v>11</v>
      </c>
      <c r="C12" s="2" t="s">
        <v>289</v>
      </c>
      <c r="D12" s="3" t="s">
        <v>302</v>
      </c>
      <c r="E12" s="46" t="s">
        <v>303</v>
      </c>
      <c r="F12" s="3" t="str">
        <f>IF(D12="","",VLOOKUP(D12,SquadLists!C:E,2,FALSE))</f>
        <v>Brazil</v>
      </c>
      <c r="G12" s="3" t="str">
        <f>IF(D12="","",VLOOKUP(D12,SquadLists!C:E,3,FALSE))</f>
        <v>FWD</v>
      </c>
    </row>
    <row r="13" spans="1:17" x14ac:dyDescent="0.25">
      <c r="A13" s="3">
        <v>2</v>
      </c>
      <c r="B13" s="3">
        <v>12</v>
      </c>
      <c r="C13" s="2" t="s">
        <v>286</v>
      </c>
      <c r="D13" s="3" t="s">
        <v>304</v>
      </c>
      <c r="E13" s="46" t="s">
        <v>305</v>
      </c>
      <c r="F13" s="3" t="str">
        <f>IF(D13="","",VLOOKUP(D13,SquadLists!C:E,2,FALSE))</f>
        <v>Brazil</v>
      </c>
      <c r="G13" s="3" t="str">
        <f>IF(D13="","",VLOOKUP(D13,SquadLists!C:E,3,FALSE))</f>
        <v>FWD</v>
      </c>
    </row>
    <row r="14" spans="1:17" x14ac:dyDescent="0.25">
      <c r="A14" s="3">
        <v>2</v>
      </c>
      <c r="B14" s="3">
        <v>13</v>
      </c>
      <c r="C14" s="2" t="s">
        <v>283</v>
      </c>
      <c r="D14" s="3" t="s">
        <v>306</v>
      </c>
      <c r="E14" s="3" t="s">
        <v>307</v>
      </c>
      <c r="F14" s="3" t="str">
        <f>IF(D14="","",VLOOKUP(D14,SquadLists!C:E,2,FALSE))</f>
        <v>Norway</v>
      </c>
      <c r="G14" s="3" t="str">
        <f>IF(D14="","",VLOOKUP(D14,SquadLists!C:E,3,FALSE))</f>
        <v>FWD</v>
      </c>
    </row>
    <row r="15" spans="1:17" x14ac:dyDescent="0.25">
      <c r="A15" s="3">
        <v>2</v>
      </c>
      <c r="B15" s="3">
        <v>14</v>
      </c>
      <c r="C15" s="2" t="s">
        <v>280</v>
      </c>
      <c r="D15" s="3" t="s">
        <v>308</v>
      </c>
      <c r="E15" s="3" t="s">
        <v>309</v>
      </c>
      <c r="F15" s="3" t="str">
        <f>IF(D15="","",VLOOKUP(D15,SquadLists!C:E,2,FALSE))</f>
        <v>France</v>
      </c>
      <c r="G15" s="3" t="str">
        <f>IF(D15="","",VLOOKUP(D15,SquadLists!C:E,3,FALSE))</f>
        <v>MID</v>
      </c>
    </row>
    <row r="16" spans="1:17" x14ac:dyDescent="0.25">
      <c r="A16" s="3">
        <v>2</v>
      </c>
      <c r="B16" s="3">
        <v>15</v>
      </c>
      <c r="C16" s="2" t="s">
        <v>277</v>
      </c>
      <c r="D16" s="3" t="s">
        <v>310</v>
      </c>
      <c r="E16" s="46" t="s">
        <v>311</v>
      </c>
      <c r="F16" s="3" t="str">
        <f>IF(D16="","",VLOOKUP(D16,SquadLists!C:E,2,FALSE))</f>
        <v>Scotland</v>
      </c>
      <c r="G16" s="3" t="str">
        <f>IF(D16="","",VLOOKUP(D16,SquadLists!C:E,3,FALSE))</f>
        <v>MID</v>
      </c>
    </row>
    <row r="17" spans="1:7" x14ac:dyDescent="0.25">
      <c r="A17" s="3">
        <v>2</v>
      </c>
      <c r="B17" s="3">
        <v>16</v>
      </c>
      <c r="C17" s="2" t="s">
        <v>274</v>
      </c>
      <c r="D17" s="3" t="s">
        <v>312</v>
      </c>
      <c r="E17" s="46" t="s">
        <v>313</v>
      </c>
      <c r="F17" s="3" t="str">
        <f>IF(D17="","",VLOOKUP(D17,SquadLists!C:E,2,FALSE))</f>
        <v>England</v>
      </c>
      <c r="G17" s="3" t="str">
        <f>IF(D17="","",VLOOKUP(D17,SquadLists!C:E,3,FALSE))</f>
        <v>MID</v>
      </c>
    </row>
    <row r="18" spans="1:7" x14ac:dyDescent="0.25">
      <c r="A18" s="3">
        <v>3</v>
      </c>
      <c r="B18" s="3">
        <v>17</v>
      </c>
      <c r="C18" s="2" t="s">
        <v>286</v>
      </c>
      <c r="D18" s="3" t="s">
        <v>314</v>
      </c>
      <c r="E18" s="46" t="s">
        <v>315</v>
      </c>
      <c r="F18" s="3" t="str">
        <f>IF(D18="","",VLOOKUP(D18,SquadLists!C:E,2,FALSE))</f>
        <v>Brazil</v>
      </c>
      <c r="G18" s="3" t="str">
        <f>IF(D18="","",VLOOKUP(D18,SquadLists!C:E,3,FALSE))</f>
        <v>DEF</v>
      </c>
    </row>
    <row r="19" spans="1:7" x14ac:dyDescent="0.25">
      <c r="A19" s="3">
        <v>3</v>
      </c>
      <c r="B19" s="3">
        <v>18</v>
      </c>
      <c r="C19" s="2" t="s">
        <v>289</v>
      </c>
      <c r="D19" s="3" t="s">
        <v>316</v>
      </c>
      <c r="E19" s="46" t="s">
        <v>317</v>
      </c>
      <c r="F19" s="3" t="str">
        <f>IF(D19="","",VLOOKUP(D19,SquadLists!C:E,2,FALSE))</f>
        <v>Germany</v>
      </c>
      <c r="G19" s="3" t="str">
        <f>IF(D19="","",VLOOKUP(D19,SquadLists!C:E,3,FALSE))</f>
        <v>FWD</v>
      </c>
    </row>
    <row r="20" spans="1:7" x14ac:dyDescent="0.25">
      <c r="A20" s="3">
        <v>3</v>
      </c>
      <c r="B20" s="3">
        <v>19</v>
      </c>
      <c r="C20" s="2" t="s">
        <v>292</v>
      </c>
      <c r="D20" s="3" t="s">
        <v>318</v>
      </c>
      <c r="E20" s="46" t="s">
        <v>319</v>
      </c>
      <c r="F20" s="3" t="str">
        <f>IF(D20="","",VLOOKUP(D20,SquadLists!C:E,2,FALSE))</f>
        <v>England</v>
      </c>
      <c r="G20" s="3" t="str">
        <f>IF(D20="","",VLOOKUP(D20,SquadLists!C:E,3,FALSE))</f>
        <v>FWD</v>
      </c>
    </row>
    <row r="21" spans="1:7" x14ac:dyDescent="0.25">
      <c r="A21" s="3">
        <v>3</v>
      </c>
      <c r="B21" s="3">
        <v>20</v>
      </c>
      <c r="C21" s="2" t="s">
        <v>295</v>
      </c>
      <c r="D21" s="3" t="s">
        <v>320</v>
      </c>
      <c r="E21" s="46" t="s">
        <v>321</v>
      </c>
      <c r="F21" s="3" t="str">
        <f>IF(D21="","",VLOOKUP(D21,SquadLists!C:E,2,FALSE))</f>
        <v>Germany</v>
      </c>
      <c r="G21" s="3" t="str">
        <f>IF(D21="","",VLOOKUP(D21,SquadLists!C:E,3,FALSE))</f>
        <v>MID</v>
      </c>
    </row>
    <row r="22" spans="1:7" x14ac:dyDescent="0.25">
      <c r="A22" s="3">
        <v>3</v>
      </c>
      <c r="B22" s="3">
        <v>21</v>
      </c>
      <c r="C22" s="2" t="s">
        <v>274</v>
      </c>
      <c r="D22" s="3" t="s">
        <v>322</v>
      </c>
      <c r="E22" s="3" t="s">
        <v>323</v>
      </c>
      <c r="F22" s="3" t="str">
        <f>IF(D22="","",VLOOKUP(D22,SquadLists!C:E,2,FALSE))</f>
        <v>Belgium</v>
      </c>
      <c r="G22" s="3" t="str">
        <f>IF(D22="","",VLOOKUP(D22,SquadLists!C:E,3,FALSE))</f>
        <v>MID</v>
      </c>
    </row>
    <row r="23" spans="1:7" x14ac:dyDescent="0.25">
      <c r="A23" s="3">
        <v>3</v>
      </c>
      <c r="B23" s="3">
        <v>22</v>
      </c>
      <c r="C23" s="2" t="s">
        <v>277</v>
      </c>
      <c r="D23" s="3" t="s">
        <v>324</v>
      </c>
      <c r="E23" s="3" t="s">
        <v>325</v>
      </c>
      <c r="F23" s="3" t="str">
        <f>IF(D23="","",VLOOKUP(D23,SquadLists!C:E,2,FALSE))</f>
        <v>Belgium</v>
      </c>
      <c r="G23" s="3" t="str">
        <f>IF(D23="","",VLOOKUP(D23,SquadLists!C:E,3,FALSE))</f>
        <v>FWD</v>
      </c>
    </row>
    <row r="24" spans="1:7" x14ac:dyDescent="0.25">
      <c r="A24" s="3">
        <v>3</v>
      </c>
      <c r="B24" s="3">
        <v>23</v>
      </c>
      <c r="C24" s="2" t="s">
        <v>280</v>
      </c>
      <c r="D24" s="3" t="s">
        <v>326</v>
      </c>
      <c r="E24" s="46" t="s">
        <v>327</v>
      </c>
      <c r="F24" s="3" t="str">
        <f>IF(D24="","",VLOOKUP(D24,SquadLists!C:E,2,FALSE))</f>
        <v>Germany</v>
      </c>
      <c r="G24" s="3" t="str">
        <f>IF(D24="","",VLOOKUP(D24,SquadLists!C:E,3,FALSE))</f>
        <v>MID</v>
      </c>
    </row>
    <row r="25" spans="1:7" x14ac:dyDescent="0.25">
      <c r="A25" s="3">
        <v>3</v>
      </c>
      <c r="B25" s="3">
        <v>24</v>
      </c>
      <c r="C25" s="2" t="s">
        <v>283</v>
      </c>
      <c r="D25" s="3" t="s">
        <v>328</v>
      </c>
      <c r="E25" s="3" t="s">
        <v>329</v>
      </c>
      <c r="F25" s="3" t="str">
        <f>IF(D25="","",VLOOKUP(D25,SquadLists!C:E,2,FALSE))</f>
        <v>Argentina</v>
      </c>
      <c r="G25" s="3" t="str">
        <f>IF(D25="","",VLOOKUP(D25,SquadLists!C:E,3,FALSE))</f>
        <v>MID</v>
      </c>
    </row>
    <row r="26" spans="1:7" x14ac:dyDescent="0.25">
      <c r="A26" s="3">
        <v>4</v>
      </c>
      <c r="B26" s="3">
        <v>25</v>
      </c>
      <c r="C26" s="2" t="s">
        <v>283</v>
      </c>
      <c r="D26" s="3" t="s">
        <v>330</v>
      </c>
      <c r="E26" s="46" t="s">
        <v>331</v>
      </c>
      <c r="F26" s="3" t="str">
        <f>IF(D26="","",VLOOKUP(D26,SquadLists!C:E,2,FALSE))</f>
        <v>Spain</v>
      </c>
      <c r="G26" s="3" t="str">
        <f>IF(D26="","",VLOOKUP(D26,SquadLists!C:E,3,FALSE))</f>
        <v>MID</v>
      </c>
    </row>
    <row r="27" spans="1:7" x14ac:dyDescent="0.25">
      <c r="A27" s="3">
        <v>4</v>
      </c>
      <c r="B27" s="3">
        <v>26</v>
      </c>
      <c r="C27" s="2" t="s">
        <v>280</v>
      </c>
      <c r="D27" s="3" t="s">
        <v>332</v>
      </c>
      <c r="E27" s="46" t="s">
        <v>333</v>
      </c>
      <c r="F27" s="3" t="str">
        <f>IF(D27="","",VLOOKUP(D27,SquadLists!C:E,2,FALSE))</f>
        <v>Morocco</v>
      </c>
      <c r="G27" s="3" t="str">
        <f>IF(D27="","",VLOOKUP(D27,SquadLists!C:E,3,FALSE))</f>
        <v>DEF</v>
      </c>
    </row>
    <row r="28" spans="1:7" x14ac:dyDescent="0.25">
      <c r="A28" s="3">
        <v>4</v>
      </c>
      <c r="B28" s="3">
        <v>27</v>
      </c>
      <c r="C28" s="2" t="s">
        <v>277</v>
      </c>
      <c r="D28" s="3" t="s">
        <v>334</v>
      </c>
      <c r="E28" s="46" t="s">
        <v>335</v>
      </c>
      <c r="F28" s="3" t="str">
        <f>IF(D28="","",VLOOKUP(D28,SquadLists!C:E,2,FALSE))</f>
        <v>England</v>
      </c>
      <c r="G28" s="3" t="str">
        <f>IF(D28="","",VLOOKUP(D28,SquadLists!C:E,3,FALSE))</f>
        <v>GK</v>
      </c>
    </row>
    <row r="29" spans="1:7" x14ac:dyDescent="0.25">
      <c r="A29" s="3">
        <v>4</v>
      </c>
      <c r="B29" s="3">
        <v>28</v>
      </c>
      <c r="C29" s="2" t="s">
        <v>274</v>
      </c>
      <c r="D29" s="3" t="s">
        <v>336</v>
      </c>
      <c r="E29" s="3" t="s">
        <v>337</v>
      </c>
      <c r="F29" s="3" t="str">
        <f>IF(D29="","",VLOOKUP(D29,SquadLists!C:E,2,FALSE))</f>
        <v>France</v>
      </c>
      <c r="G29" s="3" t="str">
        <f>IF(D29="","",VLOOKUP(D29,SquadLists!C:E,3,FALSE))</f>
        <v>DEF</v>
      </c>
    </row>
    <row r="30" spans="1:7" x14ac:dyDescent="0.25">
      <c r="A30" s="3">
        <v>4</v>
      </c>
      <c r="B30" s="3">
        <v>29</v>
      </c>
      <c r="C30" s="2" t="s">
        <v>295</v>
      </c>
      <c r="D30" s="3" t="s">
        <v>338</v>
      </c>
      <c r="E30" s="3" t="s">
        <v>339</v>
      </c>
      <c r="F30" s="3" t="str">
        <f>IF(D30="","",VLOOKUP(D30,SquadLists!C:E,2,FALSE))</f>
        <v>France</v>
      </c>
      <c r="G30" s="3" t="str">
        <f>IF(D30="","",VLOOKUP(D30,SquadLists!C:E,3,FALSE))</f>
        <v>MID</v>
      </c>
    </row>
    <row r="31" spans="1:7" x14ac:dyDescent="0.25">
      <c r="A31" s="3">
        <v>4</v>
      </c>
      <c r="B31" s="3">
        <v>30</v>
      </c>
      <c r="C31" s="2" t="s">
        <v>292</v>
      </c>
      <c r="D31" s="3" t="s">
        <v>340</v>
      </c>
      <c r="E31" s="3" t="s">
        <v>341</v>
      </c>
      <c r="F31" s="3" t="str">
        <f>IF(D31="","",VLOOKUP(D31,SquadLists!C:E,2,FALSE))</f>
        <v>Argentina</v>
      </c>
      <c r="G31" s="3" t="str">
        <f>IF(D31="","",VLOOKUP(D31,SquadLists!C:E,3,FALSE))</f>
        <v>GK</v>
      </c>
    </row>
    <row r="32" spans="1:7" x14ac:dyDescent="0.25">
      <c r="A32" s="3">
        <v>4</v>
      </c>
      <c r="B32" s="3">
        <v>31</v>
      </c>
      <c r="C32" s="2" t="s">
        <v>289</v>
      </c>
      <c r="D32" s="3" t="s">
        <v>342</v>
      </c>
      <c r="E32" s="46" t="s">
        <v>343</v>
      </c>
      <c r="F32" s="3" t="str">
        <f>IF(D32="","",VLOOKUP(D32,SquadLists!C:E,2,FALSE))</f>
        <v>Germany</v>
      </c>
      <c r="G32" s="3" t="str">
        <f>IF(D32="","",VLOOKUP(D32,SquadLists!C:E,3,FALSE))</f>
        <v>MID</v>
      </c>
    </row>
    <row r="33" spans="1:7" x14ac:dyDescent="0.25">
      <c r="A33" s="3">
        <v>4</v>
      </c>
      <c r="B33" s="3">
        <v>32</v>
      </c>
      <c r="C33" s="2" t="s">
        <v>286</v>
      </c>
      <c r="D33" s="3" t="s">
        <v>344</v>
      </c>
      <c r="E33" s="3" t="s">
        <v>345</v>
      </c>
      <c r="F33" s="3" t="str">
        <f>IF(D33="","",VLOOKUP(D33,SquadLists!C:E,2,FALSE))</f>
        <v>Belgium</v>
      </c>
      <c r="G33" s="3" t="str">
        <f>IF(D33="","",VLOOKUP(D33,SquadLists!C:E,3,FALSE))</f>
        <v>GK</v>
      </c>
    </row>
    <row r="34" spans="1:7" x14ac:dyDescent="0.25">
      <c r="A34" s="3">
        <v>5</v>
      </c>
      <c r="B34" s="3">
        <v>33</v>
      </c>
      <c r="C34" s="2" t="s">
        <v>277</v>
      </c>
      <c r="D34" s="3" t="s">
        <v>346</v>
      </c>
      <c r="E34" s="46" t="s">
        <v>347</v>
      </c>
      <c r="F34" s="3" t="str">
        <f>IF(D34="","",VLOOKUP(D34,SquadLists!C:E,2,FALSE))</f>
        <v>Spain</v>
      </c>
      <c r="G34" s="3" t="str">
        <f>IF(D34="","",VLOOKUP(D34,SquadLists!C:E,3,FALSE))</f>
        <v>FWD</v>
      </c>
    </row>
    <row r="35" spans="1:7" x14ac:dyDescent="0.25">
      <c r="A35" s="3">
        <v>5</v>
      </c>
      <c r="B35" s="3">
        <v>34</v>
      </c>
      <c r="C35" s="2" t="s">
        <v>274</v>
      </c>
      <c r="D35" s="3" t="s">
        <v>348</v>
      </c>
      <c r="E35" s="3" t="s">
        <v>349</v>
      </c>
      <c r="F35" s="3" t="str">
        <f>IF(D35="","",VLOOKUP(D35,SquadLists!C:E,2,FALSE))</f>
        <v>Portugal</v>
      </c>
      <c r="G35" s="3" t="str">
        <f>IF(D35="","",VLOOKUP(D35,SquadLists!C:E,3,FALSE))</f>
        <v>DEF</v>
      </c>
    </row>
    <row r="36" spans="1:7" x14ac:dyDescent="0.25">
      <c r="A36" s="3">
        <v>5</v>
      </c>
      <c r="B36" s="3">
        <v>35</v>
      </c>
      <c r="C36" s="2" t="s">
        <v>283</v>
      </c>
      <c r="D36" s="3" t="s">
        <v>350</v>
      </c>
      <c r="E36" s="3" t="s">
        <v>351</v>
      </c>
      <c r="F36" s="3" t="str">
        <f>IF(D36="","",VLOOKUP(D36,SquadLists!C:E,2,FALSE))</f>
        <v>England</v>
      </c>
      <c r="G36" s="3" t="str">
        <f>IF(D36="","",VLOOKUP(D36,SquadLists!C:E,3,FALSE))</f>
        <v>DEF</v>
      </c>
    </row>
    <row r="37" spans="1:7" x14ac:dyDescent="0.25">
      <c r="A37" s="3">
        <v>5</v>
      </c>
      <c r="B37" s="3">
        <v>36</v>
      </c>
      <c r="C37" s="2" t="s">
        <v>280</v>
      </c>
      <c r="D37" s="3" t="s">
        <v>352</v>
      </c>
      <c r="E37" s="46" t="s">
        <v>353</v>
      </c>
      <c r="F37" s="3" t="str">
        <f>IF(D37="","",VLOOKUP(D37,SquadLists!C:E,2,FALSE))</f>
        <v>Spain</v>
      </c>
      <c r="G37" s="3" t="str">
        <f>IF(D37="","",VLOOKUP(D37,SquadLists!C:E,3,FALSE))</f>
        <v>GK</v>
      </c>
    </row>
    <row r="38" spans="1:7" x14ac:dyDescent="0.25">
      <c r="A38" s="3">
        <v>5</v>
      </c>
      <c r="B38" s="3">
        <v>37</v>
      </c>
      <c r="C38" s="2" t="s">
        <v>289</v>
      </c>
      <c r="D38" s="3" t="s">
        <v>354</v>
      </c>
      <c r="E38" s="3" t="s">
        <v>355</v>
      </c>
      <c r="F38" s="3" t="str">
        <f>IF(D38="","",VLOOKUP(D38,SquadLists!C:E,2,FALSE))</f>
        <v>France</v>
      </c>
      <c r="G38" s="3" t="str">
        <f>IF(D38="","",VLOOKUP(D38,SquadLists!C:E,3,FALSE))</f>
        <v>FWD</v>
      </c>
    </row>
    <row r="39" spans="1:7" x14ac:dyDescent="0.25">
      <c r="A39" s="3">
        <v>5</v>
      </c>
      <c r="B39" s="3">
        <v>38</v>
      </c>
      <c r="C39" s="2" t="s">
        <v>286</v>
      </c>
      <c r="D39" s="3" t="s">
        <v>356</v>
      </c>
      <c r="E39" s="46" t="s">
        <v>357</v>
      </c>
      <c r="F39" s="3" t="str">
        <f>IF(D39="","",VLOOKUP(D39,SquadLists!C:E,2,FALSE))</f>
        <v>England</v>
      </c>
      <c r="G39" s="3" t="str">
        <f>IF(D39="","",VLOOKUP(D39,SquadLists!C:E,3,FALSE))</f>
        <v>DEF</v>
      </c>
    </row>
    <row r="40" spans="1:7" x14ac:dyDescent="0.25">
      <c r="A40" s="3">
        <v>5</v>
      </c>
      <c r="B40" s="3">
        <v>39</v>
      </c>
      <c r="C40" s="2" t="s">
        <v>295</v>
      </c>
      <c r="D40" s="3" t="s">
        <v>358</v>
      </c>
      <c r="E40" s="3" t="s">
        <v>359</v>
      </c>
      <c r="F40" s="3" t="str">
        <f>IF(D40="","",VLOOKUP(D40,SquadLists!C:E,2,FALSE))</f>
        <v>France</v>
      </c>
      <c r="G40" s="3" t="str">
        <f>IF(D40="","",VLOOKUP(D40,SquadLists!C:E,3,FALSE))</f>
        <v>DEF</v>
      </c>
    </row>
    <row r="41" spans="1:7" x14ac:dyDescent="0.25">
      <c r="A41" s="3">
        <v>5</v>
      </c>
      <c r="B41" s="3">
        <v>40</v>
      </c>
      <c r="C41" s="2" t="s">
        <v>292</v>
      </c>
      <c r="D41" s="3" t="s">
        <v>360</v>
      </c>
      <c r="E41" s="3" t="s">
        <v>361</v>
      </c>
      <c r="F41" s="3" t="str">
        <f>IF(D41="","",VLOOKUP(D41,SquadLists!C:E,2,FALSE))</f>
        <v>Colombia</v>
      </c>
      <c r="G41" s="3" t="str">
        <f>IF(D41="","",VLOOKUP(D41,SquadLists!C:E,3,FALSE))</f>
        <v>FWD</v>
      </c>
    </row>
    <row r="42" spans="1:7" x14ac:dyDescent="0.25">
      <c r="A42" s="3">
        <v>6</v>
      </c>
      <c r="B42" s="3">
        <v>41</v>
      </c>
      <c r="C42" s="2" t="s">
        <v>292</v>
      </c>
      <c r="D42" s="3" t="s">
        <v>362</v>
      </c>
      <c r="E42" s="46" t="s">
        <v>363</v>
      </c>
      <c r="F42" s="3" t="str">
        <f>IF(D42="","",VLOOKUP(D42,SquadLists!C:E,2,FALSE))</f>
        <v>Netherlands</v>
      </c>
      <c r="G42" s="3" t="str">
        <f>IF(D42="","",VLOOKUP(D42,SquadLists!C:E,3,FALSE))</f>
        <v>DEF</v>
      </c>
    </row>
    <row r="43" spans="1:7" x14ac:dyDescent="0.25">
      <c r="A43" s="3">
        <v>6</v>
      </c>
      <c r="B43" s="3">
        <v>42</v>
      </c>
      <c r="C43" s="2" t="s">
        <v>295</v>
      </c>
      <c r="D43" s="3" t="s">
        <v>364</v>
      </c>
      <c r="E43" s="3" t="s">
        <v>365</v>
      </c>
      <c r="F43" s="3" t="str">
        <f>IF(D43="","",VLOOKUP(D43,SquadLists!C:E,2,FALSE))</f>
        <v>Portugal</v>
      </c>
      <c r="G43" s="3" t="str">
        <f>IF(D43="","",VLOOKUP(D43,SquadLists!C:E,3,FALSE))</f>
        <v>DEF</v>
      </c>
    </row>
    <row r="44" spans="1:7" x14ac:dyDescent="0.25">
      <c r="A44" s="3">
        <v>6</v>
      </c>
      <c r="B44" s="3">
        <v>43</v>
      </c>
      <c r="C44" s="2" t="s">
        <v>286</v>
      </c>
      <c r="D44" s="3" t="s">
        <v>366</v>
      </c>
      <c r="E44" s="3" t="s">
        <v>367</v>
      </c>
      <c r="F44" s="3" t="str">
        <f>IF(D44="","",VLOOKUP(D44,SquadLists!C:E,2,FALSE))</f>
        <v>Portugal</v>
      </c>
      <c r="G44" s="3" t="str">
        <f>IF(D44="","",VLOOKUP(D44,SquadLists!C:E,3,FALSE))</f>
        <v>FWD</v>
      </c>
    </row>
    <row r="45" spans="1:7" x14ac:dyDescent="0.25">
      <c r="A45" s="3">
        <v>6</v>
      </c>
      <c r="B45" s="3">
        <v>44</v>
      </c>
      <c r="C45" s="2" t="s">
        <v>289</v>
      </c>
      <c r="D45" s="3" t="s">
        <v>368</v>
      </c>
      <c r="E45" s="3" t="s">
        <v>369</v>
      </c>
      <c r="F45" s="3" t="str">
        <f>IF(D45="","",VLOOKUP(D45,SquadLists!C:E,2,FALSE))</f>
        <v>France</v>
      </c>
      <c r="G45" s="3" t="str">
        <f>IF(D45="","",VLOOKUP(D45,SquadLists!C:E,3,FALSE))</f>
        <v>GK</v>
      </c>
    </row>
    <row r="46" spans="1:7" x14ac:dyDescent="0.25">
      <c r="A46" s="3">
        <v>6</v>
      </c>
      <c r="B46" s="3">
        <v>45</v>
      </c>
      <c r="C46" s="2" t="s">
        <v>280</v>
      </c>
      <c r="D46" s="3" t="s">
        <v>370</v>
      </c>
      <c r="E46" s="46" t="s">
        <v>371</v>
      </c>
      <c r="F46" s="3" t="str">
        <f>IF(D46="","",VLOOKUP(D46,SquadLists!C:E,2,FALSE))</f>
        <v>Spain</v>
      </c>
      <c r="G46" s="3" t="str">
        <f>IF(D46="","",VLOOKUP(D46,SquadLists!C:E,3,FALSE))</f>
        <v>DEF</v>
      </c>
    </row>
    <row r="47" spans="1:7" x14ac:dyDescent="0.25">
      <c r="A47" s="3">
        <v>6</v>
      </c>
      <c r="B47" s="3">
        <v>46</v>
      </c>
      <c r="C47" s="2" t="s">
        <v>283</v>
      </c>
      <c r="D47" s="3" t="s">
        <v>372</v>
      </c>
      <c r="E47" s="46" t="s">
        <v>373</v>
      </c>
      <c r="F47" s="3" t="str">
        <f>IF(D47="","",VLOOKUP(D47,SquadLists!C:E,2,FALSE))</f>
        <v>Brazil</v>
      </c>
      <c r="G47" s="3" t="str">
        <f>IF(D47="","",VLOOKUP(D47,SquadLists!C:E,3,FALSE))</f>
        <v>GK</v>
      </c>
    </row>
    <row r="48" spans="1:7" x14ac:dyDescent="0.25">
      <c r="A48" s="3">
        <v>6</v>
      </c>
      <c r="B48" s="3">
        <v>47</v>
      </c>
      <c r="C48" s="2" t="s">
        <v>274</v>
      </c>
      <c r="D48" s="3" t="s">
        <v>374</v>
      </c>
      <c r="E48" s="3" t="s">
        <v>375</v>
      </c>
      <c r="F48" s="3" t="str">
        <f>IF(D48="","",VLOOKUP(D48,SquadLists!C:E,2,FALSE))</f>
        <v>Argentina</v>
      </c>
      <c r="G48" s="3" t="str">
        <f>IF(D48="","",VLOOKUP(D48,SquadLists!C:E,3,FALSE))</f>
        <v>FWD</v>
      </c>
    </row>
    <row r="49" spans="1:7" x14ac:dyDescent="0.25">
      <c r="A49" s="3">
        <v>6</v>
      </c>
      <c r="B49" s="3">
        <v>48</v>
      </c>
      <c r="C49" s="2" t="s">
        <v>277</v>
      </c>
      <c r="D49" s="3" t="s">
        <v>376</v>
      </c>
      <c r="E49" s="3" t="s">
        <v>377</v>
      </c>
      <c r="F49" s="3" t="str">
        <f>IF(D49="","",VLOOKUP(D49,SquadLists!C:E,2,FALSE))</f>
        <v>France</v>
      </c>
      <c r="G49" s="3" t="str">
        <f>IF(D49="","",VLOOKUP(D49,SquadLists!C:E,3,FALSE))</f>
        <v>DEF</v>
      </c>
    </row>
    <row r="50" spans="1:7" x14ac:dyDescent="0.25">
      <c r="A50" s="3">
        <v>7</v>
      </c>
      <c r="B50" s="3">
        <v>49</v>
      </c>
      <c r="C50" s="2" t="s">
        <v>289</v>
      </c>
      <c r="D50" s="3" t="s">
        <v>378</v>
      </c>
      <c r="E50" s="46" t="s">
        <v>379</v>
      </c>
      <c r="F50" s="3" t="str">
        <f>IF(D50="","",VLOOKUP(D50,SquadLists!C:E,2,FALSE))</f>
        <v>Spain</v>
      </c>
      <c r="G50" s="3" t="str">
        <f>IF(D50="","",VLOOKUP(D50,SquadLists!C:E,3,FALSE))</f>
        <v>DEF</v>
      </c>
    </row>
    <row r="51" spans="1:7" x14ac:dyDescent="0.25">
      <c r="A51" s="3">
        <v>7</v>
      </c>
      <c r="B51" s="3">
        <v>50</v>
      </c>
      <c r="C51" s="2" t="s">
        <v>286</v>
      </c>
      <c r="D51" s="3" t="s">
        <v>380</v>
      </c>
      <c r="E51" s="46" t="s">
        <v>381</v>
      </c>
      <c r="F51" s="3" t="str">
        <f>IF(D51="","",VLOOKUP(D51,SquadLists!C:E,2,FALSE))</f>
        <v>England</v>
      </c>
      <c r="G51" s="3" t="str">
        <f>IF(D51="","",VLOOKUP(D51,SquadLists!C:E,3,FALSE))</f>
        <v>MID</v>
      </c>
    </row>
    <row r="52" spans="1:7" x14ac:dyDescent="0.25">
      <c r="A52" s="3">
        <v>7</v>
      </c>
      <c r="B52" s="3">
        <v>51</v>
      </c>
      <c r="C52" s="2" t="s">
        <v>295</v>
      </c>
      <c r="D52" s="3" t="s">
        <v>382</v>
      </c>
      <c r="E52" s="46" t="s">
        <v>383</v>
      </c>
      <c r="F52" s="3" t="str">
        <f>IF(D52="","",VLOOKUP(D52,SquadLists!C:E,2,FALSE))</f>
        <v>Germany</v>
      </c>
      <c r="G52" s="3" t="str">
        <f>IF(D52="","",VLOOKUP(D52,SquadLists!C:E,3,FALSE))</f>
        <v>GK</v>
      </c>
    </row>
    <row r="53" spans="1:7" x14ac:dyDescent="0.25">
      <c r="A53" s="3">
        <v>7</v>
      </c>
      <c r="B53" s="3">
        <v>52</v>
      </c>
      <c r="C53" s="2" t="s">
        <v>292</v>
      </c>
      <c r="D53" s="3" t="s">
        <v>384</v>
      </c>
      <c r="E53" s="46" t="s">
        <v>385</v>
      </c>
      <c r="F53" s="3" t="str">
        <f>IF(D53="","",VLOOKUP(D53,SquadLists!C:E,2,FALSE))</f>
        <v>Spain</v>
      </c>
      <c r="G53" s="3" t="str">
        <f>IF(D53="","",VLOOKUP(D53,SquadLists!C:E,3,FALSE))</f>
        <v>MID</v>
      </c>
    </row>
    <row r="54" spans="1:7" x14ac:dyDescent="0.25">
      <c r="A54" s="3">
        <v>7</v>
      </c>
      <c r="B54" s="3">
        <v>53</v>
      </c>
      <c r="C54" s="2" t="s">
        <v>277</v>
      </c>
      <c r="D54" s="3" t="s">
        <v>386</v>
      </c>
      <c r="E54" s="3" t="s">
        <v>387</v>
      </c>
      <c r="F54" s="3" t="str">
        <f>IF(D54="","",VLOOKUP(D54,SquadLists!C:E,2,FALSE))</f>
        <v>USA</v>
      </c>
      <c r="G54" s="3" t="str">
        <f>IF(D54="","",VLOOKUP(D54,SquadLists!C:E,3,FALSE))</f>
        <v>MID</v>
      </c>
    </row>
    <row r="55" spans="1:7" x14ac:dyDescent="0.25">
      <c r="A55" s="3">
        <v>7</v>
      </c>
      <c r="B55" s="3">
        <v>54</v>
      </c>
      <c r="C55" s="2" t="s">
        <v>274</v>
      </c>
      <c r="D55" s="3" t="s">
        <v>388</v>
      </c>
      <c r="E55" s="3" t="s">
        <v>389</v>
      </c>
      <c r="F55" s="3" t="str">
        <f>IF(D55="","",VLOOKUP(D55,SquadLists!C:E,2,FALSE))</f>
        <v>Uruguay</v>
      </c>
      <c r="G55" s="3" t="str">
        <f>IF(D55="","",VLOOKUP(D55,SquadLists!C:E,3,FALSE))</f>
        <v>MID</v>
      </c>
    </row>
    <row r="56" spans="1:7" x14ac:dyDescent="0.25">
      <c r="A56" s="3">
        <v>7</v>
      </c>
      <c r="B56" s="3">
        <v>55</v>
      </c>
      <c r="C56" s="2" t="s">
        <v>283</v>
      </c>
      <c r="D56" s="3" t="s">
        <v>390</v>
      </c>
      <c r="E56" s="46" t="s">
        <v>391</v>
      </c>
      <c r="F56" s="3" t="str">
        <f>IF(D56="","",VLOOKUP(D56,SquadLists!C:E,2,FALSE))</f>
        <v>Germany</v>
      </c>
      <c r="G56" s="3" t="str">
        <f>IF(D56="","",VLOOKUP(D56,SquadLists!C:E,3,FALSE))</f>
        <v>DEF</v>
      </c>
    </row>
    <row r="57" spans="1:7" x14ac:dyDescent="0.25">
      <c r="A57" s="3">
        <v>7</v>
      </c>
      <c r="B57" s="3">
        <v>56</v>
      </c>
      <c r="C57" s="2" t="s">
        <v>280</v>
      </c>
      <c r="D57" s="3" t="s">
        <v>392</v>
      </c>
      <c r="E57" s="46" t="s">
        <v>393</v>
      </c>
      <c r="F57" s="3" t="str">
        <f>IF(D57="","",VLOOKUP(D57,SquadLists!C:E,2,FALSE))</f>
        <v>Sweden</v>
      </c>
      <c r="G57" s="3" t="str">
        <f>IF(D57="","",VLOOKUP(D57,SquadLists!C:E,3,FALSE))</f>
        <v>FWD</v>
      </c>
    </row>
    <row r="58" spans="1:7" x14ac:dyDescent="0.25">
      <c r="A58" s="3">
        <v>8</v>
      </c>
      <c r="B58" s="3">
        <v>57</v>
      </c>
      <c r="C58" s="2" t="s">
        <v>280</v>
      </c>
      <c r="D58" s="3" t="s">
        <v>394</v>
      </c>
      <c r="E58" s="3" t="s">
        <v>395</v>
      </c>
      <c r="F58" s="3" t="str">
        <f>IF(D58="","",VLOOKUP(D58,SquadLists!C:E,2,FALSE))</f>
        <v>Croatia</v>
      </c>
      <c r="G58" s="3" t="str">
        <f>IF(D58="","",VLOOKUP(D58,SquadLists!C:E,3,FALSE))</f>
        <v>DEF</v>
      </c>
    </row>
    <row r="59" spans="1:7" x14ac:dyDescent="0.25">
      <c r="A59" s="3">
        <v>8</v>
      </c>
      <c r="B59" s="3">
        <v>58</v>
      </c>
      <c r="C59" s="2" t="s">
        <v>283</v>
      </c>
      <c r="D59" s="3" t="s">
        <v>396</v>
      </c>
      <c r="E59" s="46" t="s">
        <v>397</v>
      </c>
      <c r="F59" s="3" t="str">
        <f>IF(D59="","",VLOOKUP(D59,SquadLists!C:E,2,FALSE))</f>
        <v>England</v>
      </c>
      <c r="G59" s="3" t="str">
        <f>IF(D59="","",VLOOKUP(D59,SquadLists!C:E,3,FALSE))</f>
        <v>MID</v>
      </c>
    </row>
    <row r="60" spans="1:7" x14ac:dyDescent="0.25">
      <c r="A60" s="3">
        <v>8</v>
      </c>
      <c r="B60" s="3">
        <v>59</v>
      </c>
      <c r="C60" s="2" t="s">
        <v>274</v>
      </c>
      <c r="D60" s="3" t="s">
        <v>398</v>
      </c>
      <c r="E60" s="46" t="s">
        <v>399</v>
      </c>
      <c r="F60" s="3" t="str">
        <f>IF(D60="","",VLOOKUP(D60,SquadLists!C:E,2,FALSE))</f>
        <v>Spain</v>
      </c>
      <c r="G60" s="3" t="str">
        <f>IF(D60="","",VLOOKUP(D60,SquadLists!C:E,3,FALSE))</f>
        <v>DEF</v>
      </c>
    </row>
    <row r="61" spans="1:7" x14ac:dyDescent="0.25">
      <c r="A61" s="3">
        <v>8</v>
      </c>
      <c r="B61" s="3">
        <v>60</v>
      </c>
      <c r="C61" s="2" t="s">
        <v>277</v>
      </c>
      <c r="D61" s="3" t="s">
        <v>400</v>
      </c>
      <c r="E61" s="46" t="s">
        <v>401</v>
      </c>
      <c r="F61" s="3" t="str">
        <f>IF(D61="","",VLOOKUP(D61,SquadLists!C:E,2,FALSE))</f>
        <v>Brazil</v>
      </c>
      <c r="G61" s="3" t="str">
        <f>IF(D61="","",VLOOKUP(D61,SquadLists!C:E,3,FALSE))</f>
        <v>FWD</v>
      </c>
    </row>
    <row r="62" spans="1:7" x14ac:dyDescent="0.25">
      <c r="A62" s="3">
        <v>8</v>
      </c>
      <c r="B62" s="3">
        <v>61</v>
      </c>
      <c r="C62" s="2" t="s">
        <v>292</v>
      </c>
      <c r="D62" s="3" t="s">
        <v>402</v>
      </c>
      <c r="E62" s="46" t="s">
        <v>403</v>
      </c>
      <c r="F62" s="3" t="str">
        <f>IF(D62="","",VLOOKUP(D62,SquadLists!C:E,2,FALSE))</f>
        <v>Spain</v>
      </c>
      <c r="G62" s="3" t="str">
        <f>IF(D62="","",VLOOKUP(D62,SquadLists!C:E,3,FALSE))</f>
        <v>DEF</v>
      </c>
    </row>
    <row r="63" spans="1:7" x14ac:dyDescent="0.25">
      <c r="A63" s="3">
        <v>8</v>
      </c>
      <c r="B63" s="3">
        <v>62</v>
      </c>
      <c r="C63" s="2" t="s">
        <v>295</v>
      </c>
      <c r="D63" s="3" t="s">
        <v>404</v>
      </c>
      <c r="E63" s="46" t="s">
        <v>405</v>
      </c>
      <c r="F63" s="3" t="str">
        <f>IF(D63="","",VLOOKUP(D63,SquadLists!C:E,2,FALSE))</f>
        <v>Netherlands</v>
      </c>
      <c r="G63" s="3" t="str">
        <f>IF(D63="","",VLOOKUP(D63,SquadLists!C:E,3,FALSE))</f>
        <v>FWD</v>
      </c>
    </row>
    <row r="64" spans="1:7" x14ac:dyDescent="0.25">
      <c r="A64" s="3">
        <v>8</v>
      </c>
      <c r="B64" s="3">
        <v>63</v>
      </c>
      <c r="C64" s="2" t="s">
        <v>286</v>
      </c>
      <c r="D64" s="3" t="s">
        <v>406</v>
      </c>
      <c r="E64" s="46" t="s">
        <v>407</v>
      </c>
      <c r="F64" s="3" t="str">
        <f>IF(D64="","",VLOOKUP(D64,SquadLists!C:E,2,FALSE))</f>
        <v>Spain</v>
      </c>
      <c r="G64" s="3" t="str">
        <f>IF(D64="","",VLOOKUP(D64,SquadLists!C:E,3,FALSE))</f>
        <v>MID</v>
      </c>
    </row>
    <row r="65" spans="1:7" x14ac:dyDescent="0.25">
      <c r="A65" s="3">
        <v>8</v>
      </c>
      <c r="B65" s="3">
        <v>64</v>
      </c>
      <c r="C65" s="2" t="s">
        <v>289</v>
      </c>
      <c r="D65" s="3" t="s">
        <v>408</v>
      </c>
      <c r="E65" s="46" t="s">
        <v>409</v>
      </c>
      <c r="F65" s="3" t="str">
        <f>IF(D65="","",VLOOKUP(D65,SquadLists!C:E,2,FALSE))</f>
        <v>Brazil</v>
      </c>
      <c r="G65" s="3" t="str">
        <f>IF(D65="","",VLOOKUP(D65,SquadLists!C:E,3,FALSE))</f>
        <v>MID</v>
      </c>
    </row>
    <row r="66" spans="1:7" x14ac:dyDescent="0.25">
      <c r="A66" s="3">
        <v>9</v>
      </c>
      <c r="B66" s="3">
        <v>65</v>
      </c>
      <c r="C66" s="2" t="s">
        <v>280</v>
      </c>
      <c r="D66" s="3" t="s">
        <v>410</v>
      </c>
      <c r="E66" s="3" t="s">
        <v>411</v>
      </c>
      <c r="F66" s="3" t="str">
        <f>IF(D66="","",VLOOKUP(D66,SquadLists!C:E,2,FALSE))</f>
        <v>Portugal</v>
      </c>
      <c r="G66" s="3" t="str">
        <f>IF(D66="","",VLOOKUP(D66,SquadLists!C:E,3,FALSE))</f>
        <v>MID</v>
      </c>
    </row>
    <row r="67" spans="1:7" x14ac:dyDescent="0.25">
      <c r="A67" s="3">
        <v>9</v>
      </c>
      <c r="B67" s="3">
        <v>66</v>
      </c>
      <c r="C67" s="2" t="s">
        <v>283</v>
      </c>
      <c r="D67" s="3" t="s">
        <v>412</v>
      </c>
      <c r="E67" s="3" t="s">
        <v>413</v>
      </c>
      <c r="F67" s="3" t="str">
        <f>IF(D67="","",VLOOKUP(D67,SquadLists!C:E,2,FALSE))</f>
        <v>France</v>
      </c>
      <c r="G67" s="3" t="str">
        <f>IF(D67="","",VLOOKUP(D67,SquadLists!C:E,3,FALSE))</f>
        <v>MID</v>
      </c>
    </row>
    <row r="68" spans="1:7" x14ac:dyDescent="0.25">
      <c r="A68" s="3">
        <v>9</v>
      </c>
      <c r="B68" s="3">
        <v>67</v>
      </c>
      <c r="C68" s="2" t="s">
        <v>274</v>
      </c>
      <c r="D68" s="3" t="s">
        <v>414</v>
      </c>
      <c r="E68" s="3" t="s">
        <v>415</v>
      </c>
      <c r="F68" s="3" t="str">
        <f>IF(D68="","",VLOOKUP(D68,SquadLists!C:E,2,FALSE))</f>
        <v>Uruguay</v>
      </c>
      <c r="G68" s="3" t="str">
        <f>IF(D68="","",VLOOKUP(D68,SquadLists!C:E,3,FALSE))</f>
        <v>FWD</v>
      </c>
    </row>
    <row r="69" spans="1:7" x14ac:dyDescent="0.25">
      <c r="A69" s="3">
        <v>9</v>
      </c>
      <c r="B69" s="3">
        <v>68</v>
      </c>
      <c r="C69" s="2" t="s">
        <v>277</v>
      </c>
      <c r="D69" s="3" t="s">
        <v>416</v>
      </c>
      <c r="E69" s="3" t="s">
        <v>417</v>
      </c>
      <c r="F69" s="3" t="str">
        <f>IF(D69="","",VLOOKUP(D69,SquadLists!C:E,2,FALSE))</f>
        <v>Norway</v>
      </c>
      <c r="G69" s="3" t="str">
        <f>IF(D69="","",VLOOKUP(D69,SquadLists!C:E,3,FALSE))</f>
        <v>MID</v>
      </c>
    </row>
    <row r="70" spans="1:7" x14ac:dyDescent="0.25">
      <c r="A70" s="3">
        <v>9</v>
      </c>
      <c r="B70" s="3">
        <v>69</v>
      </c>
      <c r="C70" s="2" t="s">
        <v>292</v>
      </c>
      <c r="D70" s="3" t="s">
        <v>418</v>
      </c>
      <c r="E70" s="3" t="s">
        <v>419</v>
      </c>
      <c r="F70" s="3" t="str">
        <f>IF(D70="","",VLOOKUP(D70,SquadLists!C:E,2,FALSE))</f>
        <v>Egypt</v>
      </c>
      <c r="G70" s="3" t="str">
        <f>IF(D70="","",VLOOKUP(D70,SquadLists!C:E,3,FALSE))</f>
        <v>FWD</v>
      </c>
    </row>
    <row r="71" spans="1:7" x14ac:dyDescent="0.25">
      <c r="A71" s="3">
        <v>9</v>
      </c>
      <c r="B71" s="3">
        <v>70</v>
      </c>
      <c r="C71" s="2" t="s">
        <v>295</v>
      </c>
      <c r="D71" s="3" t="s">
        <v>420</v>
      </c>
      <c r="E71" s="3" t="s">
        <v>421</v>
      </c>
      <c r="F71" s="3" t="str">
        <f>IF(D71="","",VLOOKUP(D71,SquadLists!C:E,2,FALSE))</f>
        <v>Argentina</v>
      </c>
      <c r="G71" s="3" t="str">
        <f>IF(D71="","",VLOOKUP(D71,SquadLists!C:E,3,FALSE))</f>
        <v>MID</v>
      </c>
    </row>
    <row r="72" spans="1:7" x14ac:dyDescent="0.25">
      <c r="A72" s="3">
        <v>9</v>
      </c>
      <c r="B72" s="3">
        <v>71</v>
      </c>
      <c r="C72" s="2" t="s">
        <v>286</v>
      </c>
      <c r="D72" s="3" t="s">
        <v>422</v>
      </c>
      <c r="E72" s="46" t="s">
        <v>423</v>
      </c>
      <c r="F72" s="3" t="str">
        <f>IF(D72="","",VLOOKUP(D72,SquadLists!C:E,2,FALSE))</f>
        <v>Brazil</v>
      </c>
      <c r="G72" s="3" t="str">
        <f>IF(D72="","",VLOOKUP(D72,SquadLists!C:E,3,FALSE))</f>
        <v>DEF</v>
      </c>
    </row>
    <row r="73" spans="1:7" x14ac:dyDescent="0.25">
      <c r="A73" s="3">
        <v>9</v>
      </c>
      <c r="B73" s="3">
        <v>72</v>
      </c>
      <c r="C73" s="2" t="s">
        <v>289</v>
      </c>
      <c r="D73" s="3" t="s">
        <v>424</v>
      </c>
      <c r="E73" s="3" t="s">
        <v>425</v>
      </c>
      <c r="F73" s="3" t="str">
        <f>IF(D73="","",VLOOKUP(D73,SquadLists!C:E,2,FALSE))</f>
        <v>Argentina</v>
      </c>
      <c r="G73" s="3" t="str">
        <f>IF(D73="","",VLOOKUP(D73,SquadLists!C:E,3,FALSE))</f>
        <v>DEF</v>
      </c>
    </row>
    <row r="74" spans="1:7" x14ac:dyDescent="0.25">
      <c r="A74" s="3">
        <v>10</v>
      </c>
      <c r="B74" s="3">
        <v>73</v>
      </c>
      <c r="C74" s="2" t="s">
        <v>289</v>
      </c>
      <c r="D74" s="3" t="s">
        <v>426</v>
      </c>
      <c r="E74" s="3" t="s">
        <v>427</v>
      </c>
      <c r="F74" s="3" t="str">
        <f>IF(D74="","",VLOOKUP(D74,SquadLists!C:E,2,FALSE))</f>
        <v>Portugal</v>
      </c>
      <c r="G74" s="3" t="str">
        <f>IF(D74="","",VLOOKUP(D74,SquadLists!C:E,3,FALSE))</f>
        <v>MID</v>
      </c>
    </row>
    <row r="75" spans="1:7" x14ac:dyDescent="0.25">
      <c r="A75" s="3">
        <v>10</v>
      </c>
      <c r="B75" s="3">
        <v>74</v>
      </c>
      <c r="C75" s="2" t="s">
        <v>286</v>
      </c>
      <c r="D75" s="3" t="s">
        <v>428</v>
      </c>
      <c r="E75" s="46" t="s">
        <v>429</v>
      </c>
      <c r="F75" s="3" t="str">
        <f>IF(D75="","",VLOOKUP(D75,SquadLists!C:E,2,FALSE))</f>
        <v>Morocco</v>
      </c>
      <c r="G75" s="3" t="str">
        <f>IF(D75="","",VLOOKUP(D75,SquadLists!C:E,3,FALSE))</f>
        <v>MID</v>
      </c>
    </row>
    <row r="76" spans="1:7" x14ac:dyDescent="0.25">
      <c r="A76" s="3">
        <v>10</v>
      </c>
      <c r="B76" s="3">
        <v>75</v>
      </c>
      <c r="C76" s="2" t="s">
        <v>295</v>
      </c>
      <c r="D76" s="3" t="s">
        <v>430</v>
      </c>
      <c r="E76" s="46" t="s">
        <v>431</v>
      </c>
      <c r="F76" s="3" t="str">
        <f>IF(D76="","",VLOOKUP(D76,SquadLists!C:E,2,FALSE))</f>
        <v>Netherlands</v>
      </c>
      <c r="G76" s="3" t="str">
        <f>IF(D76="","",VLOOKUP(D76,SquadLists!C:E,3,FALSE))</f>
        <v>DEF</v>
      </c>
    </row>
    <row r="77" spans="1:7" x14ac:dyDescent="0.25">
      <c r="A77" s="3">
        <v>10</v>
      </c>
      <c r="B77" s="3">
        <v>76</v>
      </c>
      <c r="C77" s="2" t="s">
        <v>292</v>
      </c>
      <c r="D77" s="3" t="s">
        <v>432</v>
      </c>
      <c r="E77" s="3" t="s">
        <v>433</v>
      </c>
      <c r="F77" s="3" t="str">
        <f>IF(D77="","",VLOOKUP(D77,SquadLists!C:E,2,FALSE))</f>
        <v>Belgium</v>
      </c>
      <c r="G77" s="3" t="str">
        <f>IF(D77="","",VLOOKUP(D77,SquadLists!C:E,3,FALSE))</f>
        <v>DEF</v>
      </c>
    </row>
    <row r="78" spans="1:7" x14ac:dyDescent="0.25">
      <c r="A78" s="3">
        <v>10</v>
      </c>
      <c r="B78" s="3">
        <v>77</v>
      </c>
      <c r="C78" s="2" t="s">
        <v>277</v>
      </c>
      <c r="D78" s="3" t="s">
        <v>434</v>
      </c>
      <c r="E78" s="3" t="s">
        <v>435</v>
      </c>
      <c r="F78" s="3" t="str">
        <f>IF(D78="","",VLOOKUP(D78,SquadLists!C:E,2,FALSE))</f>
        <v>Turkey</v>
      </c>
      <c r="G78" s="3" t="str">
        <f>IF(D78="","",VLOOKUP(D78,SquadLists!C:E,3,FALSE))</f>
        <v>MID</v>
      </c>
    </row>
    <row r="79" spans="1:7" x14ac:dyDescent="0.25">
      <c r="A79" s="3">
        <v>10</v>
      </c>
      <c r="B79" s="3">
        <v>78</v>
      </c>
      <c r="C79" s="2" t="s">
        <v>274</v>
      </c>
      <c r="D79" s="3" t="s">
        <v>436</v>
      </c>
      <c r="E79" s="46" t="s">
        <v>437</v>
      </c>
      <c r="F79" s="3" t="str">
        <f>IF(D79="","",VLOOKUP(D79,SquadLists!C:E,2,FALSE))</f>
        <v>Germany</v>
      </c>
      <c r="G79" s="3" t="str">
        <f>IF(D79="","",VLOOKUP(D79,SquadLists!C:E,3,FALSE))</f>
        <v>DEF</v>
      </c>
    </row>
    <row r="80" spans="1:7" x14ac:dyDescent="0.25">
      <c r="A80" s="3">
        <v>10</v>
      </c>
      <c r="B80" s="3">
        <v>79</v>
      </c>
      <c r="C80" s="2" t="s">
        <v>283</v>
      </c>
      <c r="D80" s="3" t="s">
        <v>438</v>
      </c>
      <c r="E80" s="46" t="s">
        <v>439</v>
      </c>
      <c r="F80" s="3" t="str">
        <f>IF(D80="","",VLOOKUP(D80,SquadLists!C:E,2,FALSE))</f>
        <v>Switzerland</v>
      </c>
      <c r="G80" s="3" t="str">
        <f>IF(D80="","",VLOOKUP(D80,SquadLists!C:E,3,FALSE))</f>
        <v>FWD</v>
      </c>
    </row>
    <row r="81" spans="1:7" x14ac:dyDescent="0.25">
      <c r="A81" s="3">
        <v>10</v>
      </c>
      <c r="B81" s="3">
        <v>80</v>
      </c>
      <c r="C81" s="2" t="s">
        <v>280</v>
      </c>
      <c r="D81" s="3" t="s">
        <v>440</v>
      </c>
      <c r="E81" s="46" t="s">
        <v>441</v>
      </c>
      <c r="F81" s="3" t="str">
        <f>IF(D81="","",VLOOKUP(D81,SquadLists!C:E,2,FALSE))</f>
        <v>South Korea</v>
      </c>
      <c r="G81" s="3" t="str">
        <f>IF(D81="","",VLOOKUP(D81,SquadLists!C:E,3,FALSE))</f>
        <v>FWD</v>
      </c>
    </row>
    <row r="82" spans="1:7" x14ac:dyDescent="0.25">
      <c r="A82" s="3">
        <v>11</v>
      </c>
      <c r="B82" s="3">
        <v>81</v>
      </c>
      <c r="C82" s="2" t="s">
        <v>292</v>
      </c>
      <c r="D82" s="3" t="s">
        <v>442</v>
      </c>
      <c r="E82" s="46" t="s">
        <v>443</v>
      </c>
      <c r="F82" s="3" t="str">
        <f>IF(D82="","",VLOOKUP(D82,SquadLists!C:E,2,FALSE))</f>
        <v>England</v>
      </c>
      <c r="G82" s="3" t="str">
        <f>IF(D82="","",VLOOKUP(D82,SquadLists!C:E,3,FALSE))</f>
        <v>DEF</v>
      </c>
    </row>
    <row r="83" spans="1:7" x14ac:dyDescent="0.25">
      <c r="A83" s="3">
        <v>11</v>
      </c>
      <c r="B83" s="3">
        <v>82</v>
      </c>
      <c r="C83" s="2" t="s">
        <v>295</v>
      </c>
      <c r="D83" s="3" t="s">
        <v>444</v>
      </c>
      <c r="E83" s="3" t="s">
        <v>445</v>
      </c>
      <c r="F83" s="3" t="str">
        <f>IF(D83="","",VLOOKUP(D83,SquadLists!C:E,2,FALSE))</f>
        <v>Argentina</v>
      </c>
      <c r="G83" s="3" t="str">
        <f>IF(D83="","",VLOOKUP(D83,SquadLists!C:E,3,FALSE))</f>
        <v>DEF</v>
      </c>
    </row>
    <row r="84" spans="1:7" x14ac:dyDescent="0.25">
      <c r="A84" s="3">
        <v>11</v>
      </c>
      <c r="B84" s="3">
        <v>83</v>
      </c>
      <c r="C84" s="2" t="s">
        <v>286</v>
      </c>
      <c r="D84" s="3" t="s">
        <v>446</v>
      </c>
      <c r="E84" s="3" t="s">
        <v>447</v>
      </c>
      <c r="F84" s="3" t="str">
        <f>IF(D84="","",VLOOKUP(D84,SquadLists!C:E,2,FALSE))</f>
        <v>Senegal</v>
      </c>
      <c r="G84" s="3" t="str">
        <f>IF(D84="","",VLOOKUP(D84,SquadLists!C:E,3,FALSE))</f>
        <v>FWD</v>
      </c>
    </row>
    <row r="85" spans="1:7" x14ac:dyDescent="0.25">
      <c r="A85" s="3">
        <v>11</v>
      </c>
      <c r="B85" s="3">
        <v>84</v>
      </c>
      <c r="C85" s="2" t="s">
        <v>289</v>
      </c>
      <c r="D85" s="3" t="s">
        <v>448</v>
      </c>
      <c r="E85" s="3" t="s">
        <v>449</v>
      </c>
      <c r="F85" s="3" t="str">
        <f>IF(D85="","",VLOOKUP(D85,SquadLists!C:E,2,FALSE))</f>
        <v>Belgium</v>
      </c>
      <c r="G85" s="3" t="str">
        <f>IF(D85="","",VLOOKUP(D85,SquadLists!C:E,3,FALSE))</f>
        <v>MID</v>
      </c>
    </row>
    <row r="86" spans="1:7" x14ac:dyDescent="0.25">
      <c r="A86" s="3">
        <v>11</v>
      </c>
      <c r="B86" s="3">
        <v>85</v>
      </c>
      <c r="C86" s="2" t="s">
        <v>280</v>
      </c>
      <c r="D86" s="3" t="s">
        <v>450</v>
      </c>
      <c r="E86" s="46" t="s">
        <v>451</v>
      </c>
      <c r="F86" s="3" t="str">
        <f>IF(D86="","",VLOOKUP(D86,SquadLists!C:E,2,FALSE))</f>
        <v>England</v>
      </c>
      <c r="G86" s="3" t="str">
        <f>IF(D86="","",VLOOKUP(D86,SquadLists!C:E,3,FALSE))</f>
        <v>DEF</v>
      </c>
    </row>
    <row r="87" spans="1:7" x14ac:dyDescent="0.25">
      <c r="A87" s="3">
        <v>11</v>
      </c>
      <c r="B87" s="3">
        <v>86</v>
      </c>
      <c r="C87" s="2" t="s">
        <v>283</v>
      </c>
      <c r="D87" s="3" t="s">
        <v>452</v>
      </c>
      <c r="E87" s="46" t="s">
        <v>453</v>
      </c>
      <c r="F87" s="3" t="str">
        <f>IF(D87="","",VLOOKUP(D87,SquadLists!C:E,2,FALSE))</f>
        <v>Brazil</v>
      </c>
      <c r="G87" s="3" t="str">
        <f>IF(D87="","",VLOOKUP(D87,SquadLists!C:E,3,FALSE))</f>
        <v>DEF</v>
      </c>
    </row>
    <row r="88" spans="1:7" x14ac:dyDescent="0.25">
      <c r="A88" s="3">
        <v>11</v>
      </c>
      <c r="B88" s="3">
        <v>87</v>
      </c>
      <c r="C88" s="2" t="s">
        <v>274</v>
      </c>
      <c r="D88" s="3" t="s">
        <v>454</v>
      </c>
      <c r="E88" s="46" t="s">
        <v>455</v>
      </c>
      <c r="F88" s="3" t="str">
        <f>IF(D88="","",VLOOKUP(D88,SquadLists!C:E,2,FALSE))</f>
        <v>England</v>
      </c>
      <c r="G88" s="3" t="str">
        <f>IF(D88="","",VLOOKUP(D88,SquadLists!C:E,3,FALSE))</f>
        <v>DEF</v>
      </c>
    </row>
    <row r="89" spans="1:7" x14ac:dyDescent="0.25">
      <c r="A89" s="3">
        <v>11</v>
      </c>
      <c r="B89" s="3">
        <v>88</v>
      </c>
      <c r="C89" s="2" t="s">
        <v>277</v>
      </c>
      <c r="D89" s="3" t="s">
        <v>456</v>
      </c>
      <c r="E89" s="46" t="s">
        <v>457</v>
      </c>
      <c r="F89" s="3" t="str">
        <f>IF(D89="","",VLOOKUP(D89,SquadLists!C:E,2,FALSE))</f>
        <v>USA</v>
      </c>
      <c r="G89" s="3" t="str">
        <f>IF(D89="","",VLOOKUP(D89,SquadLists!C:E,3,FALSE))</f>
        <v>DEF</v>
      </c>
    </row>
    <row r="90" spans="1:7" x14ac:dyDescent="0.25">
      <c r="A90" s="3">
        <v>12</v>
      </c>
      <c r="B90" s="3">
        <v>89</v>
      </c>
      <c r="C90" s="2" t="s">
        <v>277</v>
      </c>
      <c r="D90" s="3" t="s">
        <v>458</v>
      </c>
      <c r="E90" s="3" t="s">
        <v>459</v>
      </c>
      <c r="F90" s="3" t="str">
        <f>IF(D90="","",VLOOKUP(D90,SquadLists!C:E,2,FALSE))</f>
        <v>Croatia</v>
      </c>
      <c r="G90" s="3" t="str">
        <f>IF(D90="","",VLOOKUP(D90,SquadLists!C:E,3,FALSE))</f>
        <v>DEF</v>
      </c>
    </row>
    <row r="91" spans="1:7" x14ac:dyDescent="0.25">
      <c r="A91" s="3">
        <v>12</v>
      </c>
      <c r="B91" s="3">
        <v>90</v>
      </c>
      <c r="C91" s="2" t="s">
        <v>274</v>
      </c>
      <c r="D91" s="3" t="s">
        <v>460</v>
      </c>
      <c r="E91" s="3" t="s">
        <v>461</v>
      </c>
      <c r="F91" s="3" t="str">
        <f>IF(D91="","",VLOOKUP(D91,SquadLists!C:E,2,FALSE))</f>
        <v>Belgium</v>
      </c>
      <c r="G91" s="3" t="str">
        <f>IF(D91="","",VLOOKUP(D91,SquadLists!C:E,3,FALSE))</f>
        <v>FWD</v>
      </c>
    </row>
    <row r="92" spans="1:7" x14ac:dyDescent="0.25">
      <c r="A92" s="3">
        <v>12</v>
      </c>
      <c r="B92" s="3">
        <v>91</v>
      </c>
      <c r="C92" s="2" t="s">
        <v>283</v>
      </c>
      <c r="D92" s="3" t="s">
        <v>462</v>
      </c>
      <c r="E92" s="3" t="s">
        <v>463</v>
      </c>
      <c r="F92" s="3" t="str">
        <f>IF(D92="","",VLOOKUP(D92,SquadLists!C:E,2,FALSE))</f>
        <v>Portugal</v>
      </c>
      <c r="G92" s="3" t="str">
        <f>IF(D92="","",VLOOKUP(D92,SquadLists!C:E,3,FALSE))</f>
        <v>DEF</v>
      </c>
    </row>
    <row r="93" spans="1:7" x14ac:dyDescent="0.25">
      <c r="A93" s="3">
        <v>12</v>
      </c>
      <c r="B93" s="3">
        <v>92</v>
      </c>
      <c r="C93" s="2" t="s">
        <v>280</v>
      </c>
      <c r="D93" s="3" t="s">
        <v>464</v>
      </c>
      <c r="E93" s="46" t="s">
        <v>2880</v>
      </c>
      <c r="F93" s="3" t="str">
        <f>IF(D93="","",VLOOKUP(D93,SquadLists!C:E,2,FALSE))</f>
        <v>Netherlands</v>
      </c>
      <c r="G93" s="3" t="str">
        <f>IF(D93="","",VLOOKUP(D93,SquadLists!C:E,3,FALSE))</f>
        <v>DEF</v>
      </c>
    </row>
    <row r="94" spans="1:7" x14ac:dyDescent="0.25">
      <c r="A94" s="3">
        <v>12</v>
      </c>
      <c r="B94" s="3">
        <v>93</v>
      </c>
      <c r="C94" s="2" t="s">
        <v>289</v>
      </c>
      <c r="D94" s="3" t="s">
        <v>465</v>
      </c>
      <c r="E94" s="3" t="s">
        <v>466</v>
      </c>
      <c r="F94" s="3" t="str">
        <f>IF(D94="","",VLOOKUP(D94,SquadLists!C:E,2,FALSE))</f>
        <v>Portugal</v>
      </c>
      <c r="G94" s="3" t="str">
        <f>IF(D94="","",VLOOKUP(D94,SquadLists!C:E,3,FALSE))</f>
        <v>GK</v>
      </c>
    </row>
    <row r="95" spans="1:7" x14ac:dyDescent="0.25">
      <c r="A95" s="3">
        <v>12</v>
      </c>
      <c r="B95" s="3">
        <v>94</v>
      </c>
      <c r="C95" s="2" t="s">
        <v>286</v>
      </c>
      <c r="D95" s="3" t="s">
        <v>467</v>
      </c>
      <c r="E95" s="3" t="s">
        <v>468</v>
      </c>
      <c r="F95" s="3" t="str">
        <f>IF(D95="","",VLOOKUP(D95,SquadLists!C:E,2,FALSE))</f>
        <v>France</v>
      </c>
      <c r="G95" s="3" t="str">
        <f>IF(D95="","",VLOOKUP(D95,SquadLists!C:E,3,FALSE))</f>
        <v>DEF</v>
      </c>
    </row>
    <row r="96" spans="1:7" x14ac:dyDescent="0.25">
      <c r="A96" s="3">
        <v>12</v>
      </c>
      <c r="B96" s="3">
        <v>95</v>
      </c>
      <c r="C96" s="2" t="s">
        <v>295</v>
      </c>
      <c r="D96" s="3" t="s">
        <v>469</v>
      </c>
      <c r="E96" s="46" t="s">
        <v>470</v>
      </c>
      <c r="F96" s="3" t="str">
        <f>IF(D96="","",VLOOKUP(D96,SquadLists!C:E,2,FALSE))</f>
        <v>Spain</v>
      </c>
      <c r="G96" s="3" t="str">
        <f>IF(D96="","",VLOOKUP(D96,SquadLists!C:E,3,FALSE))</f>
        <v>DEF</v>
      </c>
    </row>
    <row r="97" spans="1:7" x14ac:dyDescent="0.25">
      <c r="A97" s="3">
        <v>12</v>
      </c>
      <c r="B97" s="3">
        <v>96</v>
      </c>
      <c r="C97" s="2" t="s">
        <v>292</v>
      </c>
      <c r="D97" s="3" t="s">
        <v>471</v>
      </c>
      <c r="E97" s="46" t="s">
        <v>472</v>
      </c>
      <c r="F97" s="3" t="str">
        <f>IF(D97="","",VLOOKUP(D97,SquadLists!C:E,2,FALSE))</f>
        <v>Netherlands</v>
      </c>
      <c r="G97" s="3" t="str">
        <f>IF(D97="","",VLOOKUP(D97,SquadLists!C:E,3,FALSE))</f>
        <v>MID</v>
      </c>
    </row>
    <row r="98" spans="1:7" x14ac:dyDescent="0.25">
      <c r="A98" s="3">
        <v>13</v>
      </c>
      <c r="B98" s="3">
        <v>97</v>
      </c>
      <c r="C98" s="2" t="s">
        <v>283</v>
      </c>
      <c r="D98" s="3" t="s">
        <v>473</v>
      </c>
      <c r="E98" s="46" t="s">
        <v>474</v>
      </c>
      <c r="F98" s="3" t="str">
        <f>IF(D98="","",VLOOKUP(D98,SquadLists!C:E,2,FALSE))</f>
        <v>South Korea</v>
      </c>
      <c r="G98" s="3" t="str">
        <f>IF(D98="","",VLOOKUP(D98,SquadLists!C:E,3,FALSE))</f>
        <v>DEF</v>
      </c>
    </row>
    <row r="99" spans="1:7" x14ac:dyDescent="0.25">
      <c r="A99" s="3">
        <v>13</v>
      </c>
      <c r="B99" s="3">
        <v>98</v>
      </c>
      <c r="C99" s="2" t="s">
        <v>280</v>
      </c>
      <c r="D99" s="3" t="s">
        <v>475</v>
      </c>
      <c r="E99" s="46" t="s">
        <v>476</v>
      </c>
      <c r="F99" s="3" t="str">
        <f>IF(D99="","",VLOOKUP(D99,SquadLists!C:E,2,FALSE))</f>
        <v>Netherlands</v>
      </c>
      <c r="G99" s="3" t="str">
        <f>IF(D99="","",VLOOKUP(D99,SquadLists!C:E,3,FALSE))</f>
        <v>MID</v>
      </c>
    </row>
    <row r="100" spans="1:7" x14ac:dyDescent="0.25">
      <c r="A100" s="3">
        <v>13</v>
      </c>
      <c r="B100" s="3">
        <v>99</v>
      </c>
      <c r="C100" s="2" t="s">
        <v>277</v>
      </c>
      <c r="D100" s="3" t="s">
        <v>477</v>
      </c>
      <c r="E100" s="3" t="s">
        <v>478</v>
      </c>
      <c r="F100" s="3" t="str">
        <f>IF(D100="","",VLOOKUP(D100,SquadLists!C:E,2,FALSE))</f>
        <v>Argentina</v>
      </c>
      <c r="G100" s="3" t="str">
        <f>IF(D100="","",VLOOKUP(D100,SquadLists!C:E,3,FALSE))</f>
        <v>DEF</v>
      </c>
    </row>
    <row r="101" spans="1:7" x14ac:dyDescent="0.25">
      <c r="A101" s="3">
        <v>13</v>
      </c>
      <c r="B101" s="3">
        <v>100</v>
      </c>
      <c r="C101" s="2" t="s">
        <v>274</v>
      </c>
      <c r="D101" s="3" t="s">
        <v>479</v>
      </c>
      <c r="E101" s="3" t="s">
        <v>480</v>
      </c>
      <c r="F101" s="3" t="str">
        <f>IF(D101="","",VLOOKUP(D101,SquadLists!C:E,2,FALSE))</f>
        <v>France</v>
      </c>
      <c r="G101" s="3" t="str">
        <f>IF(D101="","",VLOOKUP(D101,SquadLists!C:E,3,FALSE))</f>
        <v>FWD</v>
      </c>
    </row>
    <row r="102" spans="1:7" x14ac:dyDescent="0.25">
      <c r="A102" s="3">
        <v>13</v>
      </c>
      <c r="B102" s="3">
        <v>101</v>
      </c>
      <c r="C102" s="2" t="s">
        <v>295</v>
      </c>
      <c r="D102" s="3" t="s">
        <v>481</v>
      </c>
      <c r="E102" s="46" t="s">
        <v>482</v>
      </c>
      <c r="F102" s="3" t="str">
        <f>IF(D102="","",VLOOKUP(D102,SquadLists!C:E,2,FALSE))</f>
        <v>Spain</v>
      </c>
      <c r="G102" s="3" t="str">
        <f>IF(D102="","",VLOOKUP(D102,SquadLists!C:E,3,FALSE))</f>
        <v>MID</v>
      </c>
    </row>
    <row r="103" spans="1:7" x14ac:dyDescent="0.25">
      <c r="A103" s="3">
        <v>13</v>
      </c>
      <c r="B103" s="3">
        <v>102</v>
      </c>
      <c r="C103" s="2" t="s">
        <v>292</v>
      </c>
      <c r="D103" s="3" t="s">
        <v>483</v>
      </c>
      <c r="E103" s="46" t="s">
        <v>484</v>
      </c>
      <c r="F103" s="3" t="str">
        <f>IF(D103="","",VLOOKUP(D103,SquadLists!C:E,2,FALSE))</f>
        <v>Netherlands</v>
      </c>
      <c r="G103" s="3" t="str">
        <f>IF(D103="","",VLOOKUP(D103,SquadLists!C:E,3,FALSE))</f>
        <v>FWD</v>
      </c>
    </row>
    <row r="104" spans="1:7" x14ac:dyDescent="0.25">
      <c r="A104" s="3">
        <v>13</v>
      </c>
      <c r="B104" s="3">
        <v>103</v>
      </c>
      <c r="C104" s="2" t="s">
        <v>289</v>
      </c>
      <c r="D104" s="3" t="s">
        <v>485</v>
      </c>
      <c r="E104" s="46" t="s">
        <v>486</v>
      </c>
      <c r="F104" s="3" t="str">
        <f>IF(D104="","",VLOOKUP(D104,SquadLists!C:E,2,FALSE))</f>
        <v>Germany</v>
      </c>
      <c r="G104" s="3" t="str">
        <f>IF(D104="","",VLOOKUP(D104,SquadLists!C:E,3,FALSE))</f>
        <v>DEF</v>
      </c>
    </row>
    <row r="105" spans="1:7" x14ac:dyDescent="0.25">
      <c r="A105" s="3">
        <v>13</v>
      </c>
      <c r="B105" s="3">
        <v>104</v>
      </c>
      <c r="C105" s="2" t="s">
        <v>286</v>
      </c>
      <c r="D105" s="3" t="s">
        <v>487</v>
      </c>
      <c r="E105" s="46" t="s">
        <v>488</v>
      </c>
      <c r="F105" s="3" t="str">
        <f>IF(D105="","",VLOOKUP(D105,SquadLists!C:E,2,FALSE))</f>
        <v>Canada</v>
      </c>
      <c r="G105" s="3" t="str">
        <f>IF(D105="","",VLOOKUP(D105,SquadLists!C:E,3,FALSE))</f>
        <v>DEF</v>
      </c>
    </row>
    <row r="106" spans="1:7" x14ac:dyDescent="0.25">
      <c r="A106" s="3">
        <v>14</v>
      </c>
      <c r="B106" s="3">
        <v>105</v>
      </c>
      <c r="C106" s="2" t="s">
        <v>286</v>
      </c>
      <c r="D106" s="3" t="s">
        <v>489</v>
      </c>
      <c r="E106" s="46" t="s">
        <v>490</v>
      </c>
      <c r="F106" s="3" t="str">
        <f>IF(D106="","",VLOOKUP(D106,SquadLists!C:E,2,FALSE))</f>
        <v>Mexico</v>
      </c>
      <c r="G106" s="3" t="str">
        <f>IF(D106="","",VLOOKUP(D106,SquadLists!C:E,3,FALSE))</f>
        <v>FWD</v>
      </c>
    </row>
    <row r="107" spans="1:7" x14ac:dyDescent="0.25">
      <c r="A107" s="3">
        <v>14</v>
      </c>
      <c r="B107" s="3">
        <v>106</v>
      </c>
      <c r="C107" s="2" t="s">
        <v>289</v>
      </c>
      <c r="D107" s="3" t="s">
        <v>491</v>
      </c>
      <c r="E107" s="46" t="s">
        <v>492</v>
      </c>
      <c r="F107" s="3" t="str">
        <f>IF(D107="","",VLOOKUP(D107,SquadLists!C:E,2,FALSE))</f>
        <v>Spain</v>
      </c>
      <c r="G107" s="3" t="str">
        <f>IF(D107="","",VLOOKUP(D107,SquadLists!C:E,3,FALSE))</f>
        <v>FWD</v>
      </c>
    </row>
    <row r="108" spans="1:7" x14ac:dyDescent="0.25">
      <c r="A108" s="3">
        <v>14</v>
      </c>
      <c r="B108" s="3">
        <v>107</v>
      </c>
      <c r="C108" s="2" t="s">
        <v>292</v>
      </c>
      <c r="D108" s="3" t="s">
        <v>493</v>
      </c>
      <c r="E108" s="46" t="s">
        <v>494</v>
      </c>
      <c r="F108" s="3" t="str">
        <f>IF(D108="","",VLOOKUP(D108,SquadLists!C:E,2,FALSE))</f>
        <v>Germany</v>
      </c>
      <c r="G108" s="3" t="str">
        <f>IF(D108="","",VLOOKUP(D108,SquadLists!C:E,3,FALSE))</f>
        <v>DEF</v>
      </c>
    </row>
    <row r="109" spans="1:7" x14ac:dyDescent="0.25">
      <c r="A109" s="3">
        <v>14</v>
      </c>
      <c r="B109" s="3">
        <v>108</v>
      </c>
      <c r="C109" s="2" t="s">
        <v>295</v>
      </c>
      <c r="D109" s="3" t="s">
        <v>495</v>
      </c>
      <c r="E109" s="46" t="s">
        <v>496</v>
      </c>
      <c r="F109" s="3" t="str">
        <f>IF(D109="","",VLOOKUP(D109,SquadLists!C:E,2,FALSE))</f>
        <v>England</v>
      </c>
      <c r="G109" s="3" t="str">
        <f>IF(D109="","",VLOOKUP(D109,SquadLists!C:E,3,FALSE))</f>
        <v>FWD</v>
      </c>
    </row>
    <row r="110" spans="1:7" x14ac:dyDescent="0.25">
      <c r="A110" s="3">
        <v>14</v>
      </c>
      <c r="B110" s="3">
        <v>109</v>
      </c>
      <c r="C110" s="2" t="s">
        <v>274</v>
      </c>
      <c r="D110" s="3" t="s">
        <v>497</v>
      </c>
      <c r="E110" s="46" t="s">
        <v>498</v>
      </c>
      <c r="F110" s="3" t="str">
        <f>IF(D110="","",VLOOKUP(D110,SquadLists!C:E,2,FALSE))</f>
        <v>Brazil</v>
      </c>
      <c r="G110" s="3" t="str">
        <f>IF(D110="","",VLOOKUP(D110,SquadLists!C:E,3,FALSE))</f>
        <v>GK</v>
      </c>
    </row>
    <row r="111" spans="1:7" x14ac:dyDescent="0.25">
      <c r="A111" s="3">
        <v>14</v>
      </c>
      <c r="B111" s="3">
        <v>110</v>
      </c>
      <c r="C111" s="2" t="s">
        <v>277</v>
      </c>
      <c r="D111" s="3" t="s">
        <v>499</v>
      </c>
      <c r="E111" s="46" t="s">
        <v>500</v>
      </c>
      <c r="F111" s="3" t="str">
        <f>IF(D111="","",VLOOKUP(D111,SquadLists!C:E,2,FALSE))</f>
        <v>England</v>
      </c>
      <c r="G111" s="3" t="str">
        <f>IF(D111="","",VLOOKUP(D111,SquadLists!C:E,3,FALSE))</f>
        <v>FWD</v>
      </c>
    </row>
    <row r="112" spans="1:7" x14ac:dyDescent="0.25">
      <c r="A112" s="3">
        <v>14</v>
      </c>
      <c r="B112" s="3">
        <v>111</v>
      </c>
      <c r="C112" s="2" t="s">
        <v>280</v>
      </c>
      <c r="D112" s="3" t="s">
        <v>501</v>
      </c>
      <c r="E112" s="3" t="s">
        <v>502</v>
      </c>
      <c r="F112" s="3" t="str">
        <f>IF(D112="","",VLOOKUP(D112,SquadLists!C:E,2,FALSE))</f>
        <v>Norway</v>
      </c>
      <c r="G112" s="3" t="str">
        <f>IF(D112="","",VLOOKUP(D112,SquadLists!C:E,3,FALSE))</f>
        <v>MID</v>
      </c>
    </row>
    <row r="113" spans="1:7" x14ac:dyDescent="0.25">
      <c r="A113" s="3">
        <v>14</v>
      </c>
      <c r="B113" s="3">
        <v>112</v>
      </c>
      <c r="C113" s="2" t="s">
        <v>283</v>
      </c>
      <c r="D113" s="3" t="s">
        <v>503</v>
      </c>
      <c r="E113" s="46" t="s">
        <v>504</v>
      </c>
      <c r="F113" s="3" t="str">
        <f>IF(D113="","",VLOOKUP(D113,SquadLists!C:E,2,FALSE))</f>
        <v>Sweden</v>
      </c>
      <c r="G113" s="3" t="str">
        <f>IF(D113="","",VLOOKUP(D113,SquadLists!C:E,3,FALSE))</f>
        <v>FWD</v>
      </c>
    </row>
    <row r="114" spans="1:7" x14ac:dyDescent="0.25">
      <c r="A114" s="3">
        <v>15</v>
      </c>
      <c r="B114" s="3">
        <v>113</v>
      </c>
      <c r="C114" s="2" t="s">
        <v>295</v>
      </c>
      <c r="D114" s="3" t="s">
        <v>505</v>
      </c>
      <c r="E114" s="46" t="s">
        <v>506</v>
      </c>
      <c r="F114" s="3" t="str">
        <f>IF(D114="","",VLOOKUP(D114,SquadLists!C:E,2,FALSE))</f>
        <v>Netherlands</v>
      </c>
      <c r="G114" s="3" t="str">
        <f>IF(D114="","",VLOOKUP(D114,SquadLists!C:E,3,FALSE))</f>
        <v>GK</v>
      </c>
    </row>
    <row r="115" spans="1:7" x14ac:dyDescent="0.25">
      <c r="A115" s="3">
        <v>15</v>
      </c>
      <c r="B115" s="3">
        <v>114</v>
      </c>
      <c r="C115" s="2" t="s">
        <v>292</v>
      </c>
      <c r="D115" s="3" t="s">
        <v>507</v>
      </c>
      <c r="E115" s="46" t="s">
        <v>508</v>
      </c>
      <c r="F115" s="3" t="str">
        <f>IF(D115="","",VLOOKUP(D115,SquadLists!C:E,2,FALSE))</f>
        <v>Switzerland</v>
      </c>
      <c r="G115" s="3" t="str">
        <f>IF(D115="","",VLOOKUP(D115,SquadLists!C:E,3,FALSE))</f>
        <v>GK</v>
      </c>
    </row>
    <row r="116" spans="1:7" x14ac:dyDescent="0.25">
      <c r="A116" s="3">
        <v>15</v>
      </c>
      <c r="B116" s="3">
        <v>115</v>
      </c>
      <c r="C116" s="2" t="s">
        <v>289</v>
      </c>
      <c r="D116" s="3" t="s">
        <v>509</v>
      </c>
      <c r="E116" s="3" t="s">
        <v>510</v>
      </c>
      <c r="F116" s="3" t="str">
        <f>IF(D116="","",VLOOKUP(D116,SquadLists!C:E,2,FALSE))</f>
        <v>Argentina</v>
      </c>
      <c r="G116" s="3" t="str">
        <f>IF(D116="","",VLOOKUP(D116,SquadLists!C:E,3,FALSE))</f>
        <v>DEF</v>
      </c>
    </row>
    <row r="117" spans="1:7" x14ac:dyDescent="0.25">
      <c r="A117" s="3">
        <v>15</v>
      </c>
      <c r="B117" s="3">
        <v>116</v>
      </c>
      <c r="C117" s="2" t="s">
        <v>286</v>
      </c>
      <c r="D117" s="3" t="s">
        <v>511</v>
      </c>
      <c r="E117" s="46" t="s">
        <v>512</v>
      </c>
      <c r="F117" s="3" t="str">
        <f>IF(D117="","",VLOOKUP(D117,SquadLists!C:E,2,FALSE))</f>
        <v>Germany</v>
      </c>
      <c r="G117" s="3" t="str">
        <f>IF(D117="","",VLOOKUP(D117,SquadLists!C:E,3,FALSE))</f>
        <v>MID</v>
      </c>
    </row>
    <row r="118" spans="1:7" x14ac:dyDescent="0.25">
      <c r="A118" s="3">
        <v>15</v>
      </c>
      <c r="B118" s="3">
        <v>117</v>
      </c>
      <c r="C118" s="2" t="s">
        <v>283</v>
      </c>
      <c r="D118" s="3" t="s">
        <v>513</v>
      </c>
      <c r="E118" s="3" t="s">
        <v>514</v>
      </c>
      <c r="F118" s="3" t="str">
        <f>IF(D118="","",VLOOKUP(D118,SquadLists!C:E,2,FALSE))</f>
        <v>USA</v>
      </c>
      <c r="G118" s="3" t="str">
        <f>IF(D118="","",VLOOKUP(D118,SquadLists!C:E,3,FALSE))</f>
        <v>GK</v>
      </c>
    </row>
    <row r="119" spans="1:7" x14ac:dyDescent="0.25">
      <c r="A119" s="3">
        <v>15</v>
      </c>
      <c r="B119" s="3">
        <v>118</v>
      </c>
      <c r="C119" s="2" t="s">
        <v>280</v>
      </c>
      <c r="D119" s="3" t="s">
        <v>515</v>
      </c>
      <c r="E119" s="46" t="s">
        <v>516</v>
      </c>
      <c r="F119" s="3" t="str">
        <f>IF(D119="","",VLOOKUP(D119,SquadLists!C:E,2,FALSE))</f>
        <v>England</v>
      </c>
      <c r="G119" s="3" t="str">
        <f>IF(D119="","",VLOOKUP(D119,SquadLists!C:E,3,FALSE))</f>
        <v>FWD</v>
      </c>
    </row>
    <row r="120" spans="1:7" x14ac:dyDescent="0.25">
      <c r="A120" s="3">
        <v>15</v>
      </c>
      <c r="B120" s="3">
        <v>119</v>
      </c>
      <c r="C120" s="2" t="s">
        <v>277</v>
      </c>
      <c r="D120" s="3" t="s">
        <v>517</v>
      </c>
      <c r="E120" s="46" t="s">
        <v>518</v>
      </c>
      <c r="F120" s="3" t="str">
        <f>IF(D120="","",VLOOKUP(D120,SquadLists!C:E,2,FALSE))</f>
        <v>Japan</v>
      </c>
      <c r="G120" s="3" t="str">
        <f>IF(D120="","",VLOOKUP(D120,SquadLists!C:E,3,FALSE))</f>
        <v>GK</v>
      </c>
    </row>
    <row r="121" spans="1:7" x14ac:dyDescent="0.25">
      <c r="A121" s="3">
        <v>15</v>
      </c>
      <c r="B121" s="3">
        <v>120</v>
      </c>
      <c r="C121" s="2" t="s">
        <v>274</v>
      </c>
      <c r="D121" s="3" t="s">
        <v>519</v>
      </c>
      <c r="E121" s="46" t="s">
        <v>520</v>
      </c>
      <c r="F121" s="3" t="str">
        <f>IF(D121="","",VLOOKUP(D121,SquadLists!C:E,2,FALSE))</f>
        <v>Spain</v>
      </c>
      <c r="G121" s="3" t="str">
        <f>IF(D121="","",VLOOKUP(D121,SquadLists!C:E,3,FALSE))</f>
        <v>MID</v>
      </c>
    </row>
    <row r="122" spans="1:7" x14ac:dyDescent="0.25">
      <c r="A122" s="3">
        <v>16</v>
      </c>
      <c r="B122" s="3">
        <v>121</v>
      </c>
      <c r="C122" s="2" t="s">
        <v>274</v>
      </c>
      <c r="D122" s="3" t="s">
        <v>521</v>
      </c>
      <c r="E122" s="46" t="s">
        <v>522</v>
      </c>
      <c r="F122" s="3" t="str">
        <f>IF(D122="","",VLOOKUP(D122,SquadLists!C:E,2,FALSE))</f>
        <v>Morocco</v>
      </c>
      <c r="G122" s="3" t="str">
        <f>IF(D122="","",VLOOKUP(D122,SquadLists!C:E,3,FALSE))</f>
        <v>GK</v>
      </c>
    </row>
    <row r="123" spans="1:7" x14ac:dyDescent="0.25">
      <c r="A123" s="3">
        <v>16</v>
      </c>
      <c r="B123" s="3">
        <v>122</v>
      </c>
      <c r="C123" s="2" t="s">
        <v>277</v>
      </c>
      <c r="D123" s="3" t="s">
        <v>523</v>
      </c>
      <c r="E123" s="3" t="s">
        <v>524</v>
      </c>
      <c r="F123" s="3" t="str">
        <f>IF(D123="","",VLOOKUP(D123,SquadLists!C:E,2,FALSE))</f>
        <v>Colombia</v>
      </c>
      <c r="G123" s="3" t="str">
        <f>IF(D123="","",VLOOKUP(D123,SquadLists!C:E,3,FALSE))</f>
        <v>DEF</v>
      </c>
    </row>
    <row r="124" spans="1:7" x14ac:dyDescent="0.25">
      <c r="A124" s="3">
        <v>16</v>
      </c>
      <c r="B124" s="3">
        <v>123</v>
      </c>
      <c r="C124" s="2" t="s">
        <v>280</v>
      </c>
      <c r="D124" s="3" t="s">
        <v>525</v>
      </c>
      <c r="E124" s="3" t="s">
        <v>526</v>
      </c>
      <c r="F124" s="3" t="str">
        <f>IF(D124="","",VLOOKUP(D124,SquadLists!C:E,2,FALSE))</f>
        <v>Croatia</v>
      </c>
      <c r="G124" s="3" t="str">
        <f>IF(D124="","",VLOOKUP(D124,SquadLists!C:E,3,FALSE))</f>
        <v>GK</v>
      </c>
    </row>
    <row r="125" spans="1:7" x14ac:dyDescent="0.25">
      <c r="A125" s="3">
        <v>16</v>
      </c>
      <c r="B125" s="3">
        <v>124</v>
      </c>
      <c r="C125" s="2" t="s">
        <v>283</v>
      </c>
      <c r="D125" s="3" t="s">
        <v>527</v>
      </c>
      <c r="E125" s="46" t="s">
        <v>528</v>
      </c>
      <c r="F125" s="3" t="str">
        <f>IF(D125="","",VLOOKUP(D125,SquadLists!C:E,2,FALSE))</f>
        <v>South Africa</v>
      </c>
      <c r="G125" s="3" t="str">
        <f>IF(D125="","",VLOOKUP(D125,SquadLists!C:E,3,FALSE))</f>
        <v>FWD</v>
      </c>
    </row>
    <row r="126" spans="1:7" x14ac:dyDescent="0.25">
      <c r="A126" s="3">
        <v>16</v>
      </c>
      <c r="B126" s="3">
        <v>125</v>
      </c>
      <c r="C126" s="2" t="s">
        <v>286</v>
      </c>
      <c r="D126" s="3" t="s">
        <v>529</v>
      </c>
      <c r="E126" s="46" t="s">
        <v>530</v>
      </c>
      <c r="F126" s="3" t="str">
        <f>IF(D126="","",VLOOKUP(D126,SquadLists!C:E,2,FALSE))</f>
        <v>Spain</v>
      </c>
      <c r="G126" s="3" t="str">
        <f>IF(D126="","",VLOOKUP(D126,SquadLists!C:E,3,FALSE))</f>
        <v>GK</v>
      </c>
    </row>
    <row r="127" spans="1:7" x14ac:dyDescent="0.25">
      <c r="A127" s="3">
        <v>16</v>
      </c>
      <c r="B127" s="3">
        <v>126</v>
      </c>
      <c r="C127" s="2" t="s">
        <v>289</v>
      </c>
      <c r="D127" s="3" t="s">
        <v>531</v>
      </c>
      <c r="E127" s="46" t="s">
        <v>532</v>
      </c>
      <c r="F127" s="3" t="str">
        <f>IF(D127="","",VLOOKUP(D127,SquadLists!C:E,2,FALSE))</f>
        <v>Brazil</v>
      </c>
      <c r="G127" s="3" t="str">
        <f>IF(D127="","",VLOOKUP(D127,SquadLists!C:E,3,FALSE))</f>
        <v>DEF</v>
      </c>
    </row>
    <row r="128" spans="1:7" x14ac:dyDescent="0.25">
      <c r="A128" s="3">
        <v>16</v>
      </c>
      <c r="B128" s="3">
        <v>127</v>
      </c>
      <c r="C128" s="2" t="s">
        <v>292</v>
      </c>
      <c r="D128" s="3" t="s">
        <v>533</v>
      </c>
      <c r="E128" s="46" t="s">
        <v>534</v>
      </c>
      <c r="F128" s="3" t="str">
        <f>IF(D128="","",VLOOKUP(D128,SquadLists!C:E,2,FALSE))</f>
        <v>Ivory Coast</v>
      </c>
      <c r="G128" s="3" t="str">
        <f>IF(D128="","",VLOOKUP(D128,SquadLists!C:E,3,FALSE))</f>
        <v>MID</v>
      </c>
    </row>
    <row r="129" spans="1:7" x14ac:dyDescent="0.25">
      <c r="A129" s="3">
        <v>16</v>
      </c>
      <c r="B129" s="3">
        <v>128</v>
      </c>
      <c r="C129" s="2" t="s">
        <v>295</v>
      </c>
      <c r="D129" s="3" t="s">
        <v>535</v>
      </c>
      <c r="E129" s="3" t="s">
        <v>536</v>
      </c>
      <c r="F129" s="3" t="str">
        <f>IF(D129="","",VLOOKUP(D129,SquadLists!C:E,2,FALSE))</f>
        <v>Belgium</v>
      </c>
      <c r="G129" s="3" t="str">
        <f>IF(D129="","",VLOOKUP(D129,SquadLists!C:E,3,FALSE))</f>
        <v>FWD</v>
      </c>
    </row>
    <row r="130" spans="1:7" x14ac:dyDescent="0.25">
      <c r="A130" s="3">
        <v>17</v>
      </c>
      <c r="B130" s="3">
        <v>129</v>
      </c>
      <c r="C130" s="3" t="s">
        <v>274</v>
      </c>
      <c r="D130" s="3" t="s">
        <v>537</v>
      </c>
      <c r="E130" s="3" t="s">
        <v>538</v>
      </c>
      <c r="F130" s="3" t="str">
        <f>IF(D130="","",VLOOKUP(D130,SquadLists!C:E,2,FALSE))</f>
        <v>Germany</v>
      </c>
      <c r="G130" s="3" t="str">
        <f>IF(D130="","",VLOOKUP(D130,SquadLists!C:E,3,FALSE))</f>
        <v>MID</v>
      </c>
    </row>
    <row r="131" spans="1:7" x14ac:dyDescent="0.25">
      <c r="A131" s="3">
        <v>17</v>
      </c>
      <c r="B131" s="3">
        <v>130</v>
      </c>
      <c r="C131" s="3" t="s">
        <v>292</v>
      </c>
      <c r="D131" s="3" t="s">
        <v>539</v>
      </c>
      <c r="E131" s="3" t="s">
        <v>540</v>
      </c>
      <c r="F131" s="3" t="str">
        <f>IF(D131="","",VLOOKUP(D131,SquadLists!C:E,2,FALSE))</f>
        <v>Germany</v>
      </c>
      <c r="G131" s="3" t="str">
        <f>IF(D131="","",VLOOKUP(D131,SquadLists!C:E,3,FALSE))</f>
        <v>DEF</v>
      </c>
    </row>
    <row r="132" spans="1:7" x14ac:dyDescent="0.25">
      <c r="A132" s="3">
        <v>17</v>
      </c>
      <c r="B132" s="3">
        <v>131</v>
      </c>
      <c r="C132" s="3" t="s">
        <v>277</v>
      </c>
      <c r="D132" s="3" t="s">
        <v>541</v>
      </c>
      <c r="E132" s="3" t="s">
        <v>542</v>
      </c>
      <c r="F132" s="3" t="str">
        <f>IF(D132="","",VLOOKUP(D132,SquadLists!C:E,2,FALSE))</f>
        <v>Switzerland</v>
      </c>
      <c r="G132" s="3" t="str">
        <f>IF(D132="","",VLOOKUP(D132,SquadLists!C:E,3,FALSE))</f>
        <v>MID</v>
      </c>
    </row>
    <row r="133" spans="1:7" x14ac:dyDescent="0.25">
      <c r="A133" s="3">
        <v>17</v>
      </c>
      <c r="B133" s="3">
        <v>132</v>
      </c>
      <c r="C133" s="3" t="s">
        <v>283</v>
      </c>
      <c r="D133" s="3" t="s">
        <v>543</v>
      </c>
      <c r="E133" s="3" t="s">
        <v>544</v>
      </c>
      <c r="F133" s="3" t="str">
        <f>IF(D133="","",VLOOKUP(D133,SquadLists!C:E,2,FALSE))</f>
        <v>USA</v>
      </c>
      <c r="G133" s="3" t="str">
        <f>IF(D133="","",VLOOKUP(D133,SquadLists!C:E,3,FALSE))</f>
        <v>DEF</v>
      </c>
    </row>
    <row r="134" spans="1:7" x14ac:dyDescent="0.25">
      <c r="A134" s="3">
        <v>17</v>
      </c>
      <c r="B134" s="3">
        <v>133</v>
      </c>
      <c r="C134" s="3" t="s">
        <v>280</v>
      </c>
      <c r="D134" s="3" t="s">
        <v>545</v>
      </c>
      <c r="E134" s="3" t="s">
        <v>546</v>
      </c>
      <c r="F134" s="3" t="str">
        <f>IF(D134="","",VLOOKUP(D134,SquadLists!C:E,2,FALSE))</f>
        <v>Netherlands</v>
      </c>
      <c r="G134" s="3" t="str">
        <f>IF(D134="","",VLOOKUP(D134,SquadLists!C:E,3,FALSE))</f>
        <v>FWD</v>
      </c>
    </row>
    <row r="135" spans="1:7" x14ac:dyDescent="0.25">
      <c r="A135" s="3">
        <v>17</v>
      </c>
      <c r="B135" s="3">
        <v>134</v>
      </c>
      <c r="C135" s="3" t="s">
        <v>295</v>
      </c>
      <c r="D135" s="3" t="s">
        <v>547</v>
      </c>
      <c r="E135" s="3" t="s">
        <v>548</v>
      </c>
      <c r="F135" s="3" t="str">
        <f>IF(D135="","",VLOOKUP(D135,SquadLists!C:E,2,FALSE))</f>
        <v>Argentina</v>
      </c>
      <c r="G135" s="3" t="str">
        <f>IF(D135="","",VLOOKUP(D135,SquadLists!C:E,3,FALSE))</f>
        <v>MID</v>
      </c>
    </row>
    <row r="136" spans="1:7" x14ac:dyDescent="0.25">
      <c r="A136" s="3">
        <v>17</v>
      </c>
      <c r="B136" s="3">
        <v>135</v>
      </c>
      <c r="C136" s="3" t="s">
        <v>286</v>
      </c>
      <c r="D136" s="3" t="s">
        <v>549</v>
      </c>
      <c r="E136" s="3" t="s">
        <v>2875</v>
      </c>
      <c r="F136" s="3" t="str">
        <f>IF(D136="","",VLOOKUP(D136,SquadLists!C:E,2,FALSE))</f>
        <v>Switzerland</v>
      </c>
      <c r="G136" s="3" t="str">
        <f>IF(D136="","",VLOOKUP(D136,SquadLists!C:E,3,FALSE))</f>
        <v>MID</v>
      </c>
    </row>
    <row r="137" spans="1:7" x14ac:dyDescent="0.25">
      <c r="A137" s="3">
        <v>17</v>
      </c>
      <c r="B137" s="3">
        <v>136</v>
      </c>
      <c r="C137" s="3" t="s">
        <v>289</v>
      </c>
      <c r="D137" s="3" t="s">
        <v>550</v>
      </c>
      <c r="E137" s="3" t="s">
        <v>2876</v>
      </c>
      <c r="F137" s="3" t="str">
        <f>IF(D137="","",VLOOKUP(D137,SquadLists!C:E,2,FALSE))</f>
        <v>Argentina</v>
      </c>
      <c r="G137" s="3" t="str">
        <f>IF(D137="","",VLOOKUP(D137,SquadLists!C:E,3,FALSE))</f>
        <v>DEF</v>
      </c>
    </row>
    <row r="138" spans="1:7" x14ac:dyDescent="0.25">
      <c r="A138" s="3">
        <v>18</v>
      </c>
      <c r="B138" s="3">
        <v>137</v>
      </c>
      <c r="F138" s="3" t="str">
        <f>IF(D138="","",VLOOKUP(D138,SquadLists!C:E,2,FALSE))</f>
        <v/>
      </c>
      <c r="G138" s="3" t="str">
        <f>IF(D138="","",VLOOKUP(D138,SquadLists!C:E,3,FALSE))</f>
        <v/>
      </c>
    </row>
    <row r="139" spans="1:7" x14ac:dyDescent="0.25">
      <c r="A139" s="3">
        <v>18</v>
      </c>
      <c r="B139" s="3">
        <v>138</v>
      </c>
      <c r="F139" s="3" t="str">
        <f>IF(D139="","",VLOOKUP(D139,SquadLists!C:E,2,FALSE))</f>
        <v/>
      </c>
      <c r="G139" s="3" t="str">
        <f>IF(D139="","",VLOOKUP(D139,SquadLists!C:E,3,FALSE))</f>
        <v/>
      </c>
    </row>
    <row r="140" spans="1:7" x14ac:dyDescent="0.25">
      <c r="A140" s="3">
        <v>18</v>
      </c>
      <c r="B140" s="3">
        <v>139</v>
      </c>
      <c r="F140" s="3" t="str">
        <f>IF(D140="","",VLOOKUP(D140,SquadLists!C:E,2,FALSE))</f>
        <v/>
      </c>
      <c r="G140" s="3" t="str">
        <f>IF(D140="","",VLOOKUP(D140,SquadLists!C:E,3,FALSE))</f>
        <v/>
      </c>
    </row>
    <row r="141" spans="1:7" x14ac:dyDescent="0.25">
      <c r="A141" s="3">
        <v>18</v>
      </c>
      <c r="B141" s="3">
        <v>140</v>
      </c>
      <c r="F141" s="3" t="str">
        <f>IF(D141="","",VLOOKUP(D141,SquadLists!C:E,2,FALSE))</f>
        <v/>
      </c>
      <c r="G141" s="3" t="str">
        <f>IF(D141="","",VLOOKUP(D141,SquadLists!C:E,3,FALSE))</f>
        <v/>
      </c>
    </row>
    <row r="142" spans="1:7" x14ac:dyDescent="0.25">
      <c r="A142" s="3">
        <v>18</v>
      </c>
      <c r="B142" s="3">
        <v>141</v>
      </c>
      <c r="F142" s="3" t="str">
        <f>IF(D142="","",VLOOKUP(D142,SquadLists!C:E,2,FALSE))</f>
        <v/>
      </c>
      <c r="G142" s="3" t="str">
        <f>IF(D142="","",VLOOKUP(D142,SquadLists!C:E,3,FALSE))</f>
        <v/>
      </c>
    </row>
    <row r="143" spans="1:7" x14ac:dyDescent="0.25">
      <c r="A143" s="3">
        <v>18</v>
      </c>
      <c r="B143" s="3">
        <v>142</v>
      </c>
      <c r="F143" s="3" t="str">
        <f>IF(D143="","",VLOOKUP(D143,SquadLists!C:E,2,FALSE))</f>
        <v/>
      </c>
      <c r="G143" s="3" t="str">
        <f>IF(D143="","",VLOOKUP(D143,SquadLists!C:E,3,FALSE))</f>
        <v/>
      </c>
    </row>
    <row r="144" spans="1:7" x14ac:dyDescent="0.25">
      <c r="A144" s="3">
        <v>18</v>
      </c>
      <c r="B144" s="3">
        <v>143</v>
      </c>
      <c r="F144" s="3" t="str">
        <f>IF(D144="","",VLOOKUP(D144,SquadLists!C:E,2,FALSE))</f>
        <v/>
      </c>
      <c r="G144" s="3" t="str">
        <f>IF(D144="","",VLOOKUP(D144,SquadLists!C:E,3,FALSE))</f>
        <v/>
      </c>
    </row>
    <row r="145" spans="1:7" x14ac:dyDescent="0.25">
      <c r="A145" s="3">
        <v>18</v>
      </c>
      <c r="B145" s="3">
        <v>144</v>
      </c>
      <c r="F145" s="3" t="str">
        <f>IF(D145="","",VLOOKUP(D145,SquadLists!C:E,2,FALSE))</f>
        <v/>
      </c>
      <c r="G145" s="3" t="str">
        <f>IF(D145="","",VLOOKUP(D145,SquadLists!C:E,3,FALSE))</f>
        <v/>
      </c>
    </row>
  </sheetData>
  <autoFilter ref="A1:Q145" xr:uid="{4FCF0DC5-0001-44E4-BE4A-9DD16990B50B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84F27B-D489-4C03-B2A3-9221BB0E4109}">
          <x14:formula1>
            <xm:f>Lookups!$C$2:$C$1245</xm:f>
          </x14:formula1>
          <xm:sqref>D2:D145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858E-BEA0-454A-88B5-E7732A9A57CB}">
  <dimension ref="A1:H874"/>
  <sheetViews>
    <sheetView workbookViewId="0">
      <selection activeCell="E1" sqref="E1"/>
    </sheetView>
  </sheetViews>
  <sheetFormatPr defaultRowHeight="15" x14ac:dyDescent="0.25"/>
  <cols>
    <col min="2" max="2" width="31.85546875" bestFit="1" customWidth="1"/>
    <col min="3" max="3" width="14.85546875" bestFit="1" customWidth="1"/>
    <col min="6" max="6" width="35.140625" bestFit="1" customWidth="1"/>
    <col min="7" max="7" width="13.140625" bestFit="1" customWidth="1"/>
  </cols>
  <sheetData>
    <row r="1" spans="1:8" x14ac:dyDescent="0.25">
      <c r="A1" t="s">
        <v>551</v>
      </c>
      <c r="E1" t="str">
        <f>A1</f>
        <v>Goalkeeper</v>
      </c>
    </row>
    <row r="2" spans="1:8" x14ac:dyDescent="0.25">
      <c r="A2" t="s">
        <v>551</v>
      </c>
      <c r="B2" t="s">
        <v>552</v>
      </c>
      <c r="C2" t="s">
        <v>553</v>
      </c>
      <c r="D2" t="s">
        <v>87</v>
      </c>
      <c r="E2" t="str">
        <f>A2</f>
        <v>Goalkeeper</v>
      </c>
      <c r="F2" t="s">
        <v>554</v>
      </c>
      <c r="G2" t="s">
        <v>555</v>
      </c>
      <c r="H2" t="s">
        <v>87</v>
      </c>
    </row>
    <row r="3" spans="1:8" x14ac:dyDescent="0.25">
      <c r="A3" t="s">
        <v>551</v>
      </c>
      <c r="B3" t="s">
        <v>556</v>
      </c>
      <c r="C3" t="s">
        <v>557</v>
      </c>
      <c r="D3" t="s">
        <v>87</v>
      </c>
      <c r="E3" t="str">
        <f t="shared" ref="E3:E66" si="0">A3</f>
        <v>Goalkeeper</v>
      </c>
    </row>
    <row r="4" spans="1:8" x14ac:dyDescent="0.25">
      <c r="A4" t="s">
        <v>558</v>
      </c>
      <c r="E4" t="str">
        <f t="shared" si="0"/>
        <v>Defender</v>
      </c>
    </row>
    <row r="5" spans="1:8" x14ac:dyDescent="0.25">
      <c r="A5" t="s">
        <v>558</v>
      </c>
      <c r="B5" t="s">
        <v>559</v>
      </c>
      <c r="C5" t="s">
        <v>560</v>
      </c>
      <c r="D5" t="s">
        <v>87</v>
      </c>
      <c r="E5" t="str">
        <f t="shared" si="0"/>
        <v>Defender</v>
      </c>
      <c r="F5" t="s">
        <v>561</v>
      </c>
      <c r="G5" t="s">
        <v>562</v>
      </c>
      <c r="H5" t="s">
        <v>87</v>
      </c>
    </row>
    <row r="6" spans="1:8" x14ac:dyDescent="0.25">
      <c r="A6" t="s">
        <v>558</v>
      </c>
      <c r="B6" t="s">
        <v>563</v>
      </c>
      <c r="C6" t="s">
        <v>564</v>
      </c>
      <c r="D6" t="s">
        <v>87</v>
      </c>
      <c r="E6" t="str">
        <f t="shared" si="0"/>
        <v>Defender</v>
      </c>
      <c r="F6" t="s">
        <v>565</v>
      </c>
      <c r="G6" t="s">
        <v>566</v>
      </c>
      <c r="H6" t="s">
        <v>87</v>
      </c>
    </row>
    <row r="7" spans="1:8" x14ac:dyDescent="0.25">
      <c r="A7" t="s">
        <v>558</v>
      </c>
      <c r="B7" t="s">
        <v>567</v>
      </c>
      <c r="C7" t="s">
        <v>568</v>
      </c>
      <c r="D7" t="s">
        <v>87</v>
      </c>
      <c r="E7" t="str">
        <f t="shared" si="0"/>
        <v>Defender</v>
      </c>
      <c r="F7" t="s">
        <v>569</v>
      </c>
      <c r="G7" t="s">
        <v>570</v>
      </c>
      <c r="H7" t="s">
        <v>87</v>
      </c>
    </row>
    <row r="8" spans="1:8" x14ac:dyDescent="0.25">
      <c r="A8" t="s">
        <v>558</v>
      </c>
      <c r="B8" t="s">
        <v>571</v>
      </c>
      <c r="C8" t="s">
        <v>572</v>
      </c>
      <c r="D8" t="s">
        <v>87</v>
      </c>
      <c r="E8" t="str">
        <f t="shared" si="0"/>
        <v>Defender</v>
      </c>
      <c r="F8" t="s">
        <v>573</v>
      </c>
      <c r="G8" t="s">
        <v>574</v>
      </c>
      <c r="H8" t="s">
        <v>87</v>
      </c>
    </row>
    <row r="9" spans="1:8" x14ac:dyDescent="0.25">
      <c r="A9" t="s">
        <v>558</v>
      </c>
      <c r="B9" t="s">
        <v>575</v>
      </c>
      <c r="C9" t="s">
        <v>576</v>
      </c>
      <c r="D9" t="s">
        <v>87</v>
      </c>
      <c r="E9" t="str">
        <f t="shared" si="0"/>
        <v>Defender</v>
      </c>
    </row>
    <row r="10" spans="1:8" x14ac:dyDescent="0.25">
      <c r="A10" t="s">
        <v>577</v>
      </c>
      <c r="E10" t="str">
        <f t="shared" si="0"/>
        <v>Midfielder</v>
      </c>
    </row>
    <row r="11" spans="1:8" x14ac:dyDescent="0.25">
      <c r="A11" t="s">
        <v>577</v>
      </c>
      <c r="B11" t="s">
        <v>578</v>
      </c>
      <c r="C11" t="s">
        <v>579</v>
      </c>
      <c r="D11" t="s">
        <v>87</v>
      </c>
      <c r="E11" t="str">
        <f t="shared" si="0"/>
        <v>Midfielder</v>
      </c>
      <c r="F11" t="s">
        <v>580</v>
      </c>
      <c r="G11" t="s">
        <v>581</v>
      </c>
      <c r="H11" t="s">
        <v>87</v>
      </c>
    </row>
    <row r="12" spans="1:8" x14ac:dyDescent="0.25">
      <c r="A12" t="s">
        <v>577</v>
      </c>
      <c r="B12" t="s">
        <v>582</v>
      </c>
      <c r="C12" t="s">
        <v>583</v>
      </c>
      <c r="D12" t="s">
        <v>87</v>
      </c>
      <c r="E12" t="str">
        <f t="shared" si="0"/>
        <v>Midfielder</v>
      </c>
      <c r="F12" t="s">
        <v>584</v>
      </c>
      <c r="G12" t="s">
        <v>585</v>
      </c>
      <c r="H12" t="s">
        <v>87</v>
      </c>
    </row>
    <row r="13" spans="1:8" x14ac:dyDescent="0.25">
      <c r="A13" t="s">
        <v>577</v>
      </c>
      <c r="B13" t="s">
        <v>586</v>
      </c>
      <c r="C13" t="s">
        <v>587</v>
      </c>
      <c r="D13" t="s">
        <v>87</v>
      </c>
      <c r="E13" t="str">
        <f t="shared" si="0"/>
        <v>Midfielder</v>
      </c>
      <c r="F13" t="s">
        <v>588</v>
      </c>
      <c r="G13" t="s">
        <v>589</v>
      </c>
      <c r="H13" t="s">
        <v>87</v>
      </c>
    </row>
    <row r="14" spans="1:8" x14ac:dyDescent="0.25">
      <c r="A14" t="s">
        <v>577</v>
      </c>
      <c r="B14" t="s">
        <v>590</v>
      </c>
      <c r="C14" t="s">
        <v>591</v>
      </c>
      <c r="D14" t="s">
        <v>87</v>
      </c>
      <c r="E14" t="str">
        <f t="shared" si="0"/>
        <v>Midfielder</v>
      </c>
    </row>
    <row r="15" spans="1:8" x14ac:dyDescent="0.25">
      <c r="A15" t="s">
        <v>592</v>
      </c>
      <c r="E15" t="str">
        <f t="shared" si="0"/>
        <v>Forward</v>
      </c>
    </row>
    <row r="16" spans="1:8" x14ac:dyDescent="0.25">
      <c r="A16" t="s">
        <v>592</v>
      </c>
      <c r="B16" t="s">
        <v>593</v>
      </c>
      <c r="C16" t="s">
        <v>594</v>
      </c>
      <c r="D16" t="s">
        <v>87</v>
      </c>
      <c r="E16" t="str">
        <f t="shared" si="0"/>
        <v>Forward</v>
      </c>
      <c r="F16" t="s">
        <v>595</v>
      </c>
      <c r="G16" t="s">
        <v>596</v>
      </c>
      <c r="H16" t="s">
        <v>87</v>
      </c>
    </row>
    <row r="17" spans="1:8" x14ac:dyDescent="0.25">
      <c r="A17" t="s">
        <v>592</v>
      </c>
      <c r="B17" t="s">
        <v>597</v>
      </c>
      <c r="C17" t="s">
        <v>598</v>
      </c>
      <c r="D17" t="s">
        <v>87</v>
      </c>
      <c r="E17" t="str">
        <f t="shared" si="0"/>
        <v>Forward</v>
      </c>
      <c r="F17" t="s">
        <v>599</v>
      </c>
      <c r="G17" t="s">
        <v>600</v>
      </c>
      <c r="H17" t="s">
        <v>87</v>
      </c>
    </row>
    <row r="18" spans="1:8" x14ac:dyDescent="0.25">
      <c r="A18" t="s">
        <v>592</v>
      </c>
      <c r="B18" t="s">
        <v>601</v>
      </c>
      <c r="C18" t="s">
        <v>602</v>
      </c>
      <c r="D18" t="s">
        <v>87</v>
      </c>
      <c r="E18" t="str">
        <f t="shared" si="0"/>
        <v>Forward</v>
      </c>
      <c r="F18" t="s">
        <v>603</v>
      </c>
      <c r="G18" t="s">
        <v>604</v>
      </c>
      <c r="H18" t="s">
        <v>87</v>
      </c>
    </row>
    <row r="19" spans="1:8" x14ac:dyDescent="0.25">
      <c r="A19" t="s">
        <v>592</v>
      </c>
      <c r="B19" t="s">
        <v>605</v>
      </c>
      <c r="C19" t="s">
        <v>606</v>
      </c>
      <c r="D19" t="s">
        <v>87</v>
      </c>
      <c r="E19" t="str">
        <f t="shared" si="0"/>
        <v>Forward</v>
      </c>
    </row>
    <row r="20" spans="1:8" x14ac:dyDescent="0.25">
      <c r="A20" t="s">
        <v>551</v>
      </c>
      <c r="E20" t="str">
        <f t="shared" si="0"/>
        <v>Goalkeeper</v>
      </c>
    </row>
    <row r="21" spans="1:8" x14ac:dyDescent="0.25">
      <c r="A21" t="s">
        <v>551</v>
      </c>
      <c r="B21" t="s">
        <v>607</v>
      </c>
      <c r="C21" t="s">
        <v>608</v>
      </c>
      <c r="D21" t="s">
        <v>40</v>
      </c>
      <c r="E21" t="str">
        <f t="shared" si="0"/>
        <v>Goalkeeper</v>
      </c>
      <c r="F21" t="s">
        <v>609</v>
      </c>
      <c r="G21" t="s">
        <v>340</v>
      </c>
      <c r="H21" t="s">
        <v>40</v>
      </c>
    </row>
    <row r="22" spans="1:8" x14ac:dyDescent="0.25">
      <c r="A22" t="s">
        <v>551</v>
      </c>
      <c r="B22" t="s">
        <v>610</v>
      </c>
      <c r="C22" t="s">
        <v>611</v>
      </c>
      <c r="D22" t="s">
        <v>40</v>
      </c>
      <c r="E22" t="str">
        <f t="shared" si="0"/>
        <v>Goalkeeper</v>
      </c>
    </row>
    <row r="23" spans="1:8" x14ac:dyDescent="0.25">
      <c r="A23" t="s">
        <v>558</v>
      </c>
      <c r="E23" t="str">
        <f t="shared" si="0"/>
        <v>Defender</v>
      </c>
    </row>
    <row r="24" spans="1:8" x14ac:dyDescent="0.25">
      <c r="A24" t="s">
        <v>558</v>
      </c>
      <c r="B24" t="s">
        <v>612</v>
      </c>
      <c r="C24" t="s">
        <v>424</v>
      </c>
      <c r="D24" t="s">
        <v>40</v>
      </c>
      <c r="E24" t="str">
        <f t="shared" si="0"/>
        <v>Defender</v>
      </c>
      <c r="F24" t="s">
        <v>613</v>
      </c>
      <c r="G24" t="s">
        <v>614</v>
      </c>
      <c r="H24" t="s">
        <v>40</v>
      </c>
    </row>
    <row r="25" spans="1:8" x14ac:dyDescent="0.25">
      <c r="A25" t="s">
        <v>558</v>
      </c>
      <c r="B25" t="s">
        <v>615</v>
      </c>
      <c r="C25" t="s">
        <v>616</v>
      </c>
      <c r="D25" t="s">
        <v>40</v>
      </c>
      <c r="E25" t="str">
        <f t="shared" si="0"/>
        <v>Defender</v>
      </c>
      <c r="F25" t="s">
        <v>617</v>
      </c>
      <c r="G25" t="s">
        <v>550</v>
      </c>
      <c r="H25" t="s">
        <v>40</v>
      </c>
    </row>
    <row r="26" spans="1:8" x14ac:dyDescent="0.25">
      <c r="A26" t="s">
        <v>558</v>
      </c>
      <c r="B26" t="s">
        <v>477</v>
      </c>
      <c r="C26" t="s">
        <v>477</v>
      </c>
      <c r="D26" t="s">
        <v>40</v>
      </c>
      <c r="E26" t="str">
        <f t="shared" si="0"/>
        <v>Defender</v>
      </c>
      <c r="F26" t="s">
        <v>618</v>
      </c>
      <c r="G26" t="s">
        <v>509</v>
      </c>
      <c r="H26" t="s">
        <v>40</v>
      </c>
    </row>
    <row r="27" spans="1:8" x14ac:dyDescent="0.25">
      <c r="A27" t="s">
        <v>558</v>
      </c>
      <c r="B27" t="s">
        <v>619</v>
      </c>
      <c r="C27" t="s">
        <v>444</v>
      </c>
      <c r="D27" t="s">
        <v>40</v>
      </c>
      <c r="E27" t="str">
        <f t="shared" si="0"/>
        <v>Defender</v>
      </c>
    </row>
    <row r="28" spans="1:8" x14ac:dyDescent="0.25">
      <c r="A28" t="s">
        <v>577</v>
      </c>
      <c r="E28" t="str">
        <f t="shared" si="0"/>
        <v>Midfielder</v>
      </c>
    </row>
    <row r="29" spans="1:8" x14ac:dyDescent="0.25">
      <c r="A29" t="s">
        <v>577</v>
      </c>
      <c r="B29" t="s">
        <v>620</v>
      </c>
      <c r="C29" t="s">
        <v>621</v>
      </c>
      <c r="D29" t="s">
        <v>40</v>
      </c>
      <c r="E29" t="str">
        <f t="shared" si="0"/>
        <v>Midfielder</v>
      </c>
      <c r="F29" t="s">
        <v>622</v>
      </c>
      <c r="G29" t="s">
        <v>623</v>
      </c>
      <c r="H29" t="s">
        <v>40</v>
      </c>
    </row>
    <row r="30" spans="1:8" x14ac:dyDescent="0.25">
      <c r="A30" t="s">
        <v>577</v>
      </c>
      <c r="B30" t="s">
        <v>624</v>
      </c>
      <c r="C30" t="s">
        <v>547</v>
      </c>
      <c r="D30" t="s">
        <v>40</v>
      </c>
      <c r="E30" t="str">
        <f t="shared" si="0"/>
        <v>Midfielder</v>
      </c>
      <c r="F30" t="s">
        <v>625</v>
      </c>
      <c r="G30" t="s">
        <v>626</v>
      </c>
      <c r="H30" t="s">
        <v>40</v>
      </c>
    </row>
    <row r="31" spans="1:8" x14ac:dyDescent="0.25">
      <c r="A31" t="s">
        <v>577</v>
      </c>
      <c r="B31" t="s">
        <v>627</v>
      </c>
      <c r="C31" t="s">
        <v>628</v>
      </c>
      <c r="D31" t="s">
        <v>40</v>
      </c>
      <c r="E31" t="str">
        <f t="shared" si="0"/>
        <v>Midfielder</v>
      </c>
      <c r="F31" t="s">
        <v>629</v>
      </c>
      <c r="G31" t="s">
        <v>420</v>
      </c>
      <c r="H31" t="s">
        <v>40</v>
      </c>
    </row>
    <row r="32" spans="1:8" x14ac:dyDescent="0.25">
      <c r="A32" t="s">
        <v>577</v>
      </c>
      <c r="B32" t="s">
        <v>630</v>
      </c>
      <c r="C32" t="s">
        <v>631</v>
      </c>
      <c r="D32" t="s">
        <v>40</v>
      </c>
      <c r="E32" t="str">
        <f t="shared" si="0"/>
        <v>Midfielder</v>
      </c>
      <c r="F32" t="s">
        <v>632</v>
      </c>
      <c r="G32" t="s">
        <v>328</v>
      </c>
      <c r="H32" t="s">
        <v>40</v>
      </c>
    </row>
    <row r="33" spans="1:8" x14ac:dyDescent="0.25">
      <c r="A33" t="s">
        <v>592</v>
      </c>
      <c r="E33" t="str">
        <f t="shared" si="0"/>
        <v>Forward</v>
      </c>
    </row>
    <row r="34" spans="1:8" x14ac:dyDescent="0.25">
      <c r="A34" t="s">
        <v>592</v>
      </c>
      <c r="B34" t="s">
        <v>633</v>
      </c>
      <c r="C34" t="s">
        <v>300</v>
      </c>
      <c r="D34" t="s">
        <v>40</v>
      </c>
      <c r="E34" t="str">
        <f t="shared" si="0"/>
        <v>Forward</v>
      </c>
      <c r="F34" t="s">
        <v>634</v>
      </c>
      <c r="G34" t="s">
        <v>635</v>
      </c>
      <c r="H34" t="s">
        <v>40</v>
      </c>
    </row>
    <row r="35" spans="1:8" x14ac:dyDescent="0.25">
      <c r="A35" t="s">
        <v>592</v>
      </c>
      <c r="B35" t="s">
        <v>636</v>
      </c>
      <c r="C35" t="s">
        <v>290</v>
      </c>
      <c r="D35" t="s">
        <v>40</v>
      </c>
      <c r="E35" t="str">
        <f t="shared" si="0"/>
        <v>Forward</v>
      </c>
      <c r="F35" t="s">
        <v>637</v>
      </c>
      <c r="G35" t="s">
        <v>638</v>
      </c>
      <c r="H35" t="s">
        <v>40</v>
      </c>
    </row>
    <row r="36" spans="1:8" x14ac:dyDescent="0.25">
      <c r="A36" t="s">
        <v>592</v>
      </c>
      <c r="B36" t="s">
        <v>639</v>
      </c>
      <c r="C36" t="s">
        <v>640</v>
      </c>
      <c r="D36" t="s">
        <v>40</v>
      </c>
      <c r="E36" t="str">
        <f t="shared" si="0"/>
        <v>Forward</v>
      </c>
      <c r="F36" t="s">
        <v>374</v>
      </c>
      <c r="G36" t="s">
        <v>374</v>
      </c>
      <c r="H36" t="s">
        <v>40</v>
      </c>
    </row>
    <row r="37" spans="1:8" x14ac:dyDescent="0.25">
      <c r="A37" t="s">
        <v>592</v>
      </c>
      <c r="B37" t="s">
        <v>641</v>
      </c>
      <c r="C37" t="s">
        <v>642</v>
      </c>
      <c r="D37" t="s">
        <v>40</v>
      </c>
      <c r="E37" t="str">
        <f t="shared" si="0"/>
        <v>Forward</v>
      </c>
    </row>
    <row r="38" spans="1:8" x14ac:dyDescent="0.25">
      <c r="A38" t="s">
        <v>551</v>
      </c>
      <c r="E38" t="str">
        <f t="shared" si="0"/>
        <v>Goalkeeper</v>
      </c>
    </row>
    <row r="39" spans="1:8" x14ac:dyDescent="0.25">
      <c r="A39" t="s">
        <v>551</v>
      </c>
      <c r="B39" t="s">
        <v>643</v>
      </c>
      <c r="C39" t="s">
        <v>644</v>
      </c>
      <c r="D39" t="s">
        <v>45</v>
      </c>
      <c r="E39" t="str">
        <f t="shared" si="0"/>
        <v>Goalkeeper</v>
      </c>
      <c r="F39" t="s">
        <v>645</v>
      </c>
      <c r="G39" t="s">
        <v>646</v>
      </c>
      <c r="H39" t="s">
        <v>45</v>
      </c>
    </row>
    <row r="40" spans="1:8" x14ac:dyDescent="0.25">
      <c r="A40" t="s">
        <v>551</v>
      </c>
      <c r="B40" t="s">
        <v>647</v>
      </c>
      <c r="C40" t="s">
        <v>648</v>
      </c>
      <c r="D40" t="s">
        <v>45</v>
      </c>
      <c r="E40" t="str">
        <f t="shared" si="0"/>
        <v>Goalkeeper</v>
      </c>
    </row>
    <row r="41" spans="1:8" x14ac:dyDescent="0.25">
      <c r="A41" t="s">
        <v>558</v>
      </c>
      <c r="E41" t="str">
        <f t="shared" si="0"/>
        <v>Defender</v>
      </c>
    </row>
    <row r="42" spans="1:8" x14ac:dyDescent="0.25">
      <c r="A42" t="s">
        <v>558</v>
      </c>
      <c r="B42" t="s">
        <v>649</v>
      </c>
      <c r="C42" t="s">
        <v>650</v>
      </c>
      <c r="D42" t="s">
        <v>45</v>
      </c>
      <c r="E42" t="str">
        <f t="shared" si="0"/>
        <v>Defender</v>
      </c>
      <c r="F42" t="s">
        <v>651</v>
      </c>
      <c r="G42" t="s">
        <v>652</v>
      </c>
      <c r="H42" t="s">
        <v>45</v>
      </c>
    </row>
    <row r="43" spans="1:8" x14ac:dyDescent="0.25">
      <c r="A43" t="s">
        <v>558</v>
      </c>
      <c r="B43" t="s">
        <v>653</v>
      </c>
      <c r="C43" t="s">
        <v>654</v>
      </c>
      <c r="D43" t="s">
        <v>45</v>
      </c>
      <c r="E43" t="str">
        <f t="shared" si="0"/>
        <v>Defender</v>
      </c>
      <c r="F43" t="s">
        <v>655</v>
      </c>
      <c r="G43" t="s">
        <v>656</v>
      </c>
      <c r="H43" t="s">
        <v>45</v>
      </c>
    </row>
    <row r="44" spans="1:8" x14ac:dyDescent="0.25">
      <c r="A44" t="s">
        <v>558</v>
      </c>
      <c r="B44" t="s">
        <v>657</v>
      </c>
      <c r="C44" t="s">
        <v>658</v>
      </c>
      <c r="D44" t="s">
        <v>45</v>
      </c>
      <c r="E44" t="str">
        <f t="shared" si="0"/>
        <v>Defender</v>
      </c>
      <c r="F44" t="s">
        <v>659</v>
      </c>
      <c r="G44" t="s">
        <v>660</v>
      </c>
      <c r="H44" t="s">
        <v>45</v>
      </c>
    </row>
    <row r="45" spans="1:8" x14ac:dyDescent="0.25">
      <c r="A45" t="s">
        <v>558</v>
      </c>
      <c r="B45" t="s">
        <v>661</v>
      </c>
      <c r="C45" t="s">
        <v>662</v>
      </c>
      <c r="D45" t="s">
        <v>45</v>
      </c>
      <c r="E45" t="str">
        <f t="shared" si="0"/>
        <v>Defender</v>
      </c>
      <c r="F45" t="s">
        <v>663</v>
      </c>
      <c r="G45" t="s">
        <v>664</v>
      </c>
      <c r="H45" t="s">
        <v>45</v>
      </c>
    </row>
    <row r="46" spans="1:8" x14ac:dyDescent="0.25">
      <c r="A46" t="s">
        <v>558</v>
      </c>
      <c r="B46" t="s">
        <v>665</v>
      </c>
      <c r="C46" t="s">
        <v>666</v>
      </c>
      <c r="D46" t="s">
        <v>45</v>
      </c>
      <c r="E46" t="str">
        <f t="shared" si="0"/>
        <v>Defender</v>
      </c>
      <c r="F46" t="s">
        <v>667</v>
      </c>
      <c r="G46" t="s">
        <v>668</v>
      </c>
      <c r="H46" t="s">
        <v>45</v>
      </c>
    </row>
    <row r="47" spans="1:8" x14ac:dyDescent="0.25">
      <c r="A47" t="s">
        <v>577</v>
      </c>
      <c r="E47" t="str">
        <f t="shared" si="0"/>
        <v>Midfielder</v>
      </c>
    </row>
    <row r="48" spans="1:8" x14ac:dyDescent="0.25">
      <c r="A48" t="s">
        <v>577</v>
      </c>
      <c r="B48" t="s">
        <v>669</v>
      </c>
      <c r="C48" t="s">
        <v>670</v>
      </c>
      <c r="D48" t="s">
        <v>45</v>
      </c>
      <c r="E48" t="str">
        <f t="shared" si="0"/>
        <v>Midfielder</v>
      </c>
      <c r="F48" t="s">
        <v>671</v>
      </c>
      <c r="G48" t="s">
        <v>672</v>
      </c>
      <c r="H48" t="s">
        <v>45</v>
      </c>
    </row>
    <row r="49" spans="1:8" x14ac:dyDescent="0.25">
      <c r="A49" t="s">
        <v>577</v>
      </c>
      <c r="B49" t="s">
        <v>673</v>
      </c>
      <c r="C49" t="s">
        <v>674</v>
      </c>
      <c r="D49" t="s">
        <v>45</v>
      </c>
      <c r="E49" t="str">
        <f t="shared" si="0"/>
        <v>Midfielder</v>
      </c>
      <c r="F49" t="s">
        <v>675</v>
      </c>
      <c r="G49" t="s">
        <v>676</v>
      </c>
      <c r="H49" t="s">
        <v>45</v>
      </c>
    </row>
    <row r="50" spans="1:8" x14ac:dyDescent="0.25">
      <c r="A50" t="s">
        <v>577</v>
      </c>
      <c r="B50" t="s">
        <v>677</v>
      </c>
      <c r="C50" t="s">
        <v>678</v>
      </c>
      <c r="D50" t="s">
        <v>45</v>
      </c>
      <c r="E50" t="str">
        <f t="shared" si="0"/>
        <v>Midfielder</v>
      </c>
      <c r="F50" t="s">
        <v>679</v>
      </c>
      <c r="G50" t="s">
        <v>680</v>
      </c>
      <c r="H50" t="s">
        <v>45</v>
      </c>
    </row>
    <row r="51" spans="1:8" x14ac:dyDescent="0.25">
      <c r="A51" t="s">
        <v>577</v>
      </c>
      <c r="B51" t="s">
        <v>681</v>
      </c>
      <c r="C51" t="s">
        <v>682</v>
      </c>
      <c r="D51" t="s">
        <v>45</v>
      </c>
      <c r="E51" t="str">
        <f t="shared" si="0"/>
        <v>Midfielder</v>
      </c>
      <c r="F51" t="s">
        <v>683</v>
      </c>
      <c r="G51" t="s">
        <v>684</v>
      </c>
      <c r="H51" t="s">
        <v>45</v>
      </c>
    </row>
    <row r="52" spans="1:8" x14ac:dyDescent="0.25">
      <c r="A52" t="s">
        <v>592</v>
      </c>
      <c r="E52" t="str">
        <f t="shared" si="0"/>
        <v>Forward</v>
      </c>
    </row>
    <row r="53" spans="1:8" x14ac:dyDescent="0.25">
      <c r="A53" t="s">
        <v>592</v>
      </c>
      <c r="B53" t="s">
        <v>685</v>
      </c>
      <c r="C53" t="s">
        <v>686</v>
      </c>
      <c r="D53" t="s">
        <v>45</v>
      </c>
      <c r="E53" t="str">
        <f t="shared" si="0"/>
        <v>Forward</v>
      </c>
      <c r="F53" t="s">
        <v>687</v>
      </c>
      <c r="G53" t="s">
        <v>688</v>
      </c>
      <c r="H53" t="s">
        <v>45</v>
      </c>
    </row>
    <row r="54" spans="1:8" x14ac:dyDescent="0.25">
      <c r="A54" t="s">
        <v>592</v>
      </c>
      <c r="B54" t="s">
        <v>689</v>
      </c>
      <c r="C54" t="s">
        <v>690</v>
      </c>
      <c r="D54" t="s">
        <v>45</v>
      </c>
      <c r="E54" t="str">
        <f t="shared" si="0"/>
        <v>Forward</v>
      </c>
      <c r="F54" t="s">
        <v>691</v>
      </c>
      <c r="G54" t="s">
        <v>692</v>
      </c>
      <c r="H54" t="s">
        <v>45</v>
      </c>
    </row>
    <row r="55" spans="1:8" x14ac:dyDescent="0.25">
      <c r="A55" t="s">
        <v>592</v>
      </c>
      <c r="B55" t="s">
        <v>693</v>
      </c>
      <c r="C55" t="s">
        <v>694</v>
      </c>
      <c r="D55" t="s">
        <v>45</v>
      </c>
      <c r="E55" t="str">
        <f t="shared" si="0"/>
        <v>Forward</v>
      </c>
    </row>
    <row r="56" spans="1:8" x14ac:dyDescent="0.25">
      <c r="A56" t="s">
        <v>551</v>
      </c>
      <c r="E56" t="str">
        <f t="shared" si="0"/>
        <v>Goalkeeper</v>
      </c>
    </row>
    <row r="57" spans="1:8" x14ac:dyDescent="0.25">
      <c r="A57" t="s">
        <v>551</v>
      </c>
      <c r="B57" t="s">
        <v>695</v>
      </c>
      <c r="C57" t="s">
        <v>696</v>
      </c>
      <c r="D57" t="s">
        <v>88</v>
      </c>
      <c r="E57" t="str">
        <f t="shared" si="0"/>
        <v>Goalkeeper</v>
      </c>
      <c r="F57" t="s">
        <v>697</v>
      </c>
      <c r="G57" t="s">
        <v>698</v>
      </c>
      <c r="H57" t="s">
        <v>88</v>
      </c>
    </row>
    <row r="58" spans="1:8" x14ac:dyDescent="0.25">
      <c r="A58" t="s">
        <v>551</v>
      </c>
      <c r="B58" t="s">
        <v>699</v>
      </c>
      <c r="C58" t="s">
        <v>700</v>
      </c>
      <c r="D58" t="s">
        <v>88</v>
      </c>
      <c r="E58" t="str">
        <f t="shared" si="0"/>
        <v>Goalkeeper</v>
      </c>
    </row>
    <row r="59" spans="1:8" x14ac:dyDescent="0.25">
      <c r="A59" t="s">
        <v>558</v>
      </c>
      <c r="E59" t="str">
        <f t="shared" si="0"/>
        <v>Defender</v>
      </c>
    </row>
    <row r="60" spans="1:8" x14ac:dyDescent="0.25">
      <c r="A60" t="s">
        <v>558</v>
      </c>
      <c r="B60" t="s">
        <v>701</v>
      </c>
      <c r="C60" t="s">
        <v>702</v>
      </c>
      <c r="D60" t="s">
        <v>88</v>
      </c>
      <c r="E60" t="str">
        <f t="shared" si="0"/>
        <v>Defender</v>
      </c>
      <c r="F60" t="s">
        <v>703</v>
      </c>
      <c r="G60" t="s">
        <v>704</v>
      </c>
      <c r="H60" t="s">
        <v>88</v>
      </c>
    </row>
    <row r="61" spans="1:8" x14ac:dyDescent="0.25">
      <c r="A61" t="s">
        <v>558</v>
      </c>
      <c r="B61" t="s">
        <v>705</v>
      </c>
      <c r="C61" t="s">
        <v>706</v>
      </c>
      <c r="D61" t="s">
        <v>88</v>
      </c>
      <c r="E61" t="str">
        <f t="shared" si="0"/>
        <v>Defender</v>
      </c>
      <c r="F61" t="s">
        <v>707</v>
      </c>
      <c r="G61" t="s">
        <v>708</v>
      </c>
      <c r="H61" t="s">
        <v>88</v>
      </c>
    </row>
    <row r="62" spans="1:8" x14ac:dyDescent="0.25">
      <c r="A62" t="s">
        <v>558</v>
      </c>
      <c r="B62" t="s">
        <v>709</v>
      </c>
      <c r="C62" t="s">
        <v>710</v>
      </c>
      <c r="D62" t="s">
        <v>88</v>
      </c>
      <c r="E62" t="str">
        <f t="shared" si="0"/>
        <v>Defender</v>
      </c>
      <c r="F62" t="s">
        <v>711</v>
      </c>
      <c r="G62" t="s">
        <v>712</v>
      </c>
      <c r="H62" t="s">
        <v>88</v>
      </c>
    </row>
    <row r="63" spans="1:8" x14ac:dyDescent="0.25">
      <c r="A63" t="s">
        <v>558</v>
      </c>
      <c r="B63" t="s">
        <v>713</v>
      </c>
      <c r="C63" t="s">
        <v>714</v>
      </c>
      <c r="D63" t="s">
        <v>88</v>
      </c>
      <c r="E63" t="str">
        <f t="shared" si="0"/>
        <v>Defender</v>
      </c>
      <c r="F63" t="s">
        <v>715</v>
      </c>
      <c r="G63" t="s">
        <v>716</v>
      </c>
      <c r="H63" t="s">
        <v>88</v>
      </c>
    </row>
    <row r="64" spans="1:8" x14ac:dyDescent="0.25">
      <c r="A64" t="s">
        <v>558</v>
      </c>
      <c r="B64" t="s">
        <v>717</v>
      </c>
      <c r="C64" t="s">
        <v>718</v>
      </c>
      <c r="D64" t="s">
        <v>88</v>
      </c>
      <c r="E64" t="str">
        <f t="shared" si="0"/>
        <v>Defender</v>
      </c>
    </row>
    <row r="65" spans="1:8" x14ac:dyDescent="0.25">
      <c r="A65" t="s">
        <v>577</v>
      </c>
      <c r="E65" t="str">
        <f t="shared" si="0"/>
        <v>Midfielder</v>
      </c>
    </row>
    <row r="66" spans="1:8" x14ac:dyDescent="0.25">
      <c r="A66" t="s">
        <v>577</v>
      </c>
      <c r="B66" t="s">
        <v>719</v>
      </c>
      <c r="C66" t="s">
        <v>720</v>
      </c>
      <c r="D66" t="s">
        <v>88</v>
      </c>
      <c r="E66" t="str">
        <f t="shared" si="0"/>
        <v>Midfielder</v>
      </c>
      <c r="F66" t="s">
        <v>721</v>
      </c>
      <c r="G66" t="s">
        <v>722</v>
      </c>
      <c r="H66" t="s">
        <v>88</v>
      </c>
    </row>
    <row r="67" spans="1:8" x14ac:dyDescent="0.25">
      <c r="A67" t="s">
        <v>577</v>
      </c>
      <c r="B67" t="s">
        <v>723</v>
      </c>
      <c r="C67" t="s">
        <v>724</v>
      </c>
      <c r="D67" t="s">
        <v>88</v>
      </c>
      <c r="E67" t="str">
        <f t="shared" ref="E67:E130" si="1">A67</f>
        <v>Midfielder</v>
      </c>
      <c r="F67" t="s">
        <v>725</v>
      </c>
      <c r="G67" t="s">
        <v>726</v>
      </c>
      <c r="H67" t="s">
        <v>88</v>
      </c>
    </row>
    <row r="68" spans="1:8" x14ac:dyDescent="0.25">
      <c r="A68" t="s">
        <v>577</v>
      </c>
      <c r="B68" t="s">
        <v>727</v>
      </c>
      <c r="C68" t="s">
        <v>728</v>
      </c>
      <c r="D68" t="s">
        <v>88</v>
      </c>
      <c r="E68" t="str">
        <f t="shared" si="1"/>
        <v>Midfielder</v>
      </c>
      <c r="F68" t="s">
        <v>729</v>
      </c>
      <c r="G68" t="s">
        <v>730</v>
      </c>
      <c r="H68" t="s">
        <v>88</v>
      </c>
    </row>
    <row r="69" spans="1:8" x14ac:dyDescent="0.25">
      <c r="A69" t="s">
        <v>577</v>
      </c>
      <c r="B69" t="s">
        <v>731</v>
      </c>
      <c r="C69" t="s">
        <v>732</v>
      </c>
      <c r="D69" t="s">
        <v>88</v>
      </c>
      <c r="E69" t="str">
        <f t="shared" si="1"/>
        <v>Midfielder</v>
      </c>
      <c r="F69" t="s">
        <v>733</v>
      </c>
      <c r="G69" t="s">
        <v>734</v>
      </c>
      <c r="H69" t="s">
        <v>88</v>
      </c>
    </row>
    <row r="70" spans="1:8" x14ac:dyDescent="0.25">
      <c r="A70" t="s">
        <v>577</v>
      </c>
      <c r="B70" t="s">
        <v>735</v>
      </c>
      <c r="C70" t="s">
        <v>736</v>
      </c>
      <c r="D70" t="s">
        <v>88</v>
      </c>
      <c r="E70" t="str">
        <f t="shared" si="1"/>
        <v>Midfielder</v>
      </c>
      <c r="F70" t="s">
        <v>737</v>
      </c>
      <c r="G70" t="s">
        <v>738</v>
      </c>
      <c r="H70" t="s">
        <v>88</v>
      </c>
    </row>
    <row r="71" spans="1:8" x14ac:dyDescent="0.25">
      <c r="A71" t="s">
        <v>592</v>
      </c>
      <c r="E71" t="str">
        <f t="shared" si="1"/>
        <v>Forward</v>
      </c>
    </row>
    <row r="72" spans="1:8" x14ac:dyDescent="0.25">
      <c r="A72" t="s">
        <v>592</v>
      </c>
      <c r="B72" t="s">
        <v>739</v>
      </c>
      <c r="C72" t="s">
        <v>740</v>
      </c>
      <c r="D72" t="s">
        <v>88</v>
      </c>
      <c r="E72" t="str">
        <f t="shared" si="1"/>
        <v>Forward</v>
      </c>
      <c r="F72" t="s">
        <v>741</v>
      </c>
      <c r="G72" t="s">
        <v>742</v>
      </c>
      <c r="H72" t="s">
        <v>88</v>
      </c>
    </row>
    <row r="73" spans="1:8" x14ac:dyDescent="0.25">
      <c r="A73" t="s">
        <v>592</v>
      </c>
      <c r="B73" t="s">
        <v>743</v>
      </c>
      <c r="C73" t="s">
        <v>744</v>
      </c>
      <c r="D73" t="s">
        <v>88</v>
      </c>
      <c r="E73" t="str">
        <f t="shared" si="1"/>
        <v>Forward</v>
      </c>
    </row>
    <row r="74" spans="1:8" x14ac:dyDescent="0.25">
      <c r="A74" t="s">
        <v>551</v>
      </c>
      <c r="E74" t="str">
        <f t="shared" si="1"/>
        <v>Goalkeeper</v>
      </c>
    </row>
    <row r="75" spans="1:8" x14ac:dyDescent="0.25">
      <c r="A75" t="s">
        <v>551</v>
      </c>
      <c r="B75" t="s">
        <v>745</v>
      </c>
      <c r="C75" t="s">
        <v>344</v>
      </c>
      <c r="D75" t="s">
        <v>113</v>
      </c>
      <c r="E75" t="str">
        <f t="shared" si="1"/>
        <v>Goalkeeper</v>
      </c>
      <c r="F75" t="s">
        <v>746</v>
      </c>
      <c r="G75" t="s">
        <v>747</v>
      </c>
      <c r="H75" t="s">
        <v>113</v>
      </c>
    </row>
    <row r="76" spans="1:8" x14ac:dyDescent="0.25">
      <c r="A76" t="s">
        <v>551</v>
      </c>
      <c r="B76" t="s">
        <v>748</v>
      </c>
      <c r="C76" t="s">
        <v>749</v>
      </c>
      <c r="D76" t="s">
        <v>113</v>
      </c>
      <c r="E76" t="str">
        <f t="shared" si="1"/>
        <v>Goalkeeper</v>
      </c>
    </row>
    <row r="77" spans="1:8" x14ac:dyDescent="0.25">
      <c r="A77" t="s">
        <v>558</v>
      </c>
      <c r="E77" t="str">
        <f t="shared" si="1"/>
        <v>Defender</v>
      </c>
    </row>
    <row r="78" spans="1:8" x14ac:dyDescent="0.25">
      <c r="A78" t="s">
        <v>558</v>
      </c>
      <c r="B78" t="s">
        <v>750</v>
      </c>
      <c r="C78" t="s">
        <v>751</v>
      </c>
      <c r="D78" t="s">
        <v>113</v>
      </c>
      <c r="E78" t="str">
        <f t="shared" si="1"/>
        <v>Defender</v>
      </c>
      <c r="F78" t="s">
        <v>752</v>
      </c>
      <c r="G78" t="s">
        <v>753</v>
      </c>
      <c r="H78" t="s">
        <v>113</v>
      </c>
    </row>
    <row r="79" spans="1:8" x14ac:dyDescent="0.25">
      <c r="A79" t="s">
        <v>558</v>
      </c>
      <c r="B79" t="s">
        <v>754</v>
      </c>
      <c r="C79" t="s">
        <v>755</v>
      </c>
      <c r="D79" t="s">
        <v>113</v>
      </c>
      <c r="E79" t="str">
        <f t="shared" si="1"/>
        <v>Defender</v>
      </c>
      <c r="F79" t="s">
        <v>756</v>
      </c>
      <c r="G79" t="s">
        <v>757</v>
      </c>
      <c r="H79" t="s">
        <v>113</v>
      </c>
    </row>
    <row r="80" spans="1:8" x14ac:dyDescent="0.25">
      <c r="A80" t="s">
        <v>558</v>
      </c>
      <c r="B80" t="s">
        <v>758</v>
      </c>
      <c r="C80" t="s">
        <v>759</v>
      </c>
      <c r="D80" t="s">
        <v>113</v>
      </c>
      <c r="E80" t="str">
        <f t="shared" si="1"/>
        <v>Defender</v>
      </c>
      <c r="F80" t="s">
        <v>760</v>
      </c>
      <c r="G80" t="s">
        <v>761</v>
      </c>
      <c r="H80" t="s">
        <v>113</v>
      </c>
    </row>
    <row r="81" spans="1:8" x14ac:dyDescent="0.25">
      <c r="A81" t="s">
        <v>558</v>
      </c>
      <c r="B81" t="s">
        <v>762</v>
      </c>
      <c r="C81" t="s">
        <v>432</v>
      </c>
      <c r="D81" t="s">
        <v>113</v>
      </c>
      <c r="E81" t="str">
        <f t="shared" si="1"/>
        <v>Defender</v>
      </c>
      <c r="F81" t="s">
        <v>763</v>
      </c>
      <c r="G81" t="s">
        <v>764</v>
      </c>
      <c r="H81" t="s">
        <v>113</v>
      </c>
    </row>
    <row r="82" spans="1:8" x14ac:dyDescent="0.25">
      <c r="A82" t="s">
        <v>558</v>
      </c>
      <c r="B82" t="s">
        <v>765</v>
      </c>
      <c r="C82" t="s">
        <v>766</v>
      </c>
      <c r="D82" t="s">
        <v>113</v>
      </c>
      <c r="E82" t="str">
        <f t="shared" si="1"/>
        <v>Defender</v>
      </c>
    </row>
    <row r="83" spans="1:8" x14ac:dyDescent="0.25">
      <c r="A83" t="s">
        <v>577</v>
      </c>
      <c r="E83" t="str">
        <f t="shared" si="1"/>
        <v>Midfielder</v>
      </c>
    </row>
    <row r="84" spans="1:8" x14ac:dyDescent="0.25">
      <c r="A84" t="s">
        <v>577</v>
      </c>
      <c r="B84" t="s">
        <v>767</v>
      </c>
      <c r="C84" t="s">
        <v>768</v>
      </c>
      <c r="D84" t="s">
        <v>113</v>
      </c>
      <c r="E84" t="str">
        <f t="shared" si="1"/>
        <v>Midfielder</v>
      </c>
      <c r="F84" t="s">
        <v>769</v>
      </c>
      <c r="G84" t="s">
        <v>770</v>
      </c>
      <c r="H84" t="s">
        <v>113</v>
      </c>
    </row>
    <row r="85" spans="1:8" x14ac:dyDescent="0.25">
      <c r="A85" t="s">
        <v>577</v>
      </c>
      <c r="B85" t="s">
        <v>771</v>
      </c>
      <c r="C85" t="s">
        <v>322</v>
      </c>
      <c r="D85" t="s">
        <v>113</v>
      </c>
      <c r="E85" t="str">
        <f t="shared" si="1"/>
        <v>Midfielder</v>
      </c>
      <c r="F85" t="s">
        <v>772</v>
      </c>
      <c r="G85" t="s">
        <v>773</v>
      </c>
      <c r="H85" t="s">
        <v>113</v>
      </c>
    </row>
    <row r="86" spans="1:8" x14ac:dyDescent="0.25">
      <c r="A86" t="s">
        <v>577</v>
      </c>
      <c r="B86" t="s">
        <v>774</v>
      </c>
      <c r="C86" t="s">
        <v>448</v>
      </c>
      <c r="D86" t="s">
        <v>113</v>
      </c>
      <c r="E86" t="str">
        <f t="shared" si="1"/>
        <v>Midfielder</v>
      </c>
      <c r="F86" t="s">
        <v>775</v>
      </c>
      <c r="G86" t="s">
        <v>776</v>
      </c>
      <c r="H86" t="s">
        <v>113</v>
      </c>
    </row>
    <row r="87" spans="1:8" x14ac:dyDescent="0.25">
      <c r="A87" t="s">
        <v>592</v>
      </c>
      <c r="E87" t="str">
        <f t="shared" si="1"/>
        <v>Forward</v>
      </c>
    </row>
    <row r="88" spans="1:8" x14ac:dyDescent="0.25">
      <c r="A88" t="s">
        <v>592</v>
      </c>
      <c r="B88" t="s">
        <v>777</v>
      </c>
      <c r="C88" t="s">
        <v>535</v>
      </c>
      <c r="D88" t="s">
        <v>113</v>
      </c>
      <c r="E88" t="str">
        <f t="shared" si="1"/>
        <v>Forward</v>
      </c>
      <c r="F88" t="s">
        <v>778</v>
      </c>
      <c r="G88" t="s">
        <v>779</v>
      </c>
      <c r="H88" t="s">
        <v>113</v>
      </c>
    </row>
    <row r="89" spans="1:8" x14ac:dyDescent="0.25">
      <c r="A89" t="s">
        <v>592</v>
      </c>
      <c r="B89" t="s">
        <v>780</v>
      </c>
      <c r="C89" t="s">
        <v>460</v>
      </c>
      <c r="D89" t="s">
        <v>113</v>
      </c>
      <c r="E89" t="str">
        <f t="shared" si="1"/>
        <v>Forward</v>
      </c>
      <c r="F89" t="s">
        <v>781</v>
      </c>
      <c r="G89" t="s">
        <v>782</v>
      </c>
      <c r="H89" t="s">
        <v>113</v>
      </c>
    </row>
    <row r="90" spans="1:8" x14ac:dyDescent="0.25">
      <c r="A90" t="s">
        <v>592</v>
      </c>
      <c r="B90" t="s">
        <v>783</v>
      </c>
      <c r="C90" t="s">
        <v>324</v>
      </c>
      <c r="D90" t="s">
        <v>113</v>
      </c>
      <c r="E90" t="str">
        <f t="shared" si="1"/>
        <v>Forward</v>
      </c>
      <c r="F90" t="s">
        <v>784</v>
      </c>
      <c r="G90" t="s">
        <v>785</v>
      </c>
      <c r="H90" t="s">
        <v>113</v>
      </c>
    </row>
    <row r="91" spans="1:8" x14ac:dyDescent="0.25">
      <c r="A91" t="s">
        <v>592</v>
      </c>
      <c r="B91" t="s">
        <v>786</v>
      </c>
      <c r="C91" t="s">
        <v>787</v>
      </c>
      <c r="D91" t="s">
        <v>113</v>
      </c>
      <c r="E91" t="str">
        <f t="shared" si="1"/>
        <v>Forward</v>
      </c>
      <c r="F91" t="s">
        <v>788</v>
      </c>
      <c r="G91" t="s">
        <v>789</v>
      </c>
      <c r="H91" t="s">
        <v>113</v>
      </c>
    </row>
    <row r="92" spans="1:8" x14ac:dyDescent="0.25">
      <c r="A92" t="s">
        <v>551</v>
      </c>
      <c r="E92" t="str">
        <f t="shared" si="1"/>
        <v>Goalkeeper</v>
      </c>
    </row>
    <row r="93" spans="1:8" x14ac:dyDescent="0.25">
      <c r="A93" t="s">
        <v>551</v>
      </c>
      <c r="B93" t="s">
        <v>790</v>
      </c>
      <c r="C93" t="s">
        <v>791</v>
      </c>
      <c r="D93" t="s">
        <v>792</v>
      </c>
      <c r="E93" t="str">
        <f t="shared" si="1"/>
        <v>Goalkeeper</v>
      </c>
      <c r="F93" t="s">
        <v>793</v>
      </c>
      <c r="G93" t="s">
        <v>794</v>
      </c>
      <c r="H93" t="s">
        <v>792</v>
      </c>
    </row>
    <row r="94" spans="1:8" x14ac:dyDescent="0.25">
      <c r="A94" t="s">
        <v>551</v>
      </c>
      <c r="B94" t="s">
        <v>795</v>
      </c>
      <c r="C94" t="s">
        <v>796</v>
      </c>
      <c r="D94" t="s">
        <v>792</v>
      </c>
      <c r="E94" t="str">
        <f t="shared" si="1"/>
        <v>Goalkeeper</v>
      </c>
    </row>
    <row r="95" spans="1:8" x14ac:dyDescent="0.25">
      <c r="A95" t="s">
        <v>558</v>
      </c>
      <c r="E95" t="str">
        <f t="shared" si="1"/>
        <v>Defender</v>
      </c>
    </row>
    <row r="96" spans="1:8" x14ac:dyDescent="0.25">
      <c r="A96" t="s">
        <v>558</v>
      </c>
      <c r="B96" t="s">
        <v>797</v>
      </c>
      <c r="C96" t="s">
        <v>798</v>
      </c>
      <c r="D96" t="s">
        <v>792</v>
      </c>
      <c r="E96" t="str">
        <f t="shared" si="1"/>
        <v>Defender</v>
      </c>
      <c r="F96" t="s">
        <v>799</v>
      </c>
      <c r="G96" t="s">
        <v>800</v>
      </c>
      <c r="H96" t="s">
        <v>792</v>
      </c>
    </row>
    <row r="97" spans="1:8" x14ac:dyDescent="0.25">
      <c r="A97" t="s">
        <v>558</v>
      </c>
      <c r="B97" t="s">
        <v>801</v>
      </c>
      <c r="C97" t="s">
        <v>802</v>
      </c>
      <c r="D97" t="s">
        <v>792</v>
      </c>
      <c r="E97" t="str">
        <f t="shared" si="1"/>
        <v>Defender</v>
      </c>
      <c r="F97" t="s">
        <v>803</v>
      </c>
      <c r="G97" t="s">
        <v>804</v>
      </c>
      <c r="H97" t="s">
        <v>792</v>
      </c>
    </row>
    <row r="98" spans="1:8" x14ac:dyDescent="0.25">
      <c r="A98" t="s">
        <v>558</v>
      </c>
      <c r="B98" t="s">
        <v>805</v>
      </c>
      <c r="C98" t="s">
        <v>806</v>
      </c>
      <c r="D98" t="s">
        <v>792</v>
      </c>
      <c r="E98" t="str">
        <f t="shared" si="1"/>
        <v>Defender</v>
      </c>
      <c r="F98" t="s">
        <v>807</v>
      </c>
      <c r="G98" t="s">
        <v>808</v>
      </c>
      <c r="H98" t="s">
        <v>792</v>
      </c>
    </row>
    <row r="99" spans="1:8" x14ac:dyDescent="0.25">
      <c r="A99" t="s">
        <v>558</v>
      </c>
      <c r="B99" t="s">
        <v>809</v>
      </c>
      <c r="C99" t="s">
        <v>810</v>
      </c>
      <c r="D99" t="s">
        <v>792</v>
      </c>
      <c r="E99" t="str">
        <f t="shared" si="1"/>
        <v>Defender</v>
      </c>
      <c r="F99" t="s">
        <v>811</v>
      </c>
      <c r="G99" t="s">
        <v>812</v>
      </c>
      <c r="H99" t="s">
        <v>792</v>
      </c>
    </row>
    <row r="100" spans="1:8" x14ac:dyDescent="0.25">
      <c r="A100" t="s">
        <v>577</v>
      </c>
      <c r="E100" t="str">
        <f t="shared" si="1"/>
        <v>Midfielder</v>
      </c>
    </row>
    <row r="101" spans="1:8" x14ac:dyDescent="0.25">
      <c r="A101" t="s">
        <v>577</v>
      </c>
      <c r="B101" t="s">
        <v>813</v>
      </c>
      <c r="C101" t="s">
        <v>814</v>
      </c>
      <c r="D101" t="s">
        <v>792</v>
      </c>
      <c r="E101" t="str">
        <f t="shared" si="1"/>
        <v>Midfielder</v>
      </c>
      <c r="F101" t="s">
        <v>815</v>
      </c>
      <c r="G101" t="s">
        <v>816</v>
      </c>
      <c r="H101" t="s">
        <v>792</v>
      </c>
    </row>
    <row r="102" spans="1:8" x14ac:dyDescent="0.25">
      <c r="A102" t="s">
        <v>577</v>
      </c>
      <c r="B102" t="s">
        <v>817</v>
      </c>
      <c r="C102" t="s">
        <v>818</v>
      </c>
      <c r="D102" t="s">
        <v>792</v>
      </c>
      <c r="E102" t="str">
        <f t="shared" si="1"/>
        <v>Midfielder</v>
      </c>
      <c r="F102" t="s">
        <v>819</v>
      </c>
      <c r="G102" t="s">
        <v>820</v>
      </c>
      <c r="H102" t="s">
        <v>792</v>
      </c>
    </row>
    <row r="103" spans="1:8" x14ac:dyDescent="0.25">
      <c r="A103" t="s">
        <v>577</v>
      </c>
      <c r="B103" t="s">
        <v>821</v>
      </c>
      <c r="C103" t="s">
        <v>822</v>
      </c>
      <c r="D103" t="s">
        <v>792</v>
      </c>
      <c r="E103" t="str">
        <f t="shared" si="1"/>
        <v>Midfielder</v>
      </c>
      <c r="F103" t="s">
        <v>823</v>
      </c>
      <c r="G103" t="s">
        <v>824</v>
      </c>
      <c r="H103" t="s">
        <v>792</v>
      </c>
    </row>
    <row r="104" spans="1:8" x14ac:dyDescent="0.25">
      <c r="A104" t="s">
        <v>577</v>
      </c>
      <c r="B104" t="s">
        <v>825</v>
      </c>
      <c r="C104" t="s">
        <v>826</v>
      </c>
      <c r="D104" t="s">
        <v>792</v>
      </c>
      <c r="E104" t="str">
        <f t="shared" si="1"/>
        <v>Midfielder</v>
      </c>
      <c r="F104" t="s">
        <v>827</v>
      </c>
      <c r="G104" t="s">
        <v>828</v>
      </c>
      <c r="H104" t="s">
        <v>792</v>
      </c>
    </row>
    <row r="105" spans="1:8" x14ac:dyDescent="0.25">
      <c r="A105" t="s">
        <v>592</v>
      </c>
      <c r="E105" t="str">
        <f t="shared" si="1"/>
        <v>Forward</v>
      </c>
    </row>
    <row r="106" spans="1:8" x14ac:dyDescent="0.25">
      <c r="A106" t="s">
        <v>592</v>
      </c>
      <c r="B106" t="s">
        <v>829</v>
      </c>
      <c r="C106" t="s">
        <v>830</v>
      </c>
      <c r="D106" t="s">
        <v>792</v>
      </c>
      <c r="E106" t="str">
        <f t="shared" si="1"/>
        <v>Forward</v>
      </c>
      <c r="F106" t="s">
        <v>831</v>
      </c>
      <c r="G106" t="s">
        <v>832</v>
      </c>
      <c r="H106" t="s">
        <v>792</v>
      </c>
    </row>
    <row r="107" spans="1:8" x14ac:dyDescent="0.25">
      <c r="A107" t="s">
        <v>592</v>
      </c>
      <c r="B107" t="s">
        <v>833</v>
      </c>
      <c r="C107" t="s">
        <v>834</v>
      </c>
      <c r="D107" t="s">
        <v>792</v>
      </c>
      <c r="E107" t="str">
        <f t="shared" si="1"/>
        <v>Forward</v>
      </c>
      <c r="F107" t="s">
        <v>835</v>
      </c>
      <c r="G107" t="s">
        <v>836</v>
      </c>
      <c r="H107" t="s">
        <v>792</v>
      </c>
    </row>
    <row r="108" spans="1:8" x14ac:dyDescent="0.25">
      <c r="A108" t="s">
        <v>592</v>
      </c>
      <c r="B108" t="s">
        <v>837</v>
      </c>
      <c r="C108" t="s">
        <v>838</v>
      </c>
      <c r="D108" t="s">
        <v>792</v>
      </c>
      <c r="E108" t="str">
        <f t="shared" si="1"/>
        <v>Forward</v>
      </c>
      <c r="F108" t="s">
        <v>839</v>
      </c>
      <c r="G108" t="s">
        <v>840</v>
      </c>
      <c r="H108" t="s">
        <v>792</v>
      </c>
    </row>
    <row r="109" spans="1:8" x14ac:dyDescent="0.25">
      <c r="A109" t="s">
        <v>592</v>
      </c>
      <c r="B109" t="s">
        <v>841</v>
      </c>
      <c r="C109" t="s">
        <v>842</v>
      </c>
      <c r="D109" t="s">
        <v>792</v>
      </c>
      <c r="E109" t="str">
        <f t="shared" si="1"/>
        <v>Forward</v>
      </c>
    </row>
    <row r="110" spans="1:8" x14ac:dyDescent="0.25">
      <c r="A110" t="s">
        <v>551</v>
      </c>
      <c r="E110" t="str">
        <f t="shared" si="1"/>
        <v>Goalkeeper</v>
      </c>
    </row>
    <row r="111" spans="1:8" x14ac:dyDescent="0.25">
      <c r="A111" t="s">
        <v>551</v>
      </c>
      <c r="B111" t="s">
        <v>372</v>
      </c>
      <c r="C111" t="s">
        <v>372</v>
      </c>
      <c r="D111" t="s">
        <v>78</v>
      </c>
      <c r="E111" t="str">
        <f t="shared" si="1"/>
        <v>Goalkeeper</v>
      </c>
      <c r="F111" t="s">
        <v>497</v>
      </c>
      <c r="G111" t="s">
        <v>497</v>
      </c>
      <c r="H111" t="s">
        <v>78</v>
      </c>
    </row>
    <row r="112" spans="1:8" x14ac:dyDescent="0.25">
      <c r="A112" t="s">
        <v>551</v>
      </c>
      <c r="B112" t="s">
        <v>843</v>
      </c>
      <c r="C112" t="s">
        <v>843</v>
      </c>
      <c r="D112" t="s">
        <v>78</v>
      </c>
      <c r="E112" t="str">
        <f t="shared" si="1"/>
        <v>Goalkeeper</v>
      </c>
    </row>
    <row r="113" spans="1:8" x14ac:dyDescent="0.25">
      <c r="A113" t="s">
        <v>558</v>
      </c>
      <c r="E113" t="str">
        <f t="shared" si="1"/>
        <v>Defender</v>
      </c>
    </row>
    <row r="114" spans="1:8" x14ac:dyDescent="0.25">
      <c r="A114" t="s">
        <v>558</v>
      </c>
      <c r="B114" t="s">
        <v>844</v>
      </c>
      <c r="C114" t="s">
        <v>844</v>
      </c>
      <c r="D114" t="s">
        <v>78</v>
      </c>
      <c r="E114" t="str">
        <f t="shared" si="1"/>
        <v>Defender</v>
      </c>
      <c r="F114" t="s">
        <v>845</v>
      </c>
      <c r="G114" t="s">
        <v>845</v>
      </c>
      <c r="H114" t="s">
        <v>78</v>
      </c>
    </row>
    <row r="115" spans="1:8" x14ac:dyDescent="0.25">
      <c r="A115" t="s">
        <v>558</v>
      </c>
      <c r="B115" t="s">
        <v>314</v>
      </c>
      <c r="C115" t="s">
        <v>314</v>
      </c>
      <c r="D115" t="s">
        <v>78</v>
      </c>
      <c r="E115" t="str">
        <f t="shared" si="1"/>
        <v>Defender</v>
      </c>
      <c r="F115" t="s">
        <v>846</v>
      </c>
      <c r="G115" t="s">
        <v>846</v>
      </c>
      <c r="H115" t="s">
        <v>78</v>
      </c>
    </row>
    <row r="116" spans="1:8" x14ac:dyDescent="0.25">
      <c r="A116" t="s">
        <v>558</v>
      </c>
      <c r="B116" t="s">
        <v>452</v>
      </c>
      <c r="C116" t="s">
        <v>452</v>
      </c>
      <c r="D116" t="s">
        <v>78</v>
      </c>
      <c r="E116" t="str">
        <f t="shared" si="1"/>
        <v>Defender</v>
      </c>
      <c r="F116" t="s">
        <v>847</v>
      </c>
      <c r="G116" t="s">
        <v>847</v>
      </c>
      <c r="H116" t="s">
        <v>78</v>
      </c>
    </row>
    <row r="117" spans="1:8" x14ac:dyDescent="0.25">
      <c r="A117" t="s">
        <v>558</v>
      </c>
      <c r="B117" t="s">
        <v>422</v>
      </c>
      <c r="C117" t="s">
        <v>422</v>
      </c>
      <c r="D117" t="s">
        <v>78</v>
      </c>
      <c r="E117" t="str">
        <f t="shared" si="1"/>
        <v>Defender</v>
      </c>
      <c r="F117" t="s">
        <v>848</v>
      </c>
      <c r="G117" t="s">
        <v>848</v>
      </c>
      <c r="H117" t="s">
        <v>78</v>
      </c>
    </row>
    <row r="118" spans="1:8" x14ac:dyDescent="0.25">
      <c r="A118" t="s">
        <v>558</v>
      </c>
      <c r="B118" t="s">
        <v>531</v>
      </c>
      <c r="C118" t="s">
        <v>531</v>
      </c>
      <c r="D118" t="s">
        <v>78</v>
      </c>
      <c r="E118" t="str">
        <f t="shared" si="1"/>
        <v>Defender</v>
      </c>
    </row>
    <row r="119" spans="1:8" x14ac:dyDescent="0.25">
      <c r="A119" t="s">
        <v>577</v>
      </c>
      <c r="E119" t="str">
        <f t="shared" si="1"/>
        <v>Midfielder</v>
      </c>
    </row>
    <row r="120" spans="1:8" x14ac:dyDescent="0.25">
      <c r="A120" t="s">
        <v>577</v>
      </c>
      <c r="B120" t="s">
        <v>849</v>
      </c>
      <c r="C120" t="s">
        <v>849</v>
      </c>
      <c r="D120" t="s">
        <v>78</v>
      </c>
      <c r="E120" t="str">
        <f t="shared" si="1"/>
        <v>Midfielder</v>
      </c>
      <c r="F120" t="s">
        <v>850</v>
      </c>
      <c r="G120" t="s">
        <v>850</v>
      </c>
      <c r="H120" t="s">
        <v>78</v>
      </c>
    </row>
    <row r="121" spans="1:8" x14ac:dyDescent="0.25">
      <c r="A121" t="s">
        <v>577</v>
      </c>
      <c r="B121" t="s">
        <v>408</v>
      </c>
      <c r="C121" t="s">
        <v>408</v>
      </c>
      <c r="D121" t="s">
        <v>78</v>
      </c>
      <c r="E121" t="str">
        <f t="shared" si="1"/>
        <v>Midfielder</v>
      </c>
      <c r="F121" t="s">
        <v>851</v>
      </c>
      <c r="G121" t="s">
        <v>851</v>
      </c>
      <c r="H121" t="s">
        <v>78</v>
      </c>
    </row>
    <row r="122" spans="1:8" x14ac:dyDescent="0.25">
      <c r="A122" t="s">
        <v>577</v>
      </c>
      <c r="B122" t="s">
        <v>852</v>
      </c>
      <c r="C122" t="s">
        <v>852</v>
      </c>
      <c r="D122" t="s">
        <v>78</v>
      </c>
      <c r="E122" t="str">
        <f t="shared" si="1"/>
        <v>Midfielder</v>
      </c>
    </row>
    <row r="123" spans="1:8" x14ac:dyDescent="0.25">
      <c r="A123" t="s">
        <v>592</v>
      </c>
      <c r="E123" t="str">
        <f t="shared" si="1"/>
        <v>Forward</v>
      </c>
    </row>
    <row r="124" spans="1:8" x14ac:dyDescent="0.25">
      <c r="A124" t="s">
        <v>592</v>
      </c>
      <c r="B124" t="s">
        <v>304</v>
      </c>
      <c r="C124" t="s">
        <v>304</v>
      </c>
      <c r="D124" t="s">
        <v>78</v>
      </c>
      <c r="E124" t="str">
        <f t="shared" si="1"/>
        <v>Forward</v>
      </c>
      <c r="F124" t="s">
        <v>853</v>
      </c>
      <c r="G124" t="s">
        <v>853</v>
      </c>
      <c r="H124" t="s">
        <v>78</v>
      </c>
    </row>
    <row r="125" spans="1:8" x14ac:dyDescent="0.25">
      <c r="A125" t="s">
        <v>592</v>
      </c>
      <c r="B125" t="s">
        <v>400</v>
      </c>
      <c r="C125" t="s">
        <v>400</v>
      </c>
      <c r="D125" t="s">
        <v>78</v>
      </c>
      <c r="E125" t="str">
        <f t="shared" si="1"/>
        <v>Forward</v>
      </c>
      <c r="F125" t="s">
        <v>854</v>
      </c>
      <c r="G125" t="s">
        <v>854</v>
      </c>
      <c r="H125" t="s">
        <v>78</v>
      </c>
    </row>
    <row r="126" spans="1:8" x14ac:dyDescent="0.25">
      <c r="A126" t="s">
        <v>592</v>
      </c>
      <c r="B126" t="s">
        <v>855</v>
      </c>
      <c r="C126" t="s">
        <v>855</v>
      </c>
      <c r="D126" t="s">
        <v>78</v>
      </c>
      <c r="E126" t="str">
        <f t="shared" si="1"/>
        <v>Forward</v>
      </c>
      <c r="F126" t="s">
        <v>856</v>
      </c>
      <c r="G126" t="s">
        <v>856</v>
      </c>
      <c r="H126" t="s">
        <v>78</v>
      </c>
    </row>
    <row r="127" spans="1:8" x14ac:dyDescent="0.25">
      <c r="A127" t="s">
        <v>592</v>
      </c>
      <c r="B127" t="s">
        <v>302</v>
      </c>
      <c r="C127" t="s">
        <v>302</v>
      </c>
      <c r="D127" t="s">
        <v>78</v>
      </c>
      <c r="E127" t="str">
        <f t="shared" si="1"/>
        <v>Forward</v>
      </c>
      <c r="F127" t="s">
        <v>857</v>
      </c>
      <c r="G127" t="s">
        <v>857</v>
      </c>
      <c r="H127" t="s">
        <v>78</v>
      </c>
    </row>
    <row r="128" spans="1:8" x14ac:dyDescent="0.25">
      <c r="A128" t="s">
        <v>592</v>
      </c>
      <c r="B128" t="s">
        <v>858</v>
      </c>
      <c r="C128" t="s">
        <v>858</v>
      </c>
      <c r="D128" t="s">
        <v>78</v>
      </c>
      <c r="E128" t="str">
        <f t="shared" si="1"/>
        <v>Forward</v>
      </c>
    </row>
    <row r="129" spans="1:8" x14ac:dyDescent="0.25">
      <c r="A129" t="s">
        <v>551</v>
      </c>
      <c r="E129" t="str">
        <f t="shared" si="1"/>
        <v>Goalkeeper</v>
      </c>
    </row>
    <row r="130" spans="1:8" x14ac:dyDescent="0.25">
      <c r="A130" t="s">
        <v>551</v>
      </c>
      <c r="B130" t="s">
        <v>859</v>
      </c>
      <c r="C130" t="s">
        <v>859</v>
      </c>
      <c r="D130" t="s">
        <v>41</v>
      </c>
      <c r="E130" t="str">
        <f t="shared" si="1"/>
        <v>Goalkeeper</v>
      </c>
      <c r="F130" t="s">
        <v>860</v>
      </c>
      <c r="G130" t="s">
        <v>860</v>
      </c>
      <c r="H130" t="s">
        <v>41</v>
      </c>
    </row>
    <row r="131" spans="1:8" x14ac:dyDescent="0.25">
      <c r="A131" t="s">
        <v>551</v>
      </c>
      <c r="B131" t="s">
        <v>861</v>
      </c>
      <c r="C131" t="s">
        <v>861</v>
      </c>
      <c r="D131" t="s">
        <v>41</v>
      </c>
      <c r="E131" t="str">
        <f t="shared" ref="E131:E194" si="2">A131</f>
        <v>Goalkeeper</v>
      </c>
    </row>
    <row r="132" spans="1:8" x14ac:dyDescent="0.25">
      <c r="A132" t="s">
        <v>558</v>
      </c>
      <c r="E132" t="str">
        <f t="shared" si="2"/>
        <v>Defender</v>
      </c>
    </row>
    <row r="133" spans="1:8" x14ac:dyDescent="0.25">
      <c r="A133" t="s">
        <v>558</v>
      </c>
      <c r="B133" t="s">
        <v>862</v>
      </c>
      <c r="C133" t="s">
        <v>862</v>
      </c>
      <c r="D133" t="s">
        <v>41</v>
      </c>
      <c r="E133" t="str">
        <f t="shared" si="2"/>
        <v>Defender</v>
      </c>
      <c r="F133" t="s">
        <v>863</v>
      </c>
      <c r="G133" t="s">
        <v>863</v>
      </c>
      <c r="H133" t="s">
        <v>41</v>
      </c>
    </row>
    <row r="134" spans="1:8" x14ac:dyDescent="0.25">
      <c r="A134" t="s">
        <v>558</v>
      </c>
      <c r="B134" t="s">
        <v>864</v>
      </c>
      <c r="C134" t="s">
        <v>864</v>
      </c>
      <c r="D134" t="s">
        <v>41</v>
      </c>
      <c r="E134" t="str">
        <f t="shared" si="2"/>
        <v>Defender</v>
      </c>
      <c r="F134" t="s">
        <v>865</v>
      </c>
      <c r="G134" t="s">
        <v>865</v>
      </c>
      <c r="H134" t="s">
        <v>41</v>
      </c>
    </row>
    <row r="135" spans="1:8" x14ac:dyDescent="0.25">
      <c r="A135" t="s">
        <v>558</v>
      </c>
      <c r="B135" t="s">
        <v>866</v>
      </c>
      <c r="C135" t="s">
        <v>866</v>
      </c>
      <c r="D135" t="s">
        <v>41</v>
      </c>
      <c r="E135" t="str">
        <f t="shared" si="2"/>
        <v>Defender</v>
      </c>
      <c r="F135" t="s">
        <v>867</v>
      </c>
      <c r="G135" t="s">
        <v>867</v>
      </c>
      <c r="H135" t="s">
        <v>41</v>
      </c>
    </row>
    <row r="136" spans="1:8" x14ac:dyDescent="0.25">
      <c r="A136" t="s">
        <v>558</v>
      </c>
      <c r="B136" t="s">
        <v>868</v>
      </c>
      <c r="C136" t="s">
        <v>868</v>
      </c>
      <c r="D136" t="s">
        <v>41</v>
      </c>
      <c r="E136" t="str">
        <f t="shared" si="2"/>
        <v>Defender</v>
      </c>
      <c r="F136" t="s">
        <v>869</v>
      </c>
      <c r="G136" t="s">
        <v>869</v>
      </c>
      <c r="H136" t="s">
        <v>41</v>
      </c>
    </row>
    <row r="137" spans="1:8" x14ac:dyDescent="0.25">
      <c r="A137" t="s">
        <v>577</v>
      </c>
      <c r="E137" t="str">
        <f t="shared" si="2"/>
        <v>Midfielder</v>
      </c>
    </row>
    <row r="138" spans="1:8" x14ac:dyDescent="0.25">
      <c r="A138" t="s">
        <v>577</v>
      </c>
      <c r="B138" t="s">
        <v>870</v>
      </c>
      <c r="C138" t="s">
        <v>870</v>
      </c>
      <c r="D138" t="s">
        <v>41</v>
      </c>
      <c r="E138" t="str">
        <f t="shared" si="2"/>
        <v>Midfielder</v>
      </c>
      <c r="F138" t="s">
        <v>871</v>
      </c>
      <c r="G138" t="s">
        <v>871</v>
      </c>
      <c r="H138" t="s">
        <v>41</v>
      </c>
    </row>
    <row r="139" spans="1:8" x14ac:dyDescent="0.25">
      <c r="A139" t="s">
        <v>577</v>
      </c>
      <c r="B139" t="s">
        <v>872</v>
      </c>
      <c r="C139" t="s">
        <v>872</v>
      </c>
      <c r="D139" t="s">
        <v>41</v>
      </c>
      <c r="E139" t="str">
        <f t="shared" si="2"/>
        <v>Midfielder</v>
      </c>
      <c r="F139" t="s">
        <v>873</v>
      </c>
      <c r="G139" t="s">
        <v>873</v>
      </c>
      <c r="H139" t="s">
        <v>41</v>
      </c>
    </row>
    <row r="140" spans="1:8" x14ac:dyDescent="0.25">
      <c r="A140" t="s">
        <v>577</v>
      </c>
      <c r="B140" t="s">
        <v>874</v>
      </c>
      <c r="C140" t="s">
        <v>874</v>
      </c>
      <c r="D140" t="s">
        <v>41</v>
      </c>
      <c r="E140" t="str">
        <f t="shared" si="2"/>
        <v>Midfielder</v>
      </c>
      <c r="F140" t="s">
        <v>875</v>
      </c>
      <c r="G140" t="s">
        <v>875</v>
      </c>
      <c r="H140" t="s">
        <v>41</v>
      </c>
    </row>
    <row r="141" spans="1:8" x14ac:dyDescent="0.25">
      <c r="A141" t="s">
        <v>577</v>
      </c>
      <c r="B141" t="s">
        <v>876</v>
      </c>
      <c r="C141" t="s">
        <v>876</v>
      </c>
      <c r="D141" t="s">
        <v>41</v>
      </c>
      <c r="E141" t="str">
        <f t="shared" si="2"/>
        <v>Midfielder</v>
      </c>
    </row>
    <row r="142" spans="1:8" x14ac:dyDescent="0.25">
      <c r="A142" t="s">
        <v>592</v>
      </c>
      <c r="E142" t="str">
        <f t="shared" si="2"/>
        <v>Forward</v>
      </c>
    </row>
    <row r="143" spans="1:8" x14ac:dyDescent="0.25">
      <c r="A143" t="s">
        <v>592</v>
      </c>
      <c r="B143" t="s">
        <v>877</v>
      </c>
      <c r="C143" t="s">
        <v>877</v>
      </c>
      <c r="D143" t="s">
        <v>41</v>
      </c>
      <c r="E143" t="str">
        <f t="shared" si="2"/>
        <v>Forward</v>
      </c>
      <c r="F143" t="s">
        <v>878</v>
      </c>
      <c r="G143" t="s">
        <v>878</v>
      </c>
      <c r="H143" t="s">
        <v>41</v>
      </c>
    </row>
    <row r="144" spans="1:8" x14ac:dyDescent="0.25">
      <c r="A144" t="s">
        <v>592</v>
      </c>
      <c r="B144" t="s">
        <v>879</v>
      </c>
      <c r="C144" t="s">
        <v>879</v>
      </c>
      <c r="D144" t="s">
        <v>41</v>
      </c>
      <c r="E144" t="str">
        <f t="shared" si="2"/>
        <v>Forward</v>
      </c>
      <c r="F144" t="s">
        <v>880</v>
      </c>
      <c r="G144" t="s">
        <v>880</v>
      </c>
      <c r="H144" t="s">
        <v>41</v>
      </c>
    </row>
    <row r="145" spans="1:8" x14ac:dyDescent="0.25">
      <c r="A145" t="s">
        <v>592</v>
      </c>
      <c r="B145" t="s">
        <v>881</v>
      </c>
      <c r="C145" t="s">
        <v>881</v>
      </c>
      <c r="D145" t="s">
        <v>41</v>
      </c>
      <c r="E145" t="str">
        <f t="shared" si="2"/>
        <v>Forward</v>
      </c>
      <c r="F145" t="s">
        <v>882</v>
      </c>
      <c r="G145" t="s">
        <v>882</v>
      </c>
      <c r="H145" t="s">
        <v>41</v>
      </c>
    </row>
    <row r="146" spans="1:8" x14ac:dyDescent="0.25">
      <c r="A146" t="s">
        <v>592</v>
      </c>
      <c r="B146" t="s">
        <v>883</v>
      </c>
      <c r="C146" t="s">
        <v>883</v>
      </c>
      <c r="D146" t="s">
        <v>41</v>
      </c>
      <c r="E146" t="str">
        <f t="shared" si="2"/>
        <v>Forward</v>
      </c>
      <c r="F146" t="s">
        <v>884</v>
      </c>
      <c r="G146" t="s">
        <v>884</v>
      </c>
      <c r="H146" t="s">
        <v>41</v>
      </c>
    </row>
    <row r="147" spans="1:8" x14ac:dyDescent="0.25">
      <c r="A147" t="s">
        <v>551</v>
      </c>
      <c r="E147" t="str">
        <f t="shared" si="2"/>
        <v>Goalkeeper</v>
      </c>
    </row>
    <row r="148" spans="1:8" x14ac:dyDescent="0.25">
      <c r="A148" t="s">
        <v>551</v>
      </c>
      <c r="B148" t="s">
        <v>885</v>
      </c>
      <c r="C148" t="s">
        <v>886</v>
      </c>
      <c r="D148" t="s">
        <v>83</v>
      </c>
      <c r="E148" t="str">
        <f t="shared" si="2"/>
        <v>Goalkeeper</v>
      </c>
      <c r="F148" t="s">
        <v>887</v>
      </c>
      <c r="G148" t="s">
        <v>888</v>
      </c>
      <c r="H148" t="s">
        <v>83</v>
      </c>
    </row>
    <row r="149" spans="1:8" x14ac:dyDescent="0.25">
      <c r="A149" t="s">
        <v>551</v>
      </c>
      <c r="B149" t="s">
        <v>889</v>
      </c>
      <c r="C149" t="s">
        <v>890</v>
      </c>
      <c r="D149" t="s">
        <v>83</v>
      </c>
      <c r="E149" t="str">
        <f t="shared" si="2"/>
        <v>Goalkeeper</v>
      </c>
    </row>
    <row r="150" spans="1:8" x14ac:dyDescent="0.25">
      <c r="A150" t="s">
        <v>558</v>
      </c>
      <c r="E150" t="str">
        <f t="shared" si="2"/>
        <v>Defender</v>
      </c>
    </row>
    <row r="151" spans="1:8" x14ac:dyDescent="0.25">
      <c r="A151" t="s">
        <v>558</v>
      </c>
      <c r="B151" t="s">
        <v>891</v>
      </c>
      <c r="C151" t="s">
        <v>892</v>
      </c>
      <c r="D151" t="s">
        <v>83</v>
      </c>
      <c r="E151" t="str">
        <f t="shared" si="2"/>
        <v>Defender</v>
      </c>
      <c r="F151" t="s">
        <v>893</v>
      </c>
      <c r="G151" t="s">
        <v>894</v>
      </c>
      <c r="H151" t="s">
        <v>83</v>
      </c>
    </row>
    <row r="152" spans="1:8" x14ac:dyDescent="0.25">
      <c r="A152" t="s">
        <v>558</v>
      </c>
      <c r="B152" t="s">
        <v>895</v>
      </c>
      <c r="C152" t="s">
        <v>896</v>
      </c>
      <c r="D152" t="s">
        <v>83</v>
      </c>
      <c r="E152" t="str">
        <f t="shared" si="2"/>
        <v>Defender</v>
      </c>
      <c r="F152" t="s">
        <v>897</v>
      </c>
      <c r="G152" t="s">
        <v>898</v>
      </c>
      <c r="H152" t="s">
        <v>83</v>
      </c>
    </row>
    <row r="153" spans="1:8" x14ac:dyDescent="0.25">
      <c r="A153" t="s">
        <v>558</v>
      </c>
      <c r="B153" t="s">
        <v>899</v>
      </c>
      <c r="C153" t="s">
        <v>900</v>
      </c>
      <c r="D153" t="s">
        <v>83</v>
      </c>
      <c r="E153" t="str">
        <f t="shared" si="2"/>
        <v>Defender</v>
      </c>
      <c r="F153" t="s">
        <v>901</v>
      </c>
      <c r="G153" t="s">
        <v>487</v>
      </c>
      <c r="H153" t="s">
        <v>83</v>
      </c>
    </row>
    <row r="154" spans="1:8" x14ac:dyDescent="0.25">
      <c r="A154" t="s">
        <v>558</v>
      </c>
      <c r="B154" t="s">
        <v>902</v>
      </c>
      <c r="C154" t="s">
        <v>903</v>
      </c>
      <c r="D154" t="s">
        <v>83</v>
      </c>
      <c r="E154" t="str">
        <f t="shared" si="2"/>
        <v>Defender</v>
      </c>
      <c r="F154" t="s">
        <v>904</v>
      </c>
      <c r="G154" t="s">
        <v>905</v>
      </c>
      <c r="H154" t="s">
        <v>83</v>
      </c>
    </row>
    <row r="155" spans="1:8" x14ac:dyDescent="0.25">
      <c r="A155" t="s">
        <v>577</v>
      </c>
      <c r="E155" t="str">
        <f t="shared" si="2"/>
        <v>Midfielder</v>
      </c>
    </row>
    <row r="156" spans="1:8" x14ac:dyDescent="0.25">
      <c r="A156" t="s">
        <v>577</v>
      </c>
      <c r="B156" t="s">
        <v>906</v>
      </c>
      <c r="C156" t="s">
        <v>907</v>
      </c>
      <c r="D156" t="s">
        <v>83</v>
      </c>
      <c r="E156" t="str">
        <f t="shared" si="2"/>
        <v>Midfielder</v>
      </c>
      <c r="F156" t="s">
        <v>908</v>
      </c>
      <c r="G156" t="s">
        <v>909</v>
      </c>
      <c r="H156" t="s">
        <v>83</v>
      </c>
    </row>
    <row r="157" spans="1:8" x14ac:dyDescent="0.25">
      <c r="A157" t="s">
        <v>577</v>
      </c>
      <c r="B157" t="s">
        <v>910</v>
      </c>
      <c r="C157" t="s">
        <v>911</v>
      </c>
      <c r="D157" t="s">
        <v>83</v>
      </c>
      <c r="E157" t="str">
        <f t="shared" si="2"/>
        <v>Midfielder</v>
      </c>
      <c r="F157" t="s">
        <v>912</v>
      </c>
      <c r="G157" t="s">
        <v>913</v>
      </c>
      <c r="H157" t="s">
        <v>83</v>
      </c>
    </row>
    <row r="158" spans="1:8" x14ac:dyDescent="0.25">
      <c r="A158" t="s">
        <v>577</v>
      </c>
      <c r="B158" t="s">
        <v>914</v>
      </c>
      <c r="C158" t="s">
        <v>915</v>
      </c>
      <c r="D158" t="s">
        <v>83</v>
      </c>
      <c r="E158" t="str">
        <f t="shared" si="2"/>
        <v>Midfielder</v>
      </c>
      <c r="F158" t="s">
        <v>916</v>
      </c>
      <c r="G158" t="s">
        <v>917</v>
      </c>
      <c r="H158" t="s">
        <v>83</v>
      </c>
    </row>
    <row r="159" spans="1:8" x14ac:dyDescent="0.25">
      <c r="A159" t="s">
        <v>577</v>
      </c>
      <c r="B159" t="s">
        <v>918</v>
      </c>
      <c r="C159" t="s">
        <v>919</v>
      </c>
      <c r="D159" t="s">
        <v>83</v>
      </c>
      <c r="E159" t="str">
        <f t="shared" si="2"/>
        <v>Midfielder</v>
      </c>
    </row>
    <row r="160" spans="1:8" x14ac:dyDescent="0.25">
      <c r="A160" t="s">
        <v>592</v>
      </c>
      <c r="E160" t="str">
        <f t="shared" si="2"/>
        <v>Forward</v>
      </c>
    </row>
    <row r="161" spans="1:8" x14ac:dyDescent="0.25">
      <c r="A161" t="s">
        <v>592</v>
      </c>
      <c r="B161" t="s">
        <v>920</v>
      </c>
      <c r="C161" t="s">
        <v>921</v>
      </c>
      <c r="D161" t="s">
        <v>83</v>
      </c>
      <c r="E161" t="str">
        <f t="shared" si="2"/>
        <v>Forward</v>
      </c>
      <c r="F161" t="s">
        <v>922</v>
      </c>
      <c r="G161" t="s">
        <v>923</v>
      </c>
      <c r="H161" t="s">
        <v>83</v>
      </c>
    </row>
    <row r="162" spans="1:8" x14ac:dyDescent="0.25">
      <c r="A162" t="s">
        <v>592</v>
      </c>
      <c r="B162" t="s">
        <v>924</v>
      </c>
      <c r="C162" t="s">
        <v>925</v>
      </c>
      <c r="D162" t="s">
        <v>83</v>
      </c>
      <c r="E162" t="str">
        <f t="shared" si="2"/>
        <v>Forward</v>
      </c>
      <c r="F162" t="s">
        <v>926</v>
      </c>
      <c r="G162" t="s">
        <v>927</v>
      </c>
      <c r="H162" t="s">
        <v>83</v>
      </c>
    </row>
    <row r="163" spans="1:8" x14ac:dyDescent="0.25">
      <c r="A163" t="s">
        <v>592</v>
      </c>
      <c r="B163" t="s">
        <v>928</v>
      </c>
      <c r="C163" t="s">
        <v>929</v>
      </c>
      <c r="D163" t="s">
        <v>83</v>
      </c>
      <c r="E163" t="str">
        <f t="shared" si="2"/>
        <v>Forward</v>
      </c>
      <c r="F163" t="s">
        <v>930</v>
      </c>
      <c r="G163" t="s">
        <v>931</v>
      </c>
      <c r="H163" t="s">
        <v>83</v>
      </c>
    </row>
    <row r="164" spans="1:8" x14ac:dyDescent="0.25">
      <c r="A164" t="s">
        <v>592</v>
      </c>
      <c r="B164" t="s">
        <v>932</v>
      </c>
      <c r="C164" t="s">
        <v>933</v>
      </c>
      <c r="D164" t="s">
        <v>83</v>
      </c>
      <c r="E164" t="str">
        <f t="shared" si="2"/>
        <v>Forward</v>
      </c>
    </row>
    <row r="165" spans="1:8" x14ac:dyDescent="0.25">
      <c r="A165" t="s">
        <v>551</v>
      </c>
      <c r="E165" t="str">
        <f t="shared" si="2"/>
        <v>Goalkeeper</v>
      </c>
    </row>
    <row r="166" spans="1:8" x14ac:dyDescent="0.25">
      <c r="A166" t="s">
        <v>551</v>
      </c>
      <c r="B166" t="s">
        <v>934</v>
      </c>
      <c r="C166" t="s">
        <v>935</v>
      </c>
      <c r="D166" t="s">
        <v>100</v>
      </c>
      <c r="E166" t="str">
        <f t="shared" si="2"/>
        <v>Goalkeeper</v>
      </c>
      <c r="F166" t="s">
        <v>936</v>
      </c>
      <c r="G166" t="s">
        <v>937</v>
      </c>
      <c r="H166" t="s">
        <v>100</v>
      </c>
    </row>
    <row r="167" spans="1:8" x14ac:dyDescent="0.25">
      <c r="A167" t="s">
        <v>551</v>
      </c>
      <c r="B167" t="s">
        <v>938</v>
      </c>
      <c r="C167" t="s">
        <v>939</v>
      </c>
      <c r="D167" t="s">
        <v>100</v>
      </c>
      <c r="E167" t="str">
        <f t="shared" si="2"/>
        <v>Goalkeeper</v>
      </c>
    </row>
    <row r="168" spans="1:8" x14ac:dyDescent="0.25">
      <c r="A168" t="s">
        <v>558</v>
      </c>
      <c r="E168" t="str">
        <f t="shared" si="2"/>
        <v>Defender</v>
      </c>
    </row>
    <row r="169" spans="1:8" x14ac:dyDescent="0.25">
      <c r="A169" t="s">
        <v>558</v>
      </c>
      <c r="B169" t="s">
        <v>940</v>
      </c>
      <c r="C169" t="s">
        <v>523</v>
      </c>
      <c r="D169" t="s">
        <v>100</v>
      </c>
      <c r="E169" t="str">
        <f t="shared" si="2"/>
        <v>Defender</v>
      </c>
      <c r="F169" t="s">
        <v>941</v>
      </c>
      <c r="G169" t="s">
        <v>942</v>
      </c>
      <c r="H169" t="s">
        <v>100</v>
      </c>
    </row>
    <row r="170" spans="1:8" x14ac:dyDescent="0.25">
      <c r="A170" t="s">
        <v>558</v>
      </c>
      <c r="B170" t="s">
        <v>943</v>
      </c>
      <c r="C170" t="s">
        <v>944</v>
      </c>
      <c r="D170" t="s">
        <v>100</v>
      </c>
      <c r="E170" t="str">
        <f t="shared" si="2"/>
        <v>Defender</v>
      </c>
      <c r="F170" t="s">
        <v>945</v>
      </c>
      <c r="G170" t="s">
        <v>946</v>
      </c>
      <c r="H170" t="s">
        <v>100</v>
      </c>
    </row>
    <row r="171" spans="1:8" x14ac:dyDescent="0.25">
      <c r="A171" t="s">
        <v>558</v>
      </c>
      <c r="B171" t="s">
        <v>947</v>
      </c>
      <c r="C171" t="s">
        <v>948</v>
      </c>
      <c r="D171" t="s">
        <v>100</v>
      </c>
      <c r="E171" t="str">
        <f t="shared" si="2"/>
        <v>Defender</v>
      </c>
      <c r="F171" t="s">
        <v>949</v>
      </c>
      <c r="G171" t="s">
        <v>950</v>
      </c>
      <c r="H171" t="s">
        <v>100</v>
      </c>
    </row>
    <row r="172" spans="1:8" x14ac:dyDescent="0.25">
      <c r="A172" t="s">
        <v>558</v>
      </c>
      <c r="B172" t="s">
        <v>951</v>
      </c>
      <c r="C172" t="s">
        <v>952</v>
      </c>
      <c r="D172" t="s">
        <v>100</v>
      </c>
      <c r="E172" t="str">
        <f t="shared" si="2"/>
        <v>Defender</v>
      </c>
      <c r="F172" t="s">
        <v>953</v>
      </c>
      <c r="G172" t="s">
        <v>954</v>
      </c>
      <c r="H172" t="s">
        <v>100</v>
      </c>
    </row>
    <row r="173" spans="1:8" x14ac:dyDescent="0.25">
      <c r="A173" t="s">
        <v>577</v>
      </c>
      <c r="E173" t="str">
        <f t="shared" si="2"/>
        <v>Midfielder</v>
      </c>
    </row>
    <row r="174" spans="1:8" x14ac:dyDescent="0.25">
      <c r="A174" t="s">
        <v>577</v>
      </c>
      <c r="B174" t="s">
        <v>955</v>
      </c>
      <c r="C174" t="s">
        <v>956</v>
      </c>
      <c r="D174" t="s">
        <v>100</v>
      </c>
      <c r="E174" t="str">
        <f t="shared" si="2"/>
        <v>Midfielder</v>
      </c>
      <c r="F174" t="s">
        <v>957</v>
      </c>
      <c r="G174" t="s">
        <v>958</v>
      </c>
      <c r="H174" t="s">
        <v>100</v>
      </c>
    </row>
    <row r="175" spans="1:8" x14ac:dyDescent="0.25">
      <c r="A175" t="s">
        <v>577</v>
      </c>
      <c r="B175" t="s">
        <v>959</v>
      </c>
      <c r="C175" t="s">
        <v>960</v>
      </c>
      <c r="D175" t="s">
        <v>100</v>
      </c>
      <c r="E175" t="str">
        <f t="shared" si="2"/>
        <v>Midfielder</v>
      </c>
      <c r="F175" t="s">
        <v>961</v>
      </c>
      <c r="G175" t="s">
        <v>962</v>
      </c>
      <c r="H175" t="s">
        <v>100</v>
      </c>
    </row>
    <row r="176" spans="1:8" x14ac:dyDescent="0.25">
      <c r="A176" t="s">
        <v>577</v>
      </c>
      <c r="B176" t="s">
        <v>963</v>
      </c>
      <c r="C176" t="s">
        <v>964</v>
      </c>
      <c r="D176" t="s">
        <v>100</v>
      </c>
      <c r="E176" t="str">
        <f t="shared" si="2"/>
        <v>Midfielder</v>
      </c>
      <c r="F176" t="s">
        <v>965</v>
      </c>
      <c r="G176" t="s">
        <v>966</v>
      </c>
      <c r="H176" t="s">
        <v>100</v>
      </c>
    </row>
    <row r="177" spans="1:8" x14ac:dyDescent="0.25">
      <c r="A177" t="s">
        <v>577</v>
      </c>
      <c r="B177" t="s">
        <v>967</v>
      </c>
      <c r="C177" t="s">
        <v>968</v>
      </c>
      <c r="D177" t="s">
        <v>100</v>
      </c>
      <c r="E177" t="str">
        <f t="shared" si="2"/>
        <v>Midfielder</v>
      </c>
      <c r="F177" t="s">
        <v>969</v>
      </c>
      <c r="G177" t="s">
        <v>970</v>
      </c>
      <c r="H177" t="s">
        <v>100</v>
      </c>
    </row>
    <row r="178" spans="1:8" x14ac:dyDescent="0.25">
      <c r="A178" t="s">
        <v>577</v>
      </c>
      <c r="B178" t="s">
        <v>971</v>
      </c>
      <c r="C178" t="s">
        <v>972</v>
      </c>
      <c r="D178" t="s">
        <v>100</v>
      </c>
      <c r="E178" t="str">
        <f t="shared" si="2"/>
        <v>Midfielder</v>
      </c>
      <c r="F178" t="s">
        <v>973</v>
      </c>
      <c r="G178" t="s">
        <v>974</v>
      </c>
      <c r="H178" t="s">
        <v>100</v>
      </c>
    </row>
    <row r="179" spans="1:8" x14ac:dyDescent="0.25">
      <c r="A179" t="s">
        <v>592</v>
      </c>
      <c r="E179" t="str">
        <f t="shared" si="2"/>
        <v>Forward</v>
      </c>
    </row>
    <row r="180" spans="1:8" x14ac:dyDescent="0.25">
      <c r="A180" t="s">
        <v>592</v>
      </c>
      <c r="B180" t="s">
        <v>975</v>
      </c>
      <c r="C180" t="s">
        <v>360</v>
      </c>
      <c r="D180" t="s">
        <v>100</v>
      </c>
      <c r="E180" t="str">
        <f t="shared" si="2"/>
        <v>Forward</v>
      </c>
      <c r="F180" t="s">
        <v>976</v>
      </c>
      <c r="G180" t="s">
        <v>977</v>
      </c>
      <c r="H180" t="s">
        <v>100</v>
      </c>
    </row>
    <row r="181" spans="1:8" x14ac:dyDescent="0.25">
      <c r="A181" t="s">
        <v>592</v>
      </c>
      <c r="B181" t="s">
        <v>978</v>
      </c>
      <c r="C181" t="s">
        <v>979</v>
      </c>
      <c r="D181" t="s">
        <v>100</v>
      </c>
      <c r="E181" t="str">
        <f t="shared" si="2"/>
        <v>Forward</v>
      </c>
      <c r="F181" t="s">
        <v>980</v>
      </c>
      <c r="G181" t="s">
        <v>981</v>
      </c>
      <c r="H181" t="s">
        <v>100</v>
      </c>
    </row>
    <row r="182" spans="1:8" x14ac:dyDescent="0.25">
      <c r="A182" t="s">
        <v>592</v>
      </c>
      <c r="B182" t="s">
        <v>982</v>
      </c>
      <c r="C182" t="s">
        <v>983</v>
      </c>
      <c r="D182" t="s">
        <v>100</v>
      </c>
      <c r="E182" t="str">
        <f t="shared" si="2"/>
        <v>Forward</v>
      </c>
    </row>
    <row r="183" spans="1:8" x14ac:dyDescent="0.25">
      <c r="A183" t="s">
        <v>551</v>
      </c>
      <c r="E183" t="str">
        <f t="shared" si="2"/>
        <v>Goalkeeper</v>
      </c>
    </row>
    <row r="184" spans="1:8" x14ac:dyDescent="0.25">
      <c r="A184" t="s">
        <v>551</v>
      </c>
      <c r="B184" t="s">
        <v>984</v>
      </c>
      <c r="C184" t="s">
        <v>985</v>
      </c>
      <c r="D184" t="s">
        <v>96</v>
      </c>
      <c r="E184" t="str">
        <f t="shared" si="2"/>
        <v>Goalkeeper</v>
      </c>
      <c r="F184" t="s">
        <v>986</v>
      </c>
      <c r="G184" t="s">
        <v>987</v>
      </c>
      <c r="H184" t="s">
        <v>96</v>
      </c>
    </row>
    <row r="185" spans="1:8" x14ac:dyDescent="0.25">
      <c r="A185" t="s">
        <v>551</v>
      </c>
      <c r="B185" t="s">
        <v>988</v>
      </c>
      <c r="C185" t="s">
        <v>989</v>
      </c>
      <c r="D185" t="s">
        <v>96</v>
      </c>
      <c r="E185" t="str">
        <f t="shared" si="2"/>
        <v>Goalkeeper</v>
      </c>
    </row>
    <row r="186" spans="1:8" x14ac:dyDescent="0.25">
      <c r="A186" t="s">
        <v>558</v>
      </c>
      <c r="E186" t="str">
        <f t="shared" si="2"/>
        <v>Defender</v>
      </c>
    </row>
    <row r="187" spans="1:8" x14ac:dyDescent="0.25">
      <c r="A187" t="s">
        <v>558</v>
      </c>
      <c r="B187" t="s">
        <v>990</v>
      </c>
      <c r="C187" t="s">
        <v>991</v>
      </c>
      <c r="D187" t="s">
        <v>96</v>
      </c>
      <c r="E187" t="str">
        <f t="shared" si="2"/>
        <v>Defender</v>
      </c>
      <c r="F187" t="s">
        <v>992</v>
      </c>
      <c r="G187" t="s">
        <v>993</v>
      </c>
      <c r="H187" t="s">
        <v>96</v>
      </c>
    </row>
    <row r="188" spans="1:8" x14ac:dyDescent="0.25">
      <c r="A188" t="s">
        <v>558</v>
      </c>
      <c r="B188" t="s">
        <v>994</v>
      </c>
      <c r="C188" t="s">
        <v>995</v>
      </c>
      <c r="D188" t="s">
        <v>96</v>
      </c>
      <c r="E188" t="str">
        <f t="shared" si="2"/>
        <v>Defender</v>
      </c>
      <c r="F188" t="s">
        <v>996</v>
      </c>
      <c r="G188" t="s">
        <v>997</v>
      </c>
      <c r="H188" t="s">
        <v>96</v>
      </c>
    </row>
    <row r="189" spans="1:8" x14ac:dyDescent="0.25">
      <c r="A189" t="s">
        <v>558</v>
      </c>
      <c r="B189" t="s">
        <v>998</v>
      </c>
      <c r="C189" t="s">
        <v>999</v>
      </c>
      <c r="D189" t="s">
        <v>96</v>
      </c>
      <c r="E189" t="str">
        <f t="shared" si="2"/>
        <v>Defender</v>
      </c>
      <c r="F189" t="s">
        <v>1000</v>
      </c>
      <c r="G189" t="s">
        <v>1001</v>
      </c>
      <c r="H189" t="s">
        <v>96</v>
      </c>
    </row>
    <row r="190" spans="1:8" x14ac:dyDescent="0.25">
      <c r="A190" t="s">
        <v>558</v>
      </c>
      <c r="B190" t="s">
        <v>1002</v>
      </c>
      <c r="C190" t="s">
        <v>1003</v>
      </c>
      <c r="D190" t="s">
        <v>96</v>
      </c>
      <c r="E190" t="str">
        <f t="shared" si="2"/>
        <v>Defender</v>
      </c>
      <c r="F190" t="s">
        <v>1004</v>
      </c>
      <c r="G190" t="s">
        <v>1005</v>
      </c>
      <c r="H190" t="s">
        <v>96</v>
      </c>
    </row>
    <row r="191" spans="1:8" x14ac:dyDescent="0.25">
      <c r="A191" t="s">
        <v>577</v>
      </c>
      <c r="E191" t="str">
        <f t="shared" si="2"/>
        <v>Midfielder</v>
      </c>
    </row>
    <row r="192" spans="1:8" x14ac:dyDescent="0.25">
      <c r="A192" t="s">
        <v>577</v>
      </c>
      <c r="B192" t="s">
        <v>1006</v>
      </c>
      <c r="C192" t="s">
        <v>1007</v>
      </c>
      <c r="D192" t="s">
        <v>96</v>
      </c>
      <c r="E192" t="str">
        <f t="shared" si="2"/>
        <v>Midfielder</v>
      </c>
      <c r="F192" t="s">
        <v>1008</v>
      </c>
      <c r="G192" t="s">
        <v>1009</v>
      </c>
      <c r="H192" t="s">
        <v>96</v>
      </c>
    </row>
    <row r="193" spans="1:8" x14ac:dyDescent="0.25">
      <c r="A193" t="s">
        <v>577</v>
      </c>
      <c r="B193" t="s">
        <v>1010</v>
      </c>
      <c r="C193" t="s">
        <v>1011</v>
      </c>
      <c r="D193" t="s">
        <v>96</v>
      </c>
      <c r="E193" t="str">
        <f t="shared" si="2"/>
        <v>Midfielder</v>
      </c>
      <c r="F193" t="s">
        <v>1012</v>
      </c>
      <c r="G193" t="s">
        <v>1013</v>
      </c>
      <c r="H193" t="s">
        <v>96</v>
      </c>
    </row>
    <row r="194" spans="1:8" x14ac:dyDescent="0.25">
      <c r="A194" t="s">
        <v>577</v>
      </c>
      <c r="B194" t="s">
        <v>1014</v>
      </c>
      <c r="C194" t="s">
        <v>1015</v>
      </c>
      <c r="D194" t="s">
        <v>96</v>
      </c>
      <c r="E194" t="str">
        <f t="shared" si="2"/>
        <v>Midfielder</v>
      </c>
      <c r="F194" t="s">
        <v>1016</v>
      </c>
      <c r="G194" t="s">
        <v>1017</v>
      </c>
      <c r="H194" t="s">
        <v>96</v>
      </c>
    </row>
    <row r="195" spans="1:8" x14ac:dyDescent="0.25">
      <c r="A195" t="s">
        <v>577</v>
      </c>
      <c r="B195" t="s">
        <v>1018</v>
      </c>
      <c r="C195" t="s">
        <v>1019</v>
      </c>
      <c r="D195" t="s">
        <v>96</v>
      </c>
      <c r="E195" t="str">
        <f t="shared" ref="E195:E258" si="3">A195</f>
        <v>Midfielder</v>
      </c>
      <c r="F195" t="s">
        <v>1020</v>
      </c>
      <c r="G195" t="s">
        <v>1021</v>
      </c>
      <c r="H195" t="s">
        <v>96</v>
      </c>
    </row>
    <row r="196" spans="1:8" x14ac:dyDescent="0.25">
      <c r="A196" t="s">
        <v>592</v>
      </c>
      <c r="E196" t="str">
        <f t="shared" si="3"/>
        <v>Forward</v>
      </c>
    </row>
    <row r="197" spans="1:8" x14ac:dyDescent="0.25">
      <c r="A197" t="s">
        <v>592</v>
      </c>
      <c r="B197" t="s">
        <v>1022</v>
      </c>
      <c r="C197" t="s">
        <v>1023</v>
      </c>
      <c r="D197" t="s">
        <v>96</v>
      </c>
      <c r="E197" t="str">
        <f t="shared" si="3"/>
        <v>Forward</v>
      </c>
      <c r="F197" t="s">
        <v>1024</v>
      </c>
      <c r="G197" t="s">
        <v>1025</v>
      </c>
      <c r="H197" t="s">
        <v>96</v>
      </c>
    </row>
    <row r="198" spans="1:8" x14ac:dyDescent="0.25">
      <c r="A198" t="s">
        <v>592</v>
      </c>
      <c r="B198" t="s">
        <v>1026</v>
      </c>
      <c r="C198" t="s">
        <v>1027</v>
      </c>
      <c r="D198" t="s">
        <v>96</v>
      </c>
      <c r="E198" t="str">
        <f t="shared" si="3"/>
        <v>Forward</v>
      </c>
      <c r="F198" t="s">
        <v>1028</v>
      </c>
      <c r="G198" t="s">
        <v>1029</v>
      </c>
      <c r="H198" t="s">
        <v>96</v>
      </c>
    </row>
    <row r="199" spans="1:8" x14ac:dyDescent="0.25">
      <c r="A199" t="s">
        <v>592</v>
      </c>
      <c r="B199" t="s">
        <v>1030</v>
      </c>
      <c r="C199" t="s">
        <v>1031</v>
      </c>
      <c r="D199" t="s">
        <v>96</v>
      </c>
      <c r="E199" t="str">
        <f t="shared" si="3"/>
        <v>Forward</v>
      </c>
      <c r="F199" t="s">
        <v>1032</v>
      </c>
      <c r="G199" t="s">
        <v>1033</v>
      </c>
      <c r="H199" t="s">
        <v>96</v>
      </c>
    </row>
    <row r="200" spans="1:8" x14ac:dyDescent="0.25">
      <c r="A200" t="s">
        <v>592</v>
      </c>
      <c r="B200" t="s">
        <v>1034</v>
      </c>
      <c r="C200" t="s">
        <v>1035</v>
      </c>
      <c r="D200" t="s">
        <v>96</v>
      </c>
      <c r="E200" t="str">
        <f t="shared" si="3"/>
        <v>Forward</v>
      </c>
    </row>
    <row r="201" spans="1:8" x14ac:dyDescent="0.25">
      <c r="A201" t="s">
        <v>551</v>
      </c>
      <c r="E201" t="str">
        <f t="shared" si="3"/>
        <v>Goalkeeper</v>
      </c>
    </row>
    <row r="202" spans="1:8" x14ac:dyDescent="0.25">
      <c r="A202" t="s">
        <v>551</v>
      </c>
      <c r="B202" t="s">
        <v>1036</v>
      </c>
      <c r="C202" t="s">
        <v>525</v>
      </c>
      <c r="D202" t="s">
        <v>104</v>
      </c>
      <c r="E202" t="str">
        <f t="shared" si="3"/>
        <v>Goalkeeper</v>
      </c>
      <c r="F202" t="s">
        <v>1037</v>
      </c>
      <c r="G202" t="s">
        <v>1038</v>
      </c>
      <c r="H202" t="s">
        <v>104</v>
      </c>
    </row>
    <row r="203" spans="1:8" x14ac:dyDescent="0.25">
      <c r="A203" t="s">
        <v>551</v>
      </c>
      <c r="B203" t="s">
        <v>1039</v>
      </c>
      <c r="C203" t="s">
        <v>1040</v>
      </c>
      <c r="D203" t="s">
        <v>104</v>
      </c>
      <c r="E203" t="str">
        <f t="shared" si="3"/>
        <v>Goalkeeper</v>
      </c>
    </row>
    <row r="204" spans="1:8" x14ac:dyDescent="0.25">
      <c r="A204" t="s">
        <v>558</v>
      </c>
      <c r="E204" t="str">
        <f t="shared" si="3"/>
        <v>Defender</v>
      </c>
    </row>
    <row r="205" spans="1:8" x14ac:dyDescent="0.25">
      <c r="A205" t="s">
        <v>558</v>
      </c>
      <c r="B205" t="s">
        <v>1041</v>
      </c>
      <c r="C205" t="s">
        <v>1042</v>
      </c>
      <c r="D205" t="s">
        <v>104</v>
      </c>
      <c r="E205" t="str">
        <f t="shared" si="3"/>
        <v>Defender</v>
      </c>
      <c r="F205" t="s">
        <v>1043</v>
      </c>
      <c r="G205" t="s">
        <v>1044</v>
      </c>
      <c r="H205" t="s">
        <v>104</v>
      </c>
    </row>
    <row r="206" spans="1:8" x14ac:dyDescent="0.25">
      <c r="A206" t="s">
        <v>558</v>
      </c>
      <c r="B206" t="s">
        <v>1045</v>
      </c>
      <c r="C206" t="s">
        <v>1046</v>
      </c>
      <c r="D206" t="s">
        <v>104</v>
      </c>
      <c r="E206" t="str">
        <f t="shared" si="3"/>
        <v>Defender</v>
      </c>
      <c r="F206" t="s">
        <v>1047</v>
      </c>
      <c r="G206" t="s">
        <v>458</v>
      </c>
      <c r="H206" t="s">
        <v>104</v>
      </c>
    </row>
    <row r="207" spans="1:8" x14ac:dyDescent="0.25">
      <c r="A207" t="s">
        <v>558</v>
      </c>
      <c r="B207" t="s">
        <v>1048</v>
      </c>
      <c r="C207" t="s">
        <v>394</v>
      </c>
      <c r="D207" t="s">
        <v>104</v>
      </c>
      <c r="E207" t="str">
        <f t="shared" si="3"/>
        <v>Defender</v>
      </c>
      <c r="F207" t="s">
        <v>1049</v>
      </c>
      <c r="G207" t="s">
        <v>1050</v>
      </c>
      <c r="H207" t="s">
        <v>104</v>
      </c>
    </row>
    <row r="208" spans="1:8" x14ac:dyDescent="0.25">
      <c r="A208" t="s">
        <v>558</v>
      </c>
      <c r="B208" t="s">
        <v>1051</v>
      </c>
      <c r="C208" t="s">
        <v>1052</v>
      </c>
      <c r="D208" t="s">
        <v>104</v>
      </c>
      <c r="E208" t="str">
        <f t="shared" si="3"/>
        <v>Defender</v>
      </c>
    </row>
    <row r="209" spans="1:8" x14ac:dyDescent="0.25">
      <c r="A209" t="s">
        <v>577</v>
      </c>
      <c r="E209" t="str">
        <f t="shared" si="3"/>
        <v>Midfielder</v>
      </c>
    </row>
    <row r="210" spans="1:8" x14ac:dyDescent="0.25">
      <c r="A210" t="s">
        <v>577</v>
      </c>
      <c r="B210" t="s">
        <v>1053</v>
      </c>
      <c r="C210" t="s">
        <v>1054</v>
      </c>
      <c r="D210" t="s">
        <v>104</v>
      </c>
      <c r="E210" t="str">
        <f t="shared" si="3"/>
        <v>Midfielder</v>
      </c>
      <c r="F210" t="s">
        <v>1055</v>
      </c>
      <c r="G210" t="s">
        <v>1056</v>
      </c>
      <c r="H210" t="s">
        <v>104</v>
      </c>
    </row>
    <row r="211" spans="1:8" x14ac:dyDescent="0.25">
      <c r="A211" t="s">
        <v>577</v>
      </c>
      <c r="B211" t="s">
        <v>1057</v>
      </c>
      <c r="C211" t="s">
        <v>1058</v>
      </c>
      <c r="D211" t="s">
        <v>104</v>
      </c>
      <c r="E211" t="str">
        <f t="shared" si="3"/>
        <v>Midfielder</v>
      </c>
      <c r="F211" t="s">
        <v>1059</v>
      </c>
      <c r="G211" t="s">
        <v>1060</v>
      </c>
      <c r="H211" t="s">
        <v>104</v>
      </c>
    </row>
    <row r="212" spans="1:8" x14ac:dyDescent="0.25">
      <c r="A212" t="s">
        <v>577</v>
      </c>
      <c r="B212" t="s">
        <v>1061</v>
      </c>
      <c r="C212" t="s">
        <v>1062</v>
      </c>
      <c r="D212" t="s">
        <v>104</v>
      </c>
      <c r="E212" t="str">
        <f t="shared" si="3"/>
        <v>Midfielder</v>
      </c>
      <c r="F212" t="s">
        <v>1063</v>
      </c>
      <c r="G212" t="s">
        <v>1064</v>
      </c>
      <c r="H212" t="s">
        <v>104</v>
      </c>
    </row>
    <row r="213" spans="1:8" x14ac:dyDescent="0.25">
      <c r="A213" t="s">
        <v>577</v>
      </c>
      <c r="B213" t="s">
        <v>1065</v>
      </c>
      <c r="C213" t="s">
        <v>1066</v>
      </c>
      <c r="D213" t="s">
        <v>104</v>
      </c>
      <c r="E213" t="str">
        <f t="shared" si="3"/>
        <v>Midfielder</v>
      </c>
      <c r="F213" t="s">
        <v>1067</v>
      </c>
      <c r="G213" t="s">
        <v>1068</v>
      </c>
      <c r="H213" t="s">
        <v>104</v>
      </c>
    </row>
    <row r="214" spans="1:8" x14ac:dyDescent="0.25">
      <c r="A214" t="s">
        <v>577</v>
      </c>
      <c r="B214" t="s">
        <v>1069</v>
      </c>
      <c r="C214" t="s">
        <v>1070</v>
      </c>
      <c r="D214" t="s">
        <v>104</v>
      </c>
      <c r="E214" t="str">
        <f t="shared" si="3"/>
        <v>Midfielder</v>
      </c>
      <c r="F214" t="s">
        <v>1071</v>
      </c>
      <c r="G214" t="s">
        <v>1072</v>
      </c>
      <c r="H214" t="s">
        <v>104</v>
      </c>
    </row>
    <row r="215" spans="1:8" x14ac:dyDescent="0.25">
      <c r="A215" t="s">
        <v>592</v>
      </c>
      <c r="E215" t="str">
        <f t="shared" si="3"/>
        <v>Forward</v>
      </c>
    </row>
    <row r="216" spans="1:8" x14ac:dyDescent="0.25">
      <c r="A216" t="s">
        <v>592</v>
      </c>
      <c r="B216" t="s">
        <v>1073</v>
      </c>
      <c r="C216" t="s">
        <v>1074</v>
      </c>
      <c r="D216" t="s">
        <v>104</v>
      </c>
      <c r="E216" t="str">
        <f t="shared" si="3"/>
        <v>Forward</v>
      </c>
      <c r="F216" t="s">
        <v>1075</v>
      </c>
      <c r="G216" t="s">
        <v>1076</v>
      </c>
      <c r="H216" t="s">
        <v>104</v>
      </c>
    </row>
    <row r="217" spans="1:8" x14ac:dyDescent="0.25">
      <c r="A217" t="s">
        <v>592</v>
      </c>
      <c r="B217" t="s">
        <v>1077</v>
      </c>
      <c r="C217" t="s">
        <v>1078</v>
      </c>
      <c r="D217" t="s">
        <v>104</v>
      </c>
      <c r="E217" t="str">
        <f t="shared" si="3"/>
        <v>Forward</v>
      </c>
      <c r="F217" t="s">
        <v>1079</v>
      </c>
      <c r="G217" t="s">
        <v>1080</v>
      </c>
      <c r="H217" t="s">
        <v>104</v>
      </c>
    </row>
    <row r="218" spans="1:8" x14ac:dyDescent="0.25">
      <c r="A218" t="s">
        <v>592</v>
      </c>
      <c r="B218" t="s">
        <v>1081</v>
      </c>
      <c r="C218" t="s">
        <v>1082</v>
      </c>
      <c r="D218" t="s">
        <v>104</v>
      </c>
      <c r="E218" t="str">
        <f t="shared" si="3"/>
        <v>Forward</v>
      </c>
      <c r="F218" t="s">
        <v>1083</v>
      </c>
      <c r="G218" t="s">
        <v>1084</v>
      </c>
      <c r="H218" t="s">
        <v>104</v>
      </c>
    </row>
    <row r="219" spans="1:8" x14ac:dyDescent="0.25">
      <c r="A219" t="s">
        <v>551</v>
      </c>
      <c r="E219" t="str">
        <f t="shared" si="3"/>
        <v>Goalkeeper</v>
      </c>
    </row>
    <row r="220" spans="1:8" x14ac:dyDescent="0.25">
      <c r="A220" t="s">
        <v>551</v>
      </c>
      <c r="B220" t="s">
        <v>1085</v>
      </c>
      <c r="C220" t="s">
        <v>1086</v>
      </c>
      <c r="D220" t="s">
        <v>1087</v>
      </c>
      <c r="E220" t="str">
        <f t="shared" si="3"/>
        <v>Goalkeeper</v>
      </c>
      <c r="F220" t="s">
        <v>1088</v>
      </c>
      <c r="G220" t="s">
        <v>1089</v>
      </c>
      <c r="H220" t="s">
        <v>1087</v>
      </c>
    </row>
    <row r="221" spans="1:8" x14ac:dyDescent="0.25">
      <c r="A221" t="s">
        <v>551</v>
      </c>
      <c r="B221" t="s">
        <v>1090</v>
      </c>
      <c r="C221" t="s">
        <v>1091</v>
      </c>
      <c r="D221" t="s">
        <v>1087</v>
      </c>
      <c r="E221" t="str">
        <f t="shared" si="3"/>
        <v>Goalkeeper</v>
      </c>
    </row>
    <row r="222" spans="1:8" x14ac:dyDescent="0.25">
      <c r="A222" t="s">
        <v>558</v>
      </c>
      <c r="E222" t="str">
        <f t="shared" si="3"/>
        <v>Defender</v>
      </c>
    </row>
    <row r="223" spans="1:8" x14ac:dyDescent="0.25">
      <c r="A223" t="s">
        <v>558</v>
      </c>
      <c r="B223" t="s">
        <v>1092</v>
      </c>
      <c r="C223" t="s">
        <v>1093</v>
      </c>
      <c r="D223" t="s">
        <v>1087</v>
      </c>
      <c r="E223" t="str">
        <f t="shared" si="3"/>
        <v>Defender</v>
      </c>
      <c r="F223" t="s">
        <v>1094</v>
      </c>
      <c r="G223" t="s">
        <v>1095</v>
      </c>
      <c r="H223" t="s">
        <v>1087</v>
      </c>
    </row>
    <row r="224" spans="1:8" x14ac:dyDescent="0.25">
      <c r="A224" t="s">
        <v>558</v>
      </c>
      <c r="B224" t="s">
        <v>1096</v>
      </c>
      <c r="C224" t="s">
        <v>1097</v>
      </c>
      <c r="D224" t="s">
        <v>1087</v>
      </c>
      <c r="E224" t="str">
        <f t="shared" si="3"/>
        <v>Defender</v>
      </c>
      <c r="F224" t="s">
        <v>1098</v>
      </c>
      <c r="G224" t="s">
        <v>1099</v>
      </c>
      <c r="H224" t="s">
        <v>1087</v>
      </c>
    </row>
    <row r="225" spans="1:8" x14ac:dyDescent="0.25">
      <c r="A225" t="s">
        <v>558</v>
      </c>
      <c r="B225" t="s">
        <v>1100</v>
      </c>
      <c r="C225" t="s">
        <v>1101</v>
      </c>
      <c r="D225" t="s">
        <v>1087</v>
      </c>
      <c r="E225" t="str">
        <f t="shared" si="3"/>
        <v>Defender</v>
      </c>
      <c r="F225" t="s">
        <v>1102</v>
      </c>
      <c r="G225" t="s">
        <v>1103</v>
      </c>
      <c r="H225" t="s">
        <v>1087</v>
      </c>
    </row>
    <row r="226" spans="1:8" x14ac:dyDescent="0.25">
      <c r="A226" t="s">
        <v>558</v>
      </c>
      <c r="B226" t="s">
        <v>1104</v>
      </c>
      <c r="C226" t="s">
        <v>1105</v>
      </c>
      <c r="D226" t="s">
        <v>1087</v>
      </c>
      <c r="E226" t="str">
        <f t="shared" si="3"/>
        <v>Defender</v>
      </c>
      <c r="F226" t="s">
        <v>1106</v>
      </c>
      <c r="G226" t="s">
        <v>1107</v>
      </c>
      <c r="H226" t="s">
        <v>1087</v>
      </c>
    </row>
    <row r="227" spans="1:8" x14ac:dyDescent="0.25">
      <c r="A227" t="s">
        <v>558</v>
      </c>
      <c r="B227" t="s">
        <v>1108</v>
      </c>
      <c r="C227" t="s">
        <v>1109</v>
      </c>
      <c r="D227" t="s">
        <v>1087</v>
      </c>
      <c r="E227" t="str">
        <f t="shared" si="3"/>
        <v>Defender</v>
      </c>
    </row>
    <row r="228" spans="1:8" x14ac:dyDescent="0.25">
      <c r="A228" t="s">
        <v>577</v>
      </c>
      <c r="E228" t="str">
        <f t="shared" si="3"/>
        <v>Midfielder</v>
      </c>
    </row>
    <row r="229" spans="1:8" x14ac:dyDescent="0.25">
      <c r="A229" t="s">
        <v>577</v>
      </c>
      <c r="B229" t="s">
        <v>1110</v>
      </c>
      <c r="C229" t="s">
        <v>1111</v>
      </c>
      <c r="D229" t="s">
        <v>1087</v>
      </c>
      <c r="E229" t="str">
        <f t="shared" si="3"/>
        <v>Midfielder</v>
      </c>
      <c r="F229" t="s">
        <v>1112</v>
      </c>
      <c r="G229" t="s">
        <v>1113</v>
      </c>
      <c r="H229" t="s">
        <v>1087</v>
      </c>
    </row>
    <row r="230" spans="1:8" x14ac:dyDescent="0.25">
      <c r="A230" t="s">
        <v>577</v>
      </c>
      <c r="B230" t="s">
        <v>1114</v>
      </c>
      <c r="C230" t="s">
        <v>1115</v>
      </c>
      <c r="D230" t="s">
        <v>1087</v>
      </c>
      <c r="E230" t="str">
        <f t="shared" si="3"/>
        <v>Midfielder</v>
      </c>
      <c r="F230" t="s">
        <v>1116</v>
      </c>
      <c r="G230" t="s">
        <v>1117</v>
      </c>
      <c r="H230" t="s">
        <v>1087</v>
      </c>
    </row>
    <row r="231" spans="1:8" x14ac:dyDescent="0.25">
      <c r="A231" t="s">
        <v>577</v>
      </c>
      <c r="B231" t="s">
        <v>1118</v>
      </c>
      <c r="C231" t="s">
        <v>1119</v>
      </c>
      <c r="D231" t="s">
        <v>1087</v>
      </c>
      <c r="E231" t="str">
        <f t="shared" si="3"/>
        <v>Midfielder</v>
      </c>
      <c r="F231" t="s">
        <v>1120</v>
      </c>
      <c r="G231" t="s">
        <v>1121</v>
      </c>
      <c r="H231" t="s">
        <v>1087</v>
      </c>
    </row>
    <row r="232" spans="1:8" x14ac:dyDescent="0.25">
      <c r="A232" t="s">
        <v>577</v>
      </c>
      <c r="B232" t="s">
        <v>1122</v>
      </c>
      <c r="C232" t="s">
        <v>1123</v>
      </c>
      <c r="D232" t="s">
        <v>1087</v>
      </c>
      <c r="E232" t="str">
        <f t="shared" si="3"/>
        <v>Midfielder</v>
      </c>
    </row>
    <row r="233" spans="1:8" x14ac:dyDescent="0.25">
      <c r="A233" t="s">
        <v>592</v>
      </c>
      <c r="E233" t="str">
        <f t="shared" si="3"/>
        <v>Forward</v>
      </c>
    </row>
    <row r="234" spans="1:8" x14ac:dyDescent="0.25">
      <c r="A234" t="s">
        <v>592</v>
      </c>
      <c r="B234" t="s">
        <v>1124</v>
      </c>
      <c r="C234" t="s">
        <v>1125</v>
      </c>
      <c r="D234" t="s">
        <v>1087</v>
      </c>
      <c r="E234" t="str">
        <f t="shared" si="3"/>
        <v>Forward</v>
      </c>
      <c r="F234" t="s">
        <v>1126</v>
      </c>
      <c r="G234" t="s">
        <v>1127</v>
      </c>
      <c r="H234" t="s">
        <v>1087</v>
      </c>
    </row>
    <row r="235" spans="1:8" x14ac:dyDescent="0.25">
      <c r="A235" t="s">
        <v>592</v>
      </c>
      <c r="B235" t="s">
        <v>1128</v>
      </c>
      <c r="C235" t="s">
        <v>1129</v>
      </c>
      <c r="D235" t="s">
        <v>1087</v>
      </c>
      <c r="E235" t="str">
        <f t="shared" si="3"/>
        <v>Forward</v>
      </c>
      <c r="F235" t="s">
        <v>1130</v>
      </c>
      <c r="G235" t="s">
        <v>1131</v>
      </c>
      <c r="H235" t="s">
        <v>1087</v>
      </c>
    </row>
    <row r="236" spans="1:8" x14ac:dyDescent="0.25">
      <c r="A236" t="s">
        <v>592</v>
      </c>
      <c r="B236" t="s">
        <v>1132</v>
      </c>
      <c r="C236" t="s">
        <v>1133</v>
      </c>
      <c r="D236" t="s">
        <v>1087</v>
      </c>
      <c r="E236" t="str">
        <f t="shared" si="3"/>
        <v>Forward</v>
      </c>
      <c r="F236" t="s">
        <v>1134</v>
      </c>
      <c r="G236" t="s">
        <v>1135</v>
      </c>
      <c r="H236" t="s">
        <v>1087</v>
      </c>
    </row>
    <row r="237" spans="1:8" x14ac:dyDescent="0.25">
      <c r="A237" t="s">
        <v>592</v>
      </c>
      <c r="B237" t="s">
        <v>1136</v>
      </c>
      <c r="C237" t="s">
        <v>1137</v>
      </c>
      <c r="D237" t="s">
        <v>1087</v>
      </c>
      <c r="E237" t="str">
        <f t="shared" si="3"/>
        <v>Forward</v>
      </c>
    </row>
    <row r="238" spans="1:8" x14ac:dyDescent="0.25">
      <c r="A238" t="s">
        <v>551</v>
      </c>
      <c r="E238" t="str">
        <f t="shared" si="3"/>
        <v>Goalkeeper</v>
      </c>
    </row>
    <row r="239" spans="1:8" x14ac:dyDescent="0.25">
      <c r="A239" t="s">
        <v>551</v>
      </c>
      <c r="B239" t="s">
        <v>1138</v>
      </c>
      <c r="C239" t="s">
        <v>1139</v>
      </c>
      <c r="D239" t="s">
        <v>152</v>
      </c>
      <c r="E239" t="str">
        <f t="shared" si="3"/>
        <v>Goalkeeper</v>
      </c>
      <c r="F239" t="s">
        <v>1140</v>
      </c>
      <c r="G239" t="s">
        <v>1141</v>
      </c>
      <c r="H239" t="s">
        <v>152</v>
      </c>
    </row>
    <row r="240" spans="1:8" x14ac:dyDescent="0.25">
      <c r="A240" t="s">
        <v>551</v>
      </c>
      <c r="B240" t="s">
        <v>1142</v>
      </c>
      <c r="C240" t="s">
        <v>1143</v>
      </c>
      <c r="D240" t="s">
        <v>152</v>
      </c>
      <c r="E240" t="str">
        <f t="shared" si="3"/>
        <v>Goalkeeper</v>
      </c>
    </row>
    <row r="241" spans="1:8" x14ac:dyDescent="0.25">
      <c r="A241" t="s">
        <v>558</v>
      </c>
      <c r="E241" t="str">
        <f t="shared" si="3"/>
        <v>Defender</v>
      </c>
    </row>
    <row r="242" spans="1:8" x14ac:dyDescent="0.25">
      <c r="A242" t="s">
        <v>558</v>
      </c>
      <c r="B242" t="s">
        <v>1144</v>
      </c>
      <c r="C242" t="s">
        <v>1145</v>
      </c>
      <c r="D242" t="s">
        <v>152</v>
      </c>
      <c r="E242" t="str">
        <f t="shared" si="3"/>
        <v>Defender</v>
      </c>
      <c r="F242" t="s">
        <v>1146</v>
      </c>
      <c r="G242" t="s">
        <v>1147</v>
      </c>
      <c r="H242" t="s">
        <v>152</v>
      </c>
    </row>
    <row r="243" spans="1:8" x14ac:dyDescent="0.25">
      <c r="A243" t="s">
        <v>558</v>
      </c>
      <c r="B243" t="s">
        <v>1148</v>
      </c>
      <c r="C243" t="s">
        <v>1149</v>
      </c>
      <c r="D243" t="s">
        <v>152</v>
      </c>
      <c r="E243" t="str">
        <f t="shared" si="3"/>
        <v>Defender</v>
      </c>
      <c r="F243" t="s">
        <v>1150</v>
      </c>
      <c r="G243" t="s">
        <v>1151</v>
      </c>
      <c r="H243" t="s">
        <v>152</v>
      </c>
    </row>
    <row r="244" spans="1:8" x14ac:dyDescent="0.25">
      <c r="A244" t="s">
        <v>558</v>
      </c>
      <c r="B244" t="s">
        <v>1152</v>
      </c>
      <c r="C244" t="s">
        <v>1153</v>
      </c>
      <c r="D244" t="s">
        <v>152</v>
      </c>
      <c r="E244" t="str">
        <f t="shared" si="3"/>
        <v>Defender</v>
      </c>
      <c r="F244" t="s">
        <v>1154</v>
      </c>
      <c r="G244" t="s">
        <v>1155</v>
      </c>
      <c r="H244" t="s">
        <v>152</v>
      </c>
    </row>
    <row r="245" spans="1:8" x14ac:dyDescent="0.25">
      <c r="A245" t="s">
        <v>558</v>
      </c>
      <c r="B245" t="s">
        <v>1156</v>
      </c>
      <c r="C245" t="s">
        <v>1157</v>
      </c>
      <c r="D245" t="s">
        <v>152</v>
      </c>
      <c r="E245" t="str">
        <f t="shared" si="3"/>
        <v>Defender</v>
      </c>
      <c r="F245" t="s">
        <v>1158</v>
      </c>
      <c r="G245" t="s">
        <v>1159</v>
      </c>
      <c r="H245" t="s">
        <v>152</v>
      </c>
    </row>
    <row r="246" spans="1:8" x14ac:dyDescent="0.25">
      <c r="A246" t="s">
        <v>577</v>
      </c>
      <c r="E246" t="str">
        <f t="shared" si="3"/>
        <v>Midfielder</v>
      </c>
    </row>
    <row r="247" spans="1:8" x14ac:dyDescent="0.25">
      <c r="A247" t="s">
        <v>577</v>
      </c>
      <c r="B247" t="s">
        <v>1160</v>
      </c>
      <c r="C247" t="s">
        <v>1161</v>
      </c>
      <c r="D247" t="s">
        <v>152</v>
      </c>
      <c r="E247" t="str">
        <f t="shared" si="3"/>
        <v>Midfielder</v>
      </c>
      <c r="F247" t="s">
        <v>1162</v>
      </c>
      <c r="G247" t="s">
        <v>1163</v>
      </c>
      <c r="H247" t="s">
        <v>152</v>
      </c>
    </row>
    <row r="248" spans="1:8" x14ac:dyDescent="0.25">
      <c r="A248" t="s">
        <v>577</v>
      </c>
      <c r="B248" t="s">
        <v>1164</v>
      </c>
      <c r="C248" t="s">
        <v>1165</v>
      </c>
      <c r="D248" t="s">
        <v>152</v>
      </c>
      <c r="E248" t="str">
        <f t="shared" si="3"/>
        <v>Midfielder</v>
      </c>
      <c r="F248" t="s">
        <v>1166</v>
      </c>
      <c r="G248" t="s">
        <v>1167</v>
      </c>
      <c r="H248" t="s">
        <v>152</v>
      </c>
    </row>
    <row r="249" spans="1:8" x14ac:dyDescent="0.25">
      <c r="A249" t="s">
        <v>577</v>
      </c>
      <c r="B249" t="s">
        <v>1168</v>
      </c>
      <c r="C249" t="s">
        <v>1169</v>
      </c>
      <c r="D249" t="s">
        <v>152</v>
      </c>
      <c r="E249" t="str">
        <f t="shared" si="3"/>
        <v>Midfielder</v>
      </c>
      <c r="F249" t="s">
        <v>1170</v>
      </c>
      <c r="G249" t="s">
        <v>1171</v>
      </c>
      <c r="H249" t="s">
        <v>152</v>
      </c>
    </row>
    <row r="250" spans="1:8" x14ac:dyDescent="0.25">
      <c r="A250" t="s">
        <v>577</v>
      </c>
      <c r="B250" t="s">
        <v>1172</v>
      </c>
      <c r="C250" t="s">
        <v>1173</v>
      </c>
      <c r="D250" t="s">
        <v>152</v>
      </c>
      <c r="E250" t="str">
        <f t="shared" si="3"/>
        <v>Midfielder</v>
      </c>
      <c r="F250" t="s">
        <v>1174</v>
      </c>
      <c r="G250" t="s">
        <v>1175</v>
      </c>
      <c r="H250" t="s">
        <v>152</v>
      </c>
    </row>
    <row r="251" spans="1:8" x14ac:dyDescent="0.25">
      <c r="A251" t="s">
        <v>577</v>
      </c>
      <c r="B251" t="s">
        <v>1176</v>
      </c>
      <c r="C251" t="s">
        <v>1177</v>
      </c>
      <c r="D251" t="s">
        <v>152</v>
      </c>
      <c r="E251" t="str">
        <f t="shared" si="3"/>
        <v>Midfielder</v>
      </c>
      <c r="F251" t="s">
        <v>1178</v>
      </c>
      <c r="G251" t="s">
        <v>1179</v>
      </c>
      <c r="H251" t="s">
        <v>152</v>
      </c>
    </row>
    <row r="252" spans="1:8" x14ac:dyDescent="0.25">
      <c r="A252" t="s">
        <v>592</v>
      </c>
      <c r="E252" t="str">
        <f t="shared" si="3"/>
        <v>Forward</v>
      </c>
    </row>
    <row r="253" spans="1:8" x14ac:dyDescent="0.25">
      <c r="A253" t="s">
        <v>592</v>
      </c>
      <c r="B253" t="s">
        <v>1180</v>
      </c>
      <c r="C253" t="s">
        <v>1181</v>
      </c>
      <c r="D253" t="s">
        <v>152</v>
      </c>
      <c r="E253" t="str">
        <f t="shared" si="3"/>
        <v>Forward</v>
      </c>
      <c r="F253" t="s">
        <v>1182</v>
      </c>
      <c r="G253" t="s">
        <v>1183</v>
      </c>
      <c r="H253" t="s">
        <v>152</v>
      </c>
    </row>
    <row r="254" spans="1:8" x14ac:dyDescent="0.25">
      <c r="A254" t="s">
        <v>592</v>
      </c>
      <c r="B254" t="s">
        <v>1184</v>
      </c>
      <c r="C254" t="s">
        <v>1185</v>
      </c>
      <c r="D254" t="s">
        <v>152</v>
      </c>
      <c r="E254" t="str">
        <f t="shared" si="3"/>
        <v>Forward</v>
      </c>
      <c r="F254" t="s">
        <v>1186</v>
      </c>
      <c r="G254" t="s">
        <v>1187</v>
      </c>
      <c r="H254" t="s">
        <v>152</v>
      </c>
    </row>
    <row r="255" spans="1:8" x14ac:dyDescent="0.25">
      <c r="A255" t="s">
        <v>592</v>
      </c>
      <c r="B255" t="s">
        <v>1188</v>
      </c>
      <c r="C255" t="s">
        <v>1189</v>
      </c>
      <c r="D255" t="s">
        <v>152</v>
      </c>
      <c r="E255" t="str">
        <f t="shared" si="3"/>
        <v>Forward</v>
      </c>
    </row>
    <row r="256" spans="1:8" x14ac:dyDescent="0.25">
      <c r="A256" t="s">
        <v>551</v>
      </c>
      <c r="E256" t="str">
        <f t="shared" si="3"/>
        <v>Goalkeeper</v>
      </c>
    </row>
    <row r="257" spans="1:8" x14ac:dyDescent="0.25">
      <c r="A257" t="s">
        <v>551</v>
      </c>
      <c r="B257" t="s">
        <v>1190</v>
      </c>
      <c r="C257" t="s">
        <v>1191</v>
      </c>
      <c r="D257" t="s">
        <v>65</v>
      </c>
      <c r="E257" t="str">
        <f t="shared" si="3"/>
        <v>Goalkeeper</v>
      </c>
      <c r="F257" t="s">
        <v>1192</v>
      </c>
      <c r="G257" t="s">
        <v>1193</v>
      </c>
      <c r="H257" t="s">
        <v>65</v>
      </c>
    </row>
    <row r="258" spans="1:8" x14ac:dyDescent="0.25">
      <c r="A258" t="s">
        <v>551</v>
      </c>
      <c r="B258" t="s">
        <v>1194</v>
      </c>
      <c r="C258" t="s">
        <v>1195</v>
      </c>
      <c r="D258" t="s">
        <v>65</v>
      </c>
      <c r="E258" t="str">
        <f t="shared" si="3"/>
        <v>Goalkeeper</v>
      </c>
    </row>
    <row r="259" spans="1:8" x14ac:dyDescent="0.25">
      <c r="A259" t="s">
        <v>558</v>
      </c>
      <c r="E259" t="str">
        <f t="shared" ref="E259:E322" si="4">A259</f>
        <v>Defender</v>
      </c>
    </row>
    <row r="260" spans="1:8" x14ac:dyDescent="0.25">
      <c r="A260" t="s">
        <v>558</v>
      </c>
      <c r="B260" t="s">
        <v>1196</v>
      </c>
      <c r="C260" t="s">
        <v>1197</v>
      </c>
      <c r="D260" t="s">
        <v>65</v>
      </c>
      <c r="E260" t="str">
        <f t="shared" si="4"/>
        <v>Defender</v>
      </c>
      <c r="F260" t="s">
        <v>1198</v>
      </c>
      <c r="G260" t="s">
        <v>1199</v>
      </c>
      <c r="H260" t="s">
        <v>65</v>
      </c>
    </row>
    <row r="261" spans="1:8" x14ac:dyDescent="0.25">
      <c r="A261" t="s">
        <v>558</v>
      </c>
      <c r="B261" t="s">
        <v>1200</v>
      </c>
      <c r="C261" t="s">
        <v>1201</v>
      </c>
      <c r="D261" t="s">
        <v>65</v>
      </c>
      <c r="E261" t="str">
        <f t="shared" si="4"/>
        <v>Defender</v>
      </c>
      <c r="F261" t="s">
        <v>1202</v>
      </c>
      <c r="G261" t="s">
        <v>1203</v>
      </c>
      <c r="H261" t="s">
        <v>65</v>
      </c>
    </row>
    <row r="262" spans="1:8" x14ac:dyDescent="0.25">
      <c r="A262" t="s">
        <v>558</v>
      </c>
      <c r="B262" t="s">
        <v>1204</v>
      </c>
      <c r="C262" t="s">
        <v>1205</v>
      </c>
      <c r="D262" t="s">
        <v>65</v>
      </c>
      <c r="E262" t="str">
        <f t="shared" si="4"/>
        <v>Defender</v>
      </c>
      <c r="F262" t="s">
        <v>1206</v>
      </c>
      <c r="G262" t="s">
        <v>1207</v>
      </c>
      <c r="H262" t="s">
        <v>65</v>
      </c>
    </row>
    <row r="263" spans="1:8" x14ac:dyDescent="0.25">
      <c r="A263" t="s">
        <v>558</v>
      </c>
      <c r="B263" t="s">
        <v>1208</v>
      </c>
      <c r="C263" t="s">
        <v>1209</v>
      </c>
      <c r="D263" t="s">
        <v>65</v>
      </c>
      <c r="E263" t="str">
        <f t="shared" si="4"/>
        <v>Defender</v>
      </c>
      <c r="F263" t="s">
        <v>1210</v>
      </c>
      <c r="G263" t="s">
        <v>1211</v>
      </c>
      <c r="H263" t="s">
        <v>65</v>
      </c>
    </row>
    <row r="264" spans="1:8" x14ac:dyDescent="0.25">
      <c r="A264" t="s">
        <v>577</v>
      </c>
      <c r="E264" t="str">
        <f t="shared" si="4"/>
        <v>Midfielder</v>
      </c>
    </row>
    <row r="265" spans="1:8" x14ac:dyDescent="0.25">
      <c r="A265" t="s">
        <v>577</v>
      </c>
      <c r="B265" t="s">
        <v>1212</v>
      </c>
      <c r="C265" t="s">
        <v>1213</v>
      </c>
      <c r="D265" t="s">
        <v>65</v>
      </c>
      <c r="E265" t="str">
        <f t="shared" si="4"/>
        <v>Midfielder</v>
      </c>
      <c r="F265" t="s">
        <v>1214</v>
      </c>
      <c r="G265" t="s">
        <v>533</v>
      </c>
      <c r="H265" t="s">
        <v>65</v>
      </c>
    </row>
    <row r="266" spans="1:8" x14ac:dyDescent="0.25">
      <c r="A266" t="s">
        <v>577</v>
      </c>
      <c r="B266" t="s">
        <v>1215</v>
      </c>
      <c r="C266" t="s">
        <v>1216</v>
      </c>
      <c r="D266" t="s">
        <v>65</v>
      </c>
      <c r="E266" t="str">
        <f t="shared" si="4"/>
        <v>Midfielder</v>
      </c>
      <c r="F266" t="s">
        <v>1217</v>
      </c>
      <c r="G266" t="s">
        <v>1218</v>
      </c>
      <c r="H266" t="s">
        <v>65</v>
      </c>
    </row>
    <row r="267" spans="1:8" x14ac:dyDescent="0.25">
      <c r="A267" t="s">
        <v>577</v>
      </c>
      <c r="B267" t="s">
        <v>1219</v>
      </c>
      <c r="C267" t="s">
        <v>1220</v>
      </c>
      <c r="D267" t="s">
        <v>65</v>
      </c>
      <c r="E267" t="str">
        <f t="shared" si="4"/>
        <v>Midfielder</v>
      </c>
      <c r="F267" t="s">
        <v>1221</v>
      </c>
      <c r="G267" t="s">
        <v>1222</v>
      </c>
      <c r="H267" t="s">
        <v>65</v>
      </c>
    </row>
    <row r="268" spans="1:8" x14ac:dyDescent="0.25">
      <c r="A268" t="s">
        <v>592</v>
      </c>
      <c r="E268" t="str">
        <f t="shared" si="4"/>
        <v>Forward</v>
      </c>
    </row>
    <row r="269" spans="1:8" x14ac:dyDescent="0.25">
      <c r="A269" t="s">
        <v>592</v>
      </c>
      <c r="B269" t="s">
        <v>1223</v>
      </c>
      <c r="C269" t="s">
        <v>1224</v>
      </c>
      <c r="D269" t="s">
        <v>65</v>
      </c>
      <c r="E269" t="str">
        <f t="shared" si="4"/>
        <v>Forward</v>
      </c>
      <c r="F269" t="s">
        <v>1225</v>
      </c>
      <c r="G269" t="s">
        <v>1226</v>
      </c>
      <c r="H269" t="s">
        <v>65</v>
      </c>
    </row>
    <row r="270" spans="1:8" x14ac:dyDescent="0.25">
      <c r="A270" t="s">
        <v>592</v>
      </c>
      <c r="B270" t="s">
        <v>1227</v>
      </c>
      <c r="C270" t="s">
        <v>1228</v>
      </c>
      <c r="D270" t="s">
        <v>65</v>
      </c>
      <c r="E270" t="str">
        <f t="shared" si="4"/>
        <v>Forward</v>
      </c>
      <c r="F270" t="s">
        <v>1229</v>
      </c>
      <c r="G270" t="s">
        <v>1230</v>
      </c>
      <c r="H270" t="s">
        <v>65</v>
      </c>
    </row>
    <row r="271" spans="1:8" x14ac:dyDescent="0.25">
      <c r="A271" t="s">
        <v>592</v>
      </c>
      <c r="B271" t="s">
        <v>1231</v>
      </c>
      <c r="C271" t="s">
        <v>1232</v>
      </c>
      <c r="D271" t="s">
        <v>65</v>
      </c>
      <c r="E271" t="str">
        <f t="shared" si="4"/>
        <v>Forward</v>
      </c>
      <c r="F271" t="s">
        <v>1233</v>
      </c>
      <c r="G271" t="s">
        <v>1234</v>
      </c>
      <c r="H271" t="s">
        <v>65</v>
      </c>
    </row>
    <row r="272" spans="1:8" x14ac:dyDescent="0.25">
      <c r="A272" t="s">
        <v>592</v>
      </c>
      <c r="B272" t="s">
        <v>1235</v>
      </c>
      <c r="C272" t="s">
        <v>1236</v>
      </c>
      <c r="D272" t="s">
        <v>65</v>
      </c>
      <c r="E272" t="str">
        <f t="shared" si="4"/>
        <v>Forward</v>
      </c>
      <c r="F272" t="s">
        <v>1237</v>
      </c>
      <c r="G272" t="s">
        <v>1238</v>
      </c>
      <c r="H272" t="s">
        <v>65</v>
      </c>
    </row>
    <row r="273" spans="1:8" x14ac:dyDescent="0.25">
      <c r="A273" t="s">
        <v>592</v>
      </c>
      <c r="B273" t="s">
        <v>1239</v>
      </c>
      <c r="C273" t="s">
        <v>1240</v>
      </c>
      <c r="D273" t="s">
        <v>65</v>
      </c>
      <c r="E273" t="str">
        <f t="shared" si="4"/>
        <v>Forward</v>
      </c>
    </row>
    <row r="274" spans="1:8" x14ac:dyDescent="0.25">
      <c r="A274" t="s">
        <v>551</v>
      </c>
      <c r="E274" t="str">
        <f t="shared" si="4"/>
        <v>Goalkeeper</v>
      </c>
    </row>
    <row r="275" spans="1:8" x14ac:dyDescent="0.25">
      <c r="A275" t="s">
        <v>551</v>
      </c>
      <c r="B275" t="s">
        <v>1241</v>
      </c>
      <c r="C275" t="s">
        <v>1242</v>
      </c>
      <c r="D275" t="s">
        <v>146</v>
      </c>
      <c r="E275" t="str">
        <f t="shared" si="4"/>
        <v>Goalkeeper</v>
      </c>
      <c r="F275" t="s">
        <v>1243</v>
      </c>
      <c r="G275" t="s">
        <v>1244</v>
      </c>
      <c r="H275" t="s">
        <v>146</v>
      </c>
    </row>
    <row r="276" spans="1:8" x14ac:dyDescent="0.25">
      <c r="A276" t="s">
        <v>551</v>
      </c>
      <c r="B276" t="s">
        <v>1245</v>
      </c>
      <c r="C276" t="s">
        <v>1246</v>
      </c>
      <c r="D276" t="s">
        <v>146</v>
      </c>
      <c r="E276" t="str">
        <f t="shared" si="4"/>
        <v>Goalkeeper</v>
      </c>
    </row>
    <row r="277" spans="1:8" x14ac:dyDescent="0.25">
      <c r="A277" t="s">
        <v>558</v>
      </c>
      <c r="E277" t="str">
        <f t="shared" si="4"/>
        <v>Defender</v>
      </c>
    </row>
    <row r="278" spans="1:8" x14ac:dyDescent="0.25">
      <c r="A278" t="s">
        <v>558</v>
      </c>
      <c r="B278" t="s">
        <v>1247</v>
      </c>
      <c r="C278" t="s">
        <v>1248</v>
      </c>
      <c r="D278" t="s">
        <v>146</v>
      </c>
      <c r="E278" t="str">
        <f t="shared" si="4"/>
        <v>Defender</v>
      </c>
      <c r="F278" t="s">
        <v>1249</v>
      </c>
      <c r="G278" t="s">
        <v>1250</v>
      </c>
      <c r="H278" t="s">
        <v>146</v>
      </c>
    </row>
    <row r="279" spans="1:8" x14ac:dyDescent="0.25">
      <c r="A279" t="s">
        <v>558</v>
      </c>
      <c r="B279" t="s">
        <v>1251</v>
      </c>
      <c r="C279" t="s">
        <v>1252</v>
      </c>
      <c r="D279" t="s">
        <v>146</v>
      </c>
      <c r="E279" t="str">
        <f t="shared" si="4"/>
        <v>Defender</v>
      </c>
      <c r="F279" t="s">
        <v>1253</v>
      </c>
      <c r="G279" t="s">
        <v>1254</v>
      </c>
      <c r="H279" t="s">
        <v>146</v>
      </c>
    </row>
    <row r="280" spans="1:8" x14ac:dyDescent="0.25">
      <c r="A280" t="s">
        <v>558</v>
      </c>
      <c r="B280" t="s">
        <v>1255</v>
      </c>
      <c r="C280" t="s">
        <v>1256</v>
      </c>
      <c r="D280" t="s">
        <v>146</v>
      </c>
      <c r="E280" t="str">
        <f t="shared" si="4"/>
        <v>Defender</v>
      </c>
      <c r="F280" t="s">
        <v>1257</v>
      </c>
      <c r="G280" t="s">
        <v>1258</v>
      </c>
      <c r="H280" t="s">
        <v>146</v>
      </c>
    </row>
    <row r="281" spans="1:8" x14ac:dyDescent="0.25">
      <c r="A281" t="s">
        <v>558</v>
      </c>
      <c r="B281" t="s">
        <v>1259</v>
      </c>
      <c r="C281" t="s">
        <v>1260</v>
      </c>
      <c r="D281" t="s">
        <v>146</v>
      </c>
      <c r="E281" t="str">
        <f t="shared" si="4"/>
        <v>Defender</v>
      </c>
      <c r="F281" t="s">
        <v>1261</v>
      </c>
      <c r="G281" t="s">
        <v>1262</v>
      </c>
      <c r="H281" t="s">
        <v>146</v>
      </c>
    </row>
    <row r="282" spans="1:8" x14ac:dyDescent="0.25">
      <c r="A282" t="s">
        <v>577</v>
      </c>
      <c r="E282" t="str">
        <f t="shared" si="4"/>
        <v>Midfielder</v>
      </c>
    </row>
    <row r="283" spans="1:8" x14ac:dyDescent="0.25">
      <c r="A283" t="s">
        <v>577</v>
      </c>
      <c r="B283" t="s">
        <v>1263</v>
      </c>
      <c r="C283" t="s">
        <v>1264</v>
      </c>
      <c r="D283" t="s">
        <v>146</v>
      </c>
      <c r="E283" t="str">
        <f t="shared" si="4"/>
        <v>Midfielder</v>
      </c>
      <c r="F283" t="s">
        <v>1265</v>
      </c>
      <c r="G283" t="s">
        <v>1266</v>
      </c>
      <c r="H283" t="s">
        <v>146</v>
      </c>
    </row>
    <row r="284" spans="1:8" x14ac:dyDescent="0.25">
      <c r="A284" t="s">
        <v>577</v>
      </c>
      <c r="B284" t="s">
        <v>1267</v>
      </c>
      <c r="C284" t="s">
        <v>1268</v>
      </c>
      <c r="D284" t="s">
        <v>146</v>
      </c>
      <c r="E284" t="str">
        <f t="shared" si="4"/>
        <v>Midfielder</v>
      </c>
      <c r="F284" t="s">
        <v>1269</v>
      </c>
      <c r="G284" t="s">
        <v>1270</v>
      </c>
      <c r="H284" t="s">
        <v>146</v>
      </c>
    </row>
    <row r="285" spans="1:8" x14ac:dyDescent="0.25">
      <c r="A285" t="s">
        <v>577</v>
      </c>
      <c r="B285" t="s">
        <v>1271</v>
      </c>
      <c r="C285" t="s">
        <v>1272</v>
      </c>
      <c r="D285" t="s">
        <v>146</v>
      </c>
      <c r="E285" t="str">
        <f t="shared" si="4"/>
        <v>Midfielder</v>
      </c>
      <c r="F285" t="s">
        <v>1273</v>
      </c>
      <c r="G285" t="s">
        <v>1274</v>
      </c>
      <c r="H285" t="s">
        <v>146</v>
      </c>
    </row>
    <row r="286" spans="1:8" x14ac:dyDescent="0.25">
      <c r="A286" t="s">
        <v>592</v>
      </c>
      <c r="E286" t="str">
        <f t="shared" si="4"/>
        <v>Forward</v>
      </c>
    </row>
    <row r="287" spans="1:8" x14ac:dyDescent="0.25">
      <c r="A287" t="s">
        <v>592</v>
      </c>
      <c r="B287" t="s">
        <v>1275</v>
      </c>
      <c r="C287" t="s">
        <v>1276</v>
      </c>
      <c r="D287" t="s">
        <v>146</v>
      </c>
      <c r="E287" t="str">
        <f t="shared" si="4"/>
        <v>Forward</v>
      </c>
      <c r="F287" t="s">
        <v>1277</v>
      </c>
      <c r="G287" t="s">
        <v>1278</v>
      </c>
      <c r="H287" t="s">
        <v>146</v>
      </c>
    </row>
    <row r="288" spans="1:8" x14ac:dyDescent="0.25">
      <c r="A288" t="s">
        <v>592</v>
      </c>
      <c r="B288" t="s">
        <v>1279</v>
      </c>
      <c r="C288" t="s">
        <v>1280</v>
      </c>
      <c r="D288" t="s">
        <v>146</v>
      </c>
      <c r="E288" t="str">
        <f t="shared" si="4"/>
        <v>Forward</v>
      </c>
      <c r="F288" t="s">
        <v>1281</v>
      </c>
      <c r="G288" t="s">
        <v>1282</v>
      </c>
      <c r="H288" t="s">
        <v>146</v>
      </c>
    </row>
    <row r="289" spans="1:8" x14ac:dyDescent="0.25">
      <c r="A289" t="s">
        <v>592</v>
      </c>
      <c r="B289" t="s">
        <v>1283</v>
      </c>
      <c r="C289" t="s">
        <v>1284</v>
      </c>
      <c r="D289" t="s">
        <v>146</v>
      </c>
      <c r="E289" t="str">
        <f t="shared" si="4"/>
        <v>Forward</v>
      </c>
      <c r="F289" t="s">
        <v>1285</v>
      </c>
      <c r="G289" t="s">
        <v>1286</v>
      </c>
      <c r="H289" t="s">
        <v>146</v>
      </c>
    </row>
    <row r="290" spans="1:8" x14ac:dyDescent="0.25">
      <c r="A290" t="s">
        <v>592</v>
      </c>
      <c r="B290" t="s">
        <v>1287</v>
      </c>
      <c r="C290" t="s">
        <v>1288</v>
      </c>
      <c r="D290" t="s">
        <v>146</v>
      </c>
      <c r="E290" t="str">
        <f t="shared" si="4"/>
        <v>Forward</v>
      </c>
      <c r="F290" t="s">
        <v>1289</v>
      </c>
      <c r="G290" t="s">
        <v>1290</v>
      </c>
      <c r="H290" t="s">
        <v>146</v>
      </c>
    </row>
    <row r="291" spans="1:8" x14ac:dyDescent="0.25">
      <c r="A291" t="s">
        <v>592</v>
      </c>
      <c r="B291" t="s">
        <v>1291</v>
      </c>
      <c r="C291" t="s">
        <v>1292</v>
      </c>
      <c r="D291" t="s">
        <v>146</v>
      </c>
      <c r="E291" t="str">
        <f t="shared" si="4"/>
        <v>Forward</v>
      </c>
    </row>
    <row r="292" spans="1:8" x14ac:dyDescent="0.25">
      <c r="A292" t="s">
        <v>551</v>
      </c>
      <c r="E292" t="str">
        <f t="shared" si="4"/>
        <v>Goalkeeper</v>
      </c>
    </row>
    <row r="293" spans="1:8" x14ac:dyDescent="0.25">
      <c r="A293" t="s">
        <v>551</v>
      </c>
      <c r="B293" t="s">
        <v>1293</v>
      </c>
      <c r="C293" t="s">
        <v>1293</v>
      </c>
      <c r="D293" t="s">
        <v>46</v>
      </c>
      <c r="E293" t="str">
        <f t="shared" si="4"/>
        <v>Goalkeeper</v>
      </c>
      <c r="F293" t="s">
        <v>1294</v>
      </c>
      <c r="G293" t="s">
        <v>1294</v>
      </c>
      <c r="H293" t="s">
        <v>46</v>
      </c>
    </row>
    <row r="294" spans="1:8" x14ac:dyDescent="0.25">
      <c r="A294" t="s">
        <v>551</v>
      </c>
      <c r="B294" t="s">
        <v>1295</v>
      </c>
      <c r="C294" t="s">
        <v>1295</v>
      </c>
      <c r="D294" t="s">
        <v>46</v>
      </c>
      <c r="E294" t="str">
        <f t="shared" si="4"/>
        <v>Goalkeeper</v>
      </c>
      <c r="F294" t="s">
        <v>1296</v>
      </c>
      <c r="G294" t="s">
        <v>1296</v>
      </c>
      <c r="H294" t="s">
        <v>46</v>
      </c>
    </row>
    <row r="295" spans="1:8" x14ac:dyDescent="0.25">
      <c r="A295" t="s">
        <v>558</v>
      </c>
      <c r="E295" t="str">
        <f t="shared" si="4"/>
        <v>Defender</v>
      </c>
    </row>
    <row r="296" spans="1:8" x14ac:dyDescent="0.25">
      <c r="A296" t="s">
        <v>558</v>
      </c>
      <c r="B296" t="s">
        <v>1297</v>
      </c>
      <c r="C296" t="s">
        <v>1297</v>
      </c>
      <c r="D296" t="s">
        <v>46</v>
      </c>
      <c r="E296" t="str">
        <f t="shared" si="4"/>
        <v>Defender</v>
      </c>
      <c r="F296" t="s">
        <v>1298</v>
      </c>
      <c r="G296" t="s">
        <v>1298</v>
      </c>
      <c r="H296" t="s">
        <v>46</v>
      </c>
    </row>
    <row r="297" spans="1:8" x14ac:dyDescent="0.25">
      <c r="A297" t="s">
        <v>558</v>
      </c>
      <c r="B297" t="s">
        <v>1299</v>
      </c>
      <c r="C297" t="s">
        <v>1299</v>
      </c>
      <c r="D297" t="s">
        <v>46</v>
      </c>
      <c r="E297" t="str">
        <f t="shared" si="4"/>
        <v>Defender</v>
      </c>
      <c r="F297" t="s">
        <v>1300</v>
      </c>
      <c r="G297" t="s">
        <v>1300</v>
      </c>
      <c r="H297" t="s">
        <v>46</v>
      </c>
    </row>
    <row r="298" spans="1:8" x14ac:dyDescent="0.25">
      <c r="A298" t="s">
        <v>558</v>
      </c>
      <c r="B298" t="s">
        <v>1301</v>
      </c>
      <c r="C298" t="s">
        <v>1301</v>
      </c>
      <c r="D298" t="s">
        <v>46</v>
      </c>
      <c r="E298" t="str">
        <f t="shared" si="4"/>
        <v>Defender</v>
      </c>
      <c r="F298" t="s">
        <v>1302</v>
      </c>
      <c r="G298" t="s">
        <v>1302</v>
      </c>
      <c r="H298" t="s">
        <v>46</v>
      </c>
    </row>
    <row r="299" spans="1:8" x14ac:dyDescent="0.25">
      <c r="A299" t="s">
        <v>558</v>
      </c>
      <c r="B299" t="s">
        <v>1303</v>
      </c>
      <c r="C299" t="s">
        <v>1303</v>
      </c>
      <c r="D299" t="s">
        <v>46</v>
      </c>
      <c r="E299" t="str">
        <f t="shared" si="4"/>
        <v>Defender</v>
      </c>
      <c r="F299" t="s">
        <v>1304</v>
      </c>
      <c r="G299" t="s">
        <v>1304</v>
      </c>
      <c r="H299" t="s">
        <v>46</v>
      </c>
    </row>
    <row r="300" spans="1:8" x14ac:dyDescent="0.25">
      <c r="A300" t="s">
        <v>577</v>
      </c>
      <c r="E300" t="str">
        <f t="shared" si="4"/>
        <v>Midfielder</v>
      </c>
    </row>
    <row r="301" spans="1:8" x14ac:dyDescent="0.25">
      <c r="A301" t="s">
        <v>577</v>
      </c>
      <c r="B301" t="s">
        <v>1305</v>
      </c>
      <c r="C301" t="s">
        <v>1305</v>
      </c>
      <c r="D301" t="s">
        <v>46</v>
      </c>
      <c r="E301" t="str">
        <f t="shared" si="4"/>
        <v>Midfielder</v>
      </c>
      <c r="F301" t="s">
        <v>1306</v>
      </c>
      <c r="G301" t="s">
        <v>1306</v>
      </c>
      <c r="H301" t="s">
        <v>46</v>
      </c>
    </row>
    <row r="302" spans="1:8" x14ac:dyDescent="0.25">
      <c r="A302" t="s">
        <v>577</v>
      </c>
      <c r="B302" t="s">
        <v>1307</v>
      </c>
      <c r="C302" t="s">
        <v>1307</v>
      </c>
      <c r="D302" t="s">
        <v>46</v>
      </c>
      <c r="E302" t="str">
        <f t="shared" si="4"/>
        <v>Midfielder</v>
      </c>
      <c r="F302" t="s">
        <v>1308</v>
      </c>
      <c r="G302" t="s">
        <v>1308</v>
      </c>
      <c r="H302" t="s">
        <v>46</v>
      </c>
    </row>
    <row r="303" spans="1:8" x14ac:dyDescent="0.25">
      <c r="A303" t="s">
        <v>577</v>
      </c>
      <c r="B303" t="s">
        <v>1309</v>
      </c>
      <c r="C303" t="s">
        <v>1309</v>
      </c>
      <c r="D303" t="s">
        <v>46</v>
      </c>
      <c r="E303" t="str">
        <f t="shared" si="4"/>
        <v>Midfielder</v>
      </c>
      <c r="F303" t="s">
        <v>1310</v>
      </c>
      <c r="G303" t="s">
        <v>1310</v>
      </c>
      <c r="H303" t="s">
        <v>46</v>
      </c>
    </row>
    <row r="304" spans="1:8" x14ac:dyDescent="0.25">
      <c r="A304" t="s">
        <v>577</v>
      </c>
      <c r="B304" t="s">
        <v>1311</v>
      </c>
      <c r="C304" t="s">
        <v>1311</v>
      </c>
      <c r="D304" t="s">
        <v>46</v>
      </c>
      <c r="E304" t="str">
        <f t="shared" si="4"/>
        <v>Midfielder</v>
      </c>
    </row>
    <row r="305" spans="1:8" x14ac:dyDescent="0.25">
      <c r="A305" t="s">
        <v>592</v>
      </c>
      <c r="E305" t="str">
        <f t="shared" si="4"/>
        <v>Forward</v>
      </c>
    </row>
    <row r="306" spans="1:8" x14ac:dyDescent="0.25">
      <c r="A306" t="s">
        <v>592</v>
      </c>
      <c r="B306" t="s">
        <v>1312</v>
      </c>
      <c r="C306" t="s">
        <v>1312</v>
      </c>
      <c r="D306" t="s">
        <v>46</v>
      </c>
      <c r="E306" t="str">
        <f t="shared" si="4"/>
        <v>Forward</v>
      </c>
      <c r="F306" t="s">
        <v>1313</v>
      </c>
      <c r="G306" t="s">
        <v>1313</v>
      </c>
      <c r="H306" t="s">
        <v>46</v>
      </c>
    </row>
    <row r="307" spans="1:8" x14ac:dyDescent="0.25">
      <c r="A307" t="s">
        <v>592</v>
      </c>
      <c r="B307" t="s">
        <v>1314</v>
      </c>
      <c r="C307" t="s">
        <v>1314</v>
      </c>
      <c r="D307" t="s">
        <v>46</v>
      </c>
      <c r="E307" t="str">
        <f t="shared" si="4"/>
        <v>Forward</v>
      </c>
      <c r="F307" t="s">
        <v>1315</v>
      </c>
      <c r="G307" t="s">
        <v>1315</v>
      </c>
      <c r="H307" t="s">
        <v>46</v>
      </c>
    </row>
    <row r="308" spans="1:8" x14ac:dyDescent="0.25">
      <c r="A308" t="s">
        <v>592</v>
      </c>
      <c r="B308" t="s">
        <v>418</v>
      </c>
      <c r="C308" t="s">
        <v>418</v>
      </c>
      <c r="D308" t="s">
        <v>46</v>
      </c>
      <c r="E308" t="str">
        <f t="shared" si="4"/>
        <v>Forward</v>
      </c>
      <c r="F308" t="s">
        <v>1316</v>
      </c>
      <c r="G308" t="s">
        <v>1316</v>
      </c>
      <c r="H308" t="s">
        <v>46</v>
      </c>
    </row>
    <row r="309" spans="1:8" x14ac:dyDescent="0.25">
      <c r="A309" t="s">
        <v>592</v>
      </c>
      <c r="B309" t="s">
        <v>1317</v>
      </c>
      <c r="C309" t="s">
        <v>1317</v>
      </c>
      <c r="D309" t="s">
        <v>46</v>
      </c>
      <c r="E309" t="str">
        <f t="shared" si="4"/>
        <v>Forward</v>
      </c>
    </row>
    <row r="310" spans="1:8" x14ac:dyDescent="0.25">
      <c r="A310" t="s">
        <v>551</v>
      </c>
      <c r="E310" t="str">
        <f t="shared" si="4"/>
        <v>Goalkeeper</v>
      </c>
    </row>
    <row r="311" spans="1:8" x14ac:dyDescent="0.25">
      <c r="A311" t="s">
        <v>551</v>
      </c>
      <c r="B311" t="s">
        <v>1318</v>
      </c>
      <c r="C311" t="s">
        <v>334</v>
      </c>
      <c r="D311" t="s">
        <v>109</v>
      </c>
      <c r="E311" t="str">
        <f t="shared" si="4"/>
        <v>Goalkeeper</v>
      </c>
      <c r="F311" t="s">
        <v>1319</v>
      </c>
      <c r="G311" t="s">
        <v>1320</v>
      </c>
      <c r="H311" t="s">
        <v>109</v>
      </c>
    </row>
    <row r="312" spans="1:8" x14ac:dyDescent="0.25">
      <c r="A312" t="s">
        <v>551</v>
      </c>
      <c r="B312" t="s">
        <v>1321</v>
      </c>
      <c r="C312" t="s">
        <v>1322</v>
      </c>
      <c r="D312" t="s">
        <v>109</v>
      </c>
      <c r="E312" t="str">
        <f t="shared" si="4"/>
        <v>Goalkeeper</v>
      </c>
    </row>
    <row r="313" spans="1:8" x14ac:dyDescent="0.25">
      <c r="A313" t="s">
        <v>558</v>
      </c>
      <c r="E313" t="str">
        <f t="shared" si="4"/>
        <v>Defender</v>
      </c>
    </row>
    <row r="314" spans="1:8" x14ac:dyDescent="0.25">
      <c r="A314" t="s">
        <v>558</v>
      </c>
      <c r="B314" t="s">
        <v>1323</v>
      </c>
      <c r="C314" t="s">
        <v>442</v>
      </c>
      <c r="D314" t="s">
        <v>109</v>
      </c>
      <c r="E314" t="str">
        <f t="shared" si="4"/>
        <v>Defender</v>
      </c>
      <c r="F314" t="s">
        <v>1324</v>
      </c>
      <c r="G314" t="s">
        <v>1325</v>
      </c>
      <c r="H314" t="s">
        <v>109</v>
      </c>
    </row>
    <row r="315" spans="1:8" x14ac:dyDescent="0.25">
      <c r="A315" t="s">
        <v>558</v>
      </c>
      <c r="B315" t="s">
        <v>1326</v>
      </c>
      <c r="C315" t="s">
        <v>350</v>
      </c>
      <c r="D315" t="s">
        <v>109</v>
      </c>
      <c r="E315" t="str">
        <f t="shared" si="4"/>
        <v>Defender</v>
      </c>
      <c r="F315" t="s">
        <v>1327</v>
      </c>
      <c r="G315" t="s">
        <v>450</v>
      </c>
      <c r="H315" t="s">
        <v>109</v>
      </c>
    </row>
    <row r="316" spans="1:8" x14ac:dyDescent="0.25">
      <c r="A316" t="s">
        <v>558</v>
      </c>
      <c r="B316" t="s">
        <v>1328</v>
      </c>
      <c r="C316" t="s">
        <v>454</v>
      </c>
      <c r="D316" t="s">
        <v>109</v>
      </c>
      <c r="E316" t="str">
        <f t="shared" si="4"/>
        <v>Defender</v>
      </c>
      <c r="F316" t="s">
        <v>1329</v>
      </c>
      <c r="G316" t="s">
        <v>1330</v>
      </c>
      <c r="H316" t="s">
        <v>109</v>
      </c>
    </row>
    <row r="317" spans="1:8" x14ac:dyDescent="0.25">
      <c r="A317" t="s">
        <v>558</v>
      </c>
      <c r="B317" t="s">
        <v>1331</v>
      </c>
      <c r="C317" t="s">
        <v>356</v>
      </c>
      <c r="D317" t="s">
        <v>109</v>
      </c>
      <c r="E317" t="str">
        <f t="shared" si="4"/>
        <v>Defender</v>
      </c>
      <c r="F317" t="s">
        <v>1332</v>
      </c>
      <c r="G317" t="s">
        <v>1333</v>
      </c>
      <c r="H317" t="s">
        <v>109</v>
      </c>
    </row>
    <row r="318" spans="1:8" x14ac:dyDescent="0.25">
      <c r="A318" t="s">
        <v>558</v>
      </c>
      <c r="B318" t="s">
        <v>1334</v>
      </c>
      <c r="C318" t="s">
        <v>1335</v>
      </c>
      <c r="D318" t="s">
        <v>109</v>
      </c>
      <c r="E318" t="str">
        <f t="shared" si="4"/>
        <v>Defender</v>
      </c>
    </row>
    <row r="319" spans="1:8" x14ac:dyDescent="0.25">
      <c r="A319" t="s">
        <v>577</v>
      </c>
      <c r="E319" t="str">
        <f t="shared" si="4"/>
        <v>Midfielder</v>
      </c>
    </row>
    <row r="320" spans="1:8" x14ac:dyDescent="0.25">
      <c r="A320" t="s">
        <v>577</v>
      </c>
      <c r="B320" t="s">
        <v>1336</v>
      </c>
      <c r="C320" t="s">
        <v>380</v>
      </c>
      <c r="D320" t="s">
        <v>109</v>
      </c>
      <c r="E320" t="str">
        <f t="shared" si="4"/>
        <v>Midfielder</v>
      </c>
      <c r="F320" t="s">
        <v>1337</v>
      </c>
      <c r="G320" t="s">
        <v>1338</v>
      </c>
      <c r="H320" t="s">
        <v>109</v>
      </c>
    </row>
    <row r="321" spans="1:8" x14ac:dyDescent="0.25">
      <c r="A321" t="s">
        <v>577</v>
      </c>
      <c r="B321" t="s">
        <v>1339</v>
      </c>
      <c r="C321" t="s">
        <v>396</v>
      </c>
      <c r="D321" t="s">
        <v>109</v>
      </c>
      <c r="E321" t="str">
        <f t="shared" si="4"/>
        <v>Midfielder</v>
      </c>
      <c r="F321" t="s">
        <v>1340</v>
      </c>
      <c r="G321" t="s">
        <v>1341</v>
      </c>
      <c r="H321" t="s">
        <v>109</v>
      </c>
    </row>
    <row r="322" spans="1:8" x14ac:dyDescent="0.25">
      <c r="A322" t="s">
        <v>577</v>
      </c>
      <c r="B322" t="s">
        <v>1342</v>
      </c>
      <c r="C322" t="s">
        <v>312</v>
      </c>
      <c r="D322" t="s">
        <v>109</v>
      </c>
      <c r="E322" t="str">
        <f t="shared" si="4"/>
        <v>Midfielder</v>
      </c>
      <c r="F322" t="s">
        <v>1343</v>
      </c>
      <c r="G322" t="s">
        <v>1344</v>
      </c>
      <c r="H322" t="s">
        <v>109</v>
      </c>
    </row>
    <row r="323" spans="1:8" x14ac:dyDescent="0.25">
      <c r="A323" t="s">
        <v>592</v>
      </c>
      <c r="E323" t="str">
        <f t="shared" ref="E323:E386" si="5">A323</f>
        <v>Forward</v>
      </c>
    </row>
    <row r="324" spans="1:8" x14ac:dyDescent="0.25">
      <c r="A324" t="s">
        <v>592</v>
      </c>
      <c r="B324" t="s">
        <v>1345</v>
      </c>
      <c r="C324" t="s">
        <v>318</v>
      </c>
      <c r="D324" t="s">
        <v>109</v>
      </c>
      <c r="E324" t="str">
        <f t="shared" si="5"/>
        <v>Forward</v>
      </c>
      <c r="F324" t="s">
        <v>1346</v>
      </c>
      <c r="G324" t="s">
        <v>1347</v>
      </c>
      <c r="H324" t="s">
        <v>109</v>
      </c>
    </row>
    <row r="325" spans="1:8" x14ac:dyDescent="0.25">
      <c r="A325" t="s">
        <v>592</v>
      </c>
      <c r="B325" t="s">
        <v>1348</v>
      </c>
      <c r="C325" t="s">
        <v>278</v>
      </c>
      <c r="D325" t="s">
        <v>109</v>
      </c>
      <c r="E325" t="str">
        <f t="shared" si="5"/>
        <v>Forward</v>
      </c>
      <c r="F325" t="s">
        <v>1349</v>
      </c>
      <c r="G325" t="s">
        <v>515</v>
      </c>
      <c r="H325" t="s">
        <v>109</v>
      </c>
    </row>
    <row r="326" spans="1:8" x14ac:dyDescent="0.25">
      <c r="A326" t="s">
        <v>592</v>
      </c>
      <c r="B326" t="s">
        <v>1350</v>
      </c>
      <c r="C326" t="s">
        <v>499</v>
      </c>
      <c r="D326" t="s">
        <v>109</v>
      </c>
      <c r="E326" t="str">
        <f t="shared" si="5"/>
        <v>Forward</v>
      </c>
      <c r="F326" t="s">
        <v>1351</v>
      </c>
      <c r="G326" t="s">
        <v>1352</v>
      </c>
      <c r="H326" t="s">
        <v>109</v>
      </c>
    </row>
    <row r="327" spans="1:8" x14ac:dyDescent="0.25">
      <c r="A327" t="s">
        <v>592</v>
      </c>
      <c r="B327" t="s">
        <v>1353</v>
      </c>
      <c r="C327" t="s">
        <v>495</v>
      </c>
      <c r="D327" t="s">
        <v>109</v>
      </c>
      <c r="E327" t="str">
        <f t="shared" si="5"/>
        <v>Forward</v>
      </c>
      <c r="F327" t="s">
        <v>1354</v>
      </c>
      <c r="G327" t="s">
        <v>1355</v>
      </c>
      <c r="H327" t="s">
        <v>109</v>
      </c>
    </row>
    <row r="328" spans="1:8" x14ac:dyDescent="0.25">
      <c r="A328" t="s">
        <v>551</v>
      </c>
      <c r="E328" t="str">
        <f t="shared" si="5"/>
        <v>Goalkeeper</v>
      </c>
    </row>
    <row r="329" spans="1:8" x14ac:dyDescent="0.25">
      <c r="A329" t="s">
        <v>551</v>
      </c>
      <c r="B329" t="s">
        <v>1356</v>
      </c>
      <c r="C329" t="s">
        <v>1357</v>
      </c>
      <c r="D329" t="s">
        <v>61</v>
      </c>
      <c r="E329" t="str">
        <f t="shared" si="5"/>
        <v>Goalkeeper</v>
      </c>
      <c r="F329" t="s">
        <v>1358</v>
      </c>
      <c r="G329" t="s">
        <v>1359</v>
      </c>
      <c r="H329" t="s">
        <v>61</v>
      </c>
    </row>
    <row r="330" spans="1:8" x14ac:dyDescent="0.25">
      <c r="A330" t="s">
        <v>551</v>
      </c>
      <c r="B330" t="s">
        <v>1360</v>
      </c>
      <c r="C330" t="s">
        <v>368</v>
      </c>
      <c r="D330" t="s">
        <v>61</v>
      </c>
      <c r="E330" t="str">
        <f t="shared" si="5"/>
        <v>Goalkeeper</v>
      </c>
    </row>
    <row r="331" spans="1:8" x14ac:dyDescent="0.25">
      <c r="A331" t="s">
        <v>558</v>
      </c>
      <c r="E331" t="str">
        <f t="shared" si="5"/>
        <v>Defender</v>
      </c>
    </row>
    <row r="332" spans="1:8" x14ac:dyDescent="0.25">
      <c r="A332" t="s">
        <v>558</v>
      </c>
      <c r="B332" t="s">
        <v>1361</v>
      </c>
      <c r="C332" t="s">
        <v>1362</v>
      </c>
      <c r="D332" t="s">
        <v>61</v>
      </c>
      <c r="E332" t="str">
        <f t="shared" si="5"/>
        <v>Defender</v>
      </c>
      <c r="F332" t="s">
        <v>1363</v>
      </c>
      <c r="G332" t="s">
        <v>376</v>
      </c>
      <c r="H332" t="s">
        <v>61</v>
      </c>
    </row>
    <row r="333" spans="1:8" x14ac:dyDescent="0.25">
      <c r="A333" t="s">
        <v>558</v>
      </c>
      <c r="B333" t="s">
        <v>1364</v>
      </c>
      <c r="C333" t="s">
        <v>1365</v>
      </c>
      <c r="D333" t="s">
        <v>61</v>
      </c>
      <c r="E333" t="str">
        <f t="shared" si="5"/>
        <v>Defender</v>
      </c>
      <c r="F333" t="s">
        <v>1366</v>
      </c>
      <c r="G333" t="s">
        <v>336</v>
      </c>
      <c r="H333" t="s">
        <v>61</v>
      </c>
    </row>
    <row r="334" spans="1:8" x14ac:dyDescent="0.25">
      <c r="A334" t="s">
        <v>558</v>
      </c>
      <c r="B334" t="s">
        <v>1367</v>
      </c>
      <c r="C334" t="s">
        <v>467</v>
      </c>
      <c r="D334" t="s">
        <v>61</v>
      </c>
      <c r="E334" t="str">
        <f t="shared" si="5"/>
        <v>Defender</v>
      </c>
      <c r="F334" t="s">
        <v>1368</v>
      </c>
      <c r="G334" t="s">
        <v>1369</v>
      </c>
      <c r="H334" t="s">
        <v>61</v>
      </c>
    </row>
    <row r="335" spans="1:8" x14ac:dyDescent="0.25">
      <c r="A335" t="s">
        <v>558</v>
      </c>
      <c r="B335" t="s">
        <v>1370</v>
      </c>
      <c r="C335" t="s">
        <v>358</v>
      </c>
      <c r="D335" t="s">
        <v>61</v>
      </c>
      <c r="E335" t="str">
        <f t="shared" si="5"/>
        <v>Defender</v>
      </c>
      <c r="F335" t="s">
        <v>1371</v>
      </c>
      <c r="G335" t="s">
        <v>1372</v>
      </c>
      <c r="H335" t="s">
        <v>61</v>
      </c>
    </row>
    <row r="336" spans="1:8" x14ac:dyDescent="0.25">
      <c r="A336" t="s">
        <v>558</v>
      </c>
      <c r="B336" t="s">
        <v>1373</v>
      </c>
      <c r="C336" t="s">
        <v>1374</v>
      </c>
      <c r="D336" t="s">
        <v>61</v>
      </c>
      <c r="E336" t="str">
        <f t="shared" si="5"/>
        <v>Defender</v>
      </c>
    </row>
    <row r="337" spans="1:8" x14ac:dyDescent="0.25">
      <c r="A337" t="s">
        <v>577</v>
      </c>
      <c r="E337" t="str">
        <f t="shared" si="5"/>
        <v>Midfielder</v>
      </c>
    </row>
    <row r="338" spans="1:8" x14ac:dyDescent="0.25">
      <c r="A338" t="s">
        <v>577</v>
      </c>
      <c r="B338" t="s">
        <v>1375</v>
      </c>
      <c r="C338" t="s">
        <v>1195</v>
      </c>
      <c r="D338" t="s">
        <v>61</v>
      </c>
      <c r="E338" t="str">
        <f t="shared" si="5"/>
        <v>Midfielder</v>
      </c>
      <c r="F338" t="s">
        <v>1376</v>
      </c>
      <c r="G338" t="s">
        <v>1377</v>
      </c>
      <c r="H338" t="s">
        <v>61</v>
      </c>
    </row>
    <row r="339" spans="1:8" x14ac:dyDescent="0.25">
      <c r="A339" t="s">
        <v>577</v>
      </c>
      <c r="B339" t="s">
        <v>1378</v>
      </c>
      <c r="C339" t="s">
        <v>412</v>
      </c>
      <c r="D339" t="s">
        <v>61</v>
      </c>
      <c r="E339" t="str">
        <f t="shared" si="5"/>
        <v>Midfielder</v>
      </c>
      <c r="F339" t="s">
        <v>1379</v>
      </c>
      <c r="G339" t="s">
        <v>1380</v>
      </c>
      <c r="H339" t="s">
        <v>61</v>
      </c>
    </row>
    <row r="340" spans="1:8" x14ac:dyDescent="0.25">
      <c r="A340" t="s">
        <v>577</v>
      </c>
      <c r="B340" t="s">
        <v>1381</v>
      </c>
      <c r="C340" t="s">
        <v>308</v>
      </c>
      <c r="D340" t="s">
        <v>61</v>
      </c>
      <c r="E340" t="str">
        <f t="shared" si="5"/>
        <v>Midfielder</v>
      </c>
      <c r="F340" t="s">
        <v>1382</v>
      </c>
      <c r="G340" t="s">
        <v>338</v>
      </c>
      <c r="H340" t="s">
        <v>61</v>
      </c>
    </row>
    <row r="341" spans="1:8" x14ac:dyDescent="0.25">
      <c r="A341" t="s">
        <v>577</v>
      </c>
      <c r="B341" t="s">
        <v>1383</v>
      </c>
      <c r="C341" t="s">
        <v>1384</v>
      </c>
      <c r="D341" t="s">
        <v>61</v>
      </c>
      <c r="E341" t="str">
        <f t="shared" si="5"/>
        <v>Midfielder</v>
      </c>
      <c r="F341" t="s">
        <v>1385</v>
      </c>
      <c r="G341" t="s">
        <v>1386</v>
      </c>
      <c r="H341" t="s">
        <v>61</v>
      </c>
    </row>
    <row r="342" spans="1:8" x14ac:dyDescent="0.25">
      <c r="A342" t="s">
        <v>592</v>
      </c>
      <c r="E342" t="str">
        <f t="shared" si="5"/>
        <v>Forward</v>
      </c>
    </row>
    <row r="343" spans="1:8" x14ac:dyDescent="0.25">
      <c r="A343" t="s">
        <v>592</v>
      </c>
      <c r="B343" t="s">
        <v>1387</v>
      </c>
      <c r="C343" t="s">
        <v>287</v>
      </c>
      <c r="D343" t="s">
        <v>61</v>
      </c>
      <c r="E343" t="str">
        <f t="shared" si="5"/>
        <v>Forward</v>
      </c>
      <c r="F343" t="s">
        <v>1388</v>
      </c>
      <c r="G343" t="s">
        <v>479</v>
      </c>
      <c r="H343" t="s">
        <v>61</v>
      </c>
    </row>
    <row r="344" spans="1:8" x14ac:dyDescent="0.25">
      <c r="A344" t="s">
        <v>592</v>
      </c>
      <c r="B344" t="s">
        <v>1389</v>
      </c>
      <c r="C344" t="s">
        <v>1390</v>
      </c>
      <c r="D344" t="s">
        <v>61</v>
      </c>
      <c r="E344" t="str">
        <f t="shared" si="5"/>
        <v>Forward</v>
      </c>
      <c r="F344" t="s">
        <v>1391</v>
      </c>
      <c r="G344" t="s">
        <v>354</v>
      </c>
      <c r="H344" t="s">
        <v>61</v>
      </c>
    </row>
    <row r="345" spans="1:8" x14ac:dyDescent="0.25">
      <c r="A345" t="s">
        <v>592</v>
      </c>
      <c r="B345" t="s">
        <v>1392</v>
      </c>
      <c r="C345" t="s">
        <v>275</v>
      </c>
      <c r="D345" t="s">
        <v>61</v>
      </c>
      <c r="E345" t="str">
        <f t="shared" si="5"/>
        <v>Forward</v>
      </c>
      <c r="F345" t="s">
        <v>1393</v>
      </c>
      <c r="G345" t="s">
        <v>1394</v>
      </c>
      <c r="H345" t="s">
        <v>61</v>
      </c>
    </row>
    <row r="346" spans="1:8" x14ac:dyDescent="0.25">
      <c r="A346" t="s">
        <v>551</v>
      </c>
      <c r="E346" t="str">
        <f t="shared" si="5"/>
        <v>Goalkeeper</v>
      </c>
    </row>
    <row r="347" spans="1:8" x14ac:dyDescent="0.25">
      <c r="A347" t="s">
        <v>551</v>
      </c>
      <c r="B347" t="s">
        <v>1395</v>
      </c>
      <c r="C347" t="s">
        <v>382</v>
      </c>
      <c r="D347" t="s">
        <v>74</v>
      </c>
      <c r="E347" t="str">
        <f t="shared" si="5"/>
        <v>Goalkeeper</v>
      </c>
      <c r="F347" t="s">
        <v>1396</v>
      </c>
      <c r="G347" t="s">
        <v>1397</v>
      </c>
      <c r="H347" t="s">
        <v>74</v>
      </c>
    </row>
    <row r="348" spans="1:8" x14ac:dyDescent="0.25">
      <c r="A348" t="s">
        <v>551</v>
      </c>
      <c r="B348" t="s">
        <v>1398</v>
      </c>
      <c r="C348" t="s">
        <v>1399</v>
      </c>
      <c r="D348" t="s">
        <v>74</v>
      </c>
      <c r="E348" t="str">
        <f t="shared" si="5"/>
        <v>Goalkeeper</v>
      </c>
    </row>
    <row r="349" spans="1:8" x14ac:dyDescent="0.25">
      <c r="A349" t="s">
        <v>558</v>
      </c>
      <c r="E349" t="str">
        <f t="shared" si="5"/>
        <v>Defender</v>
      </c>
    </row>
    <row r="350" spans="1:8" x14ac:dyDescent="0.25">
      <c r="A350" t="s">
        <v>558</v>
      </c>
      <c r="B350" t="s">
        <v>1400</v>
      </c>
      <c r="C350" t="s">
        <v>436</v>
      </c>
      <c r="D350" t="s">
        <v>74</v>
      </c>
      <c r="E350" t="str">
        <f t="shared" si="5"/>
        <v>Defender</v>
      </c>
      <c r="F350" t="s">
        <v>1401</v>
      </c>
      <c r="G350" t="s">
        <v>539</v>
      </c>
      <c r="H350" t="s">
        <v>74</v>
      </c>
    </row>
    <row r="351" spans="1:8" x14ac:dyDescent="0.25">
      <c r="A351" t="s">
        <v>558</v>
      </c>
      <c r="B351" t="s">
        <v>1402</v>
      </c>
      <c r="C351" t="s">
        <v>1403</v>
      </c>
      <c r="D351" t="s">
        <v>74</v>
      </c>
      <c r="E351" t="str">
        <f t="shared" si="5"/>
        <v>Defender</v>
      </c>
      <c r="F351" t="s">
        <v>1404</v>
      </c>
      <c r="G351" t="s">
        <v>390</v>
      </c>
      <c r="H351" t="s">
        <v>74</v>
      </c>
    </row>
    <row r="352" spans="1:8" x14ac:dyDescent="0.25">
      <c r="A352" t="s">
        <v>558</v>
      </c>
      <c r="B352" t="s">
        <v>1405</v>
      </c>
      <c r="C352" t="s">
        <v>485</v>
      </c>
      <c r="D352" t="s">
        <v>74</v>
      </c>
      <c r="E352" t="str">
        <f t="shared" si="5"/>
        <v>Defender</v>
      </c>
      <c r="F352" t="s">
        <v>1406</v>
      </c>
      <c r="G352" t="s">
        <v>1407</v>
      </c>
      <c r="H352" t="s">
        <v>74</v>
      </c>
    </row>
    <row r="353" spans="1:8" x14ac:dyDescent="0.25">
      <c r="A353" t="s">
        <v>558</v>
      </c>
      <c r="B353" t="s">
        <v>1408</v>
      </c>
      <c r="C353" t="s">
        <v>493</v>
      </c>
      <c r="D353" t="s">
        <v>74</v>
      </c>
      <c r="E353" t="str">
        <f t="shared" si="5"/>
        <v>Defender</v>
      </c>
    </row>
    <row r="354" spans="1:8" x14ac:dyDescent="0.25">
      <c r="A354" t="s">
        <v>577</v>
      </c>
      <c r="E354" t="str">
        <f t="shared" si="5"/>
        <v>Midfielder</v>
      </c>
    </row>
    <row r="355" spans="1:8" x14ac:dyDescent="0.25">
      <c r="A355" t="s">
        <v>577</v>
      </c>
      <c r="B355" t="s">
        <v>1409</v>
      </c>
      <c r="C355" t="s">
        <v>1410</v>
      </c>
      <c r="D355" t="s">
        <v>74</v>
      </c>
      <c r="E355" t="str">
        <f t="shared" si="5"/>
        <v>Midfielder</v>
      </c>
      <c r="F355" t="s">
        <v>1411</v>
      </c>
      <c r="G355" t="s">
        <v>1412</v>
      </c>
      <c r="H355" t="s">
        <v>74</v>
      </c>
    </row>
    <row r="356" spans="1:8" x14ac:dyDescent="0.25">
      <c r="A356" t="s">
        <v>577</v>
      </c>
      <c r="B356" t="s">
        <v>1413</v>
      </c>
      <c r="C356" t="s">
        <v>342</v>
      </c>
      <c r="D356" t="s">
        <v>74</v>
      </c>
      <c r="E356" t="str">
        <f t="shared" si="5"/>
        <v>Midfielder</v>
      </c>
      <c r="F356" t="s">
        <v>1414</v>
      </c>
      <c r="G356" t="s">
        <v>326</v>
      </c>
      <c r="H356" t="s">
        <v>74</v>
      </c>
    </row>
    <row r="357" spans="1:8" x14ac:dyDescent="0.25">
      <c r="A357" t="s">
        <v>577</v>
      </c>
      <c r="B357" t="s">
        <v>1415</v>
      </c>
      <c r="C357" t="s">
        <v>511</v>
      </c>
      <c r="D357" t="s">
        <v>74</v>
      </c>
      <c r="E357" t="str">
        <f t="shared" si="5"/>
        <v>Midfielder</v>
      </c>
      <c r="F357" t="s">
        <v>1416</v>
      </c>
      <c r="G357" t="s">
        <v>1417</v>
      </c>
      <c r="H357" t="s">
        <v>74</v>
      </c>
    </row>
    <row r="358" spans="1:8" x14ac:dyDescent="0.25">
      <c r="A358" t="s">
        <v>577</v>
      </c>
      <c r="B358" t="s">
        <v>1418</v>
      </c>
      <c r="C358" t="s">
        <v>320</v>
      </c>
      <c r="D358" t="s">
        <v>74</v>
      </c>
      <c r="E358" t="str">
        <f t="shared" si="5"/>
        <v>Midfielder</v>
      </c>
      <c r="F358" t="s">
        <v>1419</v>
      </c>
      <c r="G358" t="s">
        <v>537</v>
      </c>
      <c r="H358" t="s">
        <v>74</v>
      </c>
    </row>
    <row r="359" spans="1:8" x14ac:dyDescent="0.25">
      <c r="A359" t="s">
        <v>577</v>
      </c>
      <c r="B359" t="s">
        <v>1420</v>
      </c>
      <c r="C359" t="s">
        <v>1421</v>
      </c>
      <c r="D359" t="s">
        <v>74</v>
      </c>
      <c r="E359" t="str">
        <f t="shared" si="5"/>
        <v>Midfielder</v>
      </c>
      <c r="F359" t="s">
        <v>1422</v>
      </c>
      <c r="G359" t="s">
        <v>1423</v>
      </c>
      <c r="H359" t="s">
        <v>74</v>
      </c>
    </row>
    <row r="360" spans="1:8" x14ac:dyDescent="0.25">
      <c r="A360" t="s">
        <v>592</v>
      </c>
      <c r="E360" t="str">
        <f t="shared" si="5"/>
        <v>Forward</v>
      </c>
    </row>
    <row r="361" spans="1:8" x14ac:dyDescent="0.25">
      <c r="A361" t="s">
        <v>592</v>
      </c>
      <c r="B361" t="s">
        <v>1424</v>
      </c>
      <c r="C361" t="s">
        <v>298</v>
      </c>
      <c r="D361" t="s">
        <v>74</v>
      </c>
      <c r="E361" t="str">
        <f t="shared" si="5"/>
        <v>Forward</v>
      </c>
      <c r="F361" t="s">
        <v>1425</v>
      </c>
      <c r="G361" t="s">
        <v>1426</v>
      </c>
      <c r="H361" t="s">
        <v>74</v>
      </c>
    </row>
    <row r="362" spans="1:8" x14ac:dyDescent="0.25">
      <c r="A362" t="s">
        <v>592</v>
      </c>
      <c r="B362" t="s">
        <v>1427</v>
      </c>
      <c r="C362" t="s">
        <v>1428</v>
      </c>
      <c r="D362" t="s">
        <v>74</v>
      </c>
      <c r="E362" t="str">
        <f t="shared" si="5"/>
        <v>Forward</v>
      </c>
      <c r="F362" t="s">
        <v>1429</v>
      </c>
      <c r="G362" t="s">
        <v>316</v>
      </c>
      <c r="H362" t="s">
        <v>74</v>
      </c>
    </row>
    <row r="363" spans="1:8" x14ac:dyDescent="0.25">
      <c r="A363" t="s">
        <v>592</v>
      </c>
      <c r="B363" t="s">
        <v>1430</v>
      </c>
      <c r="C363" t="s">
        <v>1431</v>
      </c>
      <c r="D363" t="s">
        <v>74</v>
      </c>
      <c r="E363" t="str">
        <f t="shared" si="5"/>
        <v>Forward</v>
      </c>
      <c r="F363" t="s">
        <v>1432</v>
      </c>
      <c r="G363" t="s">
        <v>1433</v>
      </c>
      <c r="H363" t="s">
        <v>74</v>
      </c>
    </row>
    <row r="364" spans="1:8" x14ac:dyDescent="0.25">
      <c r="A364" t="s">
        <v>551</v>
      </c>
      <c r="E364" t="str">
        <f t="shared" si="5"/>
        <v>Goalkeeper</v>
      </c>
    </row>
    <row r="365" spans="1:8" x14ac:dyDescent="0.25">
      <c r="A365" t="s">
        <v>551</v>
      </c>
      <c r="B365" t="s">
        <v>1434</v>
      </c>
      <c r="C365" t="s">
        <v>1435</v>
      </c>
      <c r="D365" t="s">
        <v>105</v>
      </c>
      <c r="E365" t="str">
        <f t="shared" si="5"/>
        <v>Goalkeeper</v>
      </c>
      <c r="F365" t="s">
        <v>1436</v>
      </c>
      <c r="G365" t="s">
        <v>1437</v>
      </c>
      <c r="H365" t="s">
        <v>105</v>
      </c>
    </row>
    <row r="366" spans="1:8" x14ac:dyDescent="0.25">
      <c r="A366" t="s">
        <v>551</v>
      </c>
      <c r="B366" t="s">
        <v>1438</v>
      </c>
      <c r="C366" t="s">
        <v>1439</v>
      </c>
      <c r="D366" t="s">
        <v>105</v>
      </c>
      <c r="E366" t="str">
        <f t="shared" si="5"/>
        <v>Goalkeeper</v>
      </c>
    </row>
    <row r="367" spans="1:8" x14ac:dyDescent="0.25">
      <c r="A367" t="s">
        <v>558</v>
      </c>
      <c r="E367" t="str">
        <f t="shared" si="5"/>
        <v>Defender</v>
      </c>
    </row>
    <row r="368" spans="1:8" x14ac:dyDescent="0.25">
      <c r="A368" t="s">
        <v>558</v>
      </c>
      <c r="B368" t="s">
        <v>1440</v>
      </c>
      <c r="C368" t="s">
        <v>1441</v>
      </c>
      <c r="D368" t="s">
        <v>105</v>
      </c>
      <c r="E368" t="str">
        <f t="shared" si="5"/>
        <v>Defender</v>
      </c>
      <c r="F368" t="s">
        <v>1442</v>
      </c>
      <c r="G368" t="s">
        <v>1443</v>
      </c>
      <c r="H368" t="s">
        <v>105</v>
      </c>
    </row>
    <row r="369" spans="1:8" x14ac:dyDescent="0.25">
      <c r="A369" t="s">
        <v>558</v>
      </c>
      <c r="B369" t="s">
        <v>1444</v>
      </c>
      <c r="C369" t="s">
        <v>1445</v>
      </c>
      <c r="D369" t="s">
        <v>105</v>
      </c>
      <c r="E369" t="str">
        <f t="shared" si="5"/>
        <v>Defender</v>
      </c>
      <c r="F369" t="s">
        <v>1446</v>
      </c>
      <c r="G369" t="s">
        <v>1447</v>
      </c>
      <c r="H369" t="s">
        <v>105</v>
      </c>
    </row>
    <row r="370" spans="1:8" x14ac:dyDescent="0.25">
      <c r="A370" t="s">
        <v>558</v>
      </c>
      <c r="B370" t="s">
        <v>1448</v>
      </c>
      <c r="C370" t="s">
        <v>1449</v>
      </c>
      <c r="D370" t="s">
        <v>105</v>
      </c>
      <c r="E370" t="str">
        <f t="shared" si="5"/>
        <v>Defender</v>
      </c>
      <c r="F370" t="s">
        <v>1450</v>
      </c>
      <c r="G370" t="s">
        <v>1451</v>
      </c>
      <c r="H370" t="s">
        <v>105</v>
      </c>
    </row>
    <row r="371" spans="1:8" x14ac:dyDescent="0.25">
      <c r="A371" t="s">
        <v>558</v>
      </c>
      <c r="B371" t="s">
        <v>1452</v>
      </c>
      <c r="C371" t="s">
        <v>1453</v>
      </c>
      <c r="D371" t="s">
        <v>105</v>
      </c>
      <c r="E371" t="str">
        <f t="shared" si="5"/>
        <v>Defender</v>
      </c>
      <c r="F371" t="s">
        <v>1454</v>
      </c>
      <c r="G371" t="s">
        <v>1455</v>
      </c>
      <c r="H371" t="s">
        <v>105</v>
      </c>
    </row>
    <row r="372" spans="1:8" x14ac:dyDescent="0.25">
      <c r="A372" t="s">
        <v>558</v>
      </c>
      <c r="B372" t="s">
        <v>1456</v>
      </c>
      <c r="C372" t="s">
        <v>1457</v>
      </c>
      <c r="D372" t="s">
        <v>105</v>
      </c>
      <c r="E372" t="str">
        <f t="shared" si="5"/>
        <v>Defender</v>
      </c>
    </row>
    <row r="373" spans="1:8" x14ac:dyDescent="0.25">
      <c r="A373" t="s">
        <v>577</v>
      </c>
      <c r="E373" t="str">
        <f t="shared" si="5"/>
        <v>Midfielder</v>
      </c>
    </row>
    <row r="374" spans="1:8" x14ac:dyDescent="0.25">
      <c r="A374" t="s">
        <v>577</v>
      </c>
      <c r="B374" t="s">
        <v>1458</v>
      </c>
      <c r="C374" t="s">
        <v>1459</v>
      </c>
      <c r="D374" t="s">
        <v>105</v>
      </c>
      <c r="E374" t="str">
        <f t="shared" si="5"/>
        <v>Midfielder</v>
      </c>
      <c r="F374" t="s">
        <v>1460</v>
      </c>
      <c r="G374" t="s">
        <v>1461</v>
      </c>
      <c r="H374" t="s">
        <v>105</v>
      </c>
    </row>
    <row r="375" spans="1:8" x14ac:dyDescent="0.25">
      <c r="A375" t="s">
        <v>577</v>
      </c>
      <c r="B375" t="s">
        <v>1462</v>
      </c>
      <c r="C375" t="s">
        <v>1463</v>
      </c>
      <c r="D375" t="s">
        <v>105</v>
      </c>
      <c r="E375" t="str">
        <f t="shared" si="5"/>
        <v>Midfielder</v>
      </c>
      <c r="F375" t="s">
        <v>1464</v>
      </c>
      <c r="G375" t="s">
        <v>1465</v>
      </c>
      <c r="H375" t="s">
        <v>105</v>
      </c>
    </row>
    <row r="376" spans="1:8" x14ac:dyDescent="0.25">
      <c r="A376" t="s">
        <v>592</v>
      </c>
      <c r="E376" t="str">
        <f t="shared" si="5"/>
        <v>Forward</v>
      </c>
    </row>
    <row r="377" spans="1:8" x14ac:dyDescent="0.25">
      <c r="A377" t="s">
        <v>592</v>
      </c>
      <c r="B377" t="s">
        <v>1466</v>
      </c>
      <c r="C377" t="s">
        <v>1467</v>
      </c>
      <c r="D377" t="s">
        <v>105</v>
      </c>
      <c r="E377" t="str">
        <f t="shared" si="5"/>
        <v>Forward</v>
      </c>
      <c r="F377" t="s">
        <v>1468</v>
      </c>
      <c r="G377" t="s">
        <v>1469</v>
      </c>
      <c r="H377" t="s">
        <v>105</v>
      </c>
    </row>
    <row r="378" spans="1:8" x14ac:dyDescent="0.25">
      <c r="A378" t="s">
        <v>592</v>
      </c>
      <c r="B378" t="s">
        <v>1470</v>
      </c>
      <c r="C378" t="s">
        <v>1471</v>
      </c>
      <c r="D378" t="s">
        <v>105</v>
      </c>
      <c r="E378" t="str">
        <f t="shared" si="5"/>
        <v>Forward</v>
      </c>
      <c r="F378" t="s">
        <v>1472</v>
      </c>
      <c r="G378" t="s">
        <v>1473</v>
      </c>
      <c r="H378" t="s">
        <v>105</v>
      </c>
    </row>
    <row r="379" spans="1:8" x14ac:dyDescent="0.25">
      <c r="A379" t="s">
        <v>592</v>
      </c>
      <c r="B379" t="s">
        <v>1474</v>
      </c>
      <c r="C379" t="s">
        <v>1475</v>
      </c>
      <c r="D379" t="s">
        <v>105</v>
      </c>
      <c r="E379" t="str">
        <f t="shared" si="5"/>
        <v>Forward</v>
      </c>
      <c r="F379" t="s">
        <v>1476</v>
      </c>
      <c r="G379" t="s">
        <v>1477</v>
      </c>
      <c r="H379" t="s">
        <v>105</v>
      </c>
    </row>
    <row r="380" spans="1:8" x14ac:dyDescent="0.25">
      <c r="A380" t="s">
        <v>592</v>
      </c>
      <c r="B380" t="s">
        <v>1478</v>
      </c>
      <c r="C380" t="s">
        <v>1479</v>
      </c>
      <c r="D380" t="s">
        <v>105</v>
      </c>
      <c r="E380" t="str">
        <f t="shared" si="5"/>
        <v>Forward</v>
      </c>
      <c r="F380" t="s">
        <v>1480</v>
      </c>
      <c r="G380" t="s">
        <v>1481</v>
      </c>
      <c r="H380" t="s">
        <v>105</v>
      </c>
    </row>
    <row r="381" spans="1:8" x14ac:dyDescent="0.25">
      <c r="A381" t="s">
        <v>592</v>
      </c>
      <c r="B381" t="s">
        <v>1482</v>
      </c>
      <c r="C381" t="s">
        <v>1483</v>
      </c>
      <c r="D381" t="s">
        <v>105</v>
      </c>
      <c r="E381" t="str">
        <f t="shared" si="5"/>
        <v>Forward</v>
      </c>
      <c r="F381" t="s">
        <v>1484</v>
      </c>
      <c r="G381" t="s">
        <v>1485</v>
      </c>
      <c r="H381" t="s">
        <v>105</v>
      </c>
    </row>
    <row r="382" spans="1:8" x14ac:dyDescent="0.25">
      <c r="A382" t="s">
        <v>551</v>
      </c>
      <c r="E382" t="str">
        <f t="shared" si="5"/>
        <v>Goalkeeper</v>
      </c>
    </row>
    <row r="383" spans="1:8" x14ac:dyDescent="0.25">
      <c r="A383" t="s">
        <v>551</v>
      </c>
      <c r="B383" t="s">
        <v>1486</v>
      </c>
      <c r="C383" t="s">
        <v>1487</v>
      </c>
      <c r="D383" t="s">
        <v>159</v>
      </c>
      <c r="E383" t="str">
        <f t="shared" si="5"/>
        <v>Goalkeeper</v>
      </c>
      <c r="F383" t="s">
        <v>1488</v>
      </c>
      <c r="G383" t="s">
        <v>1489</v>
      </c>
      <c r="H383" t="s">
        <v>159</v>
      </c>
    </row>
    <row r="384" spans="1:8" x14ac:dyDescent="0.25">
      <c r="A384" t="s">
        <v>551</v>
      </c>
      <c r="B384" t="s">
        <v>1490</v>
      </c>
      <c r="C384" t="s">
        <v>1491</v>
      </c>
      <c r="D384" t="s">
        <v>159</v>
      </c>
      <c r="E384" t="str">
        <f t="shared" si="5"/>
        <v>Goalkeeper</v>
      </c>
    </row>
    <row r="385" spans="1:8" x14ac:dyDescent="0.25">
      <c r="A385" t="s">
        <v>558</v>
      </c>
      <c r="E385" t="str">
        <f t="shared" si="5"/>
        <v>Defender</v>
      </c>
    </row>
    <row r="386" spans="1:8" x14ac:dyDescent="0.25">
      <c r="A386" t="s">
        <v>558</v>
      </c>
      <c r="B386" t="s">
        <v>1492</v>
      </c>
      <c r="C386" t="s">
        <v>1493</v>
      </c>
      <c r="D386" t="s">
        <v>159</v>
      </c>
      <c r="E386" t="str">
        <f t="shared" si="5"/>
        <v>Defender</v>
      </c>
      <c r="F386" t="s">
        <v>1494</v>
      </c>
      <c r="G386" t="s">
        <v>1495</v>
      </c>
      <c r="H386" t="s">
        <v>159</v>
      </c>
    </row>
    <row r="387" spans="1:8" x14ac:dyDescent="0.25">
      <c r="A387" t="s">
        <v>558</v>
      </c>
      <c r="B387" t="s">
        <v>1496</v>
      </c>
      <c r="C387" t="s">
        <v>1497</v>
      </c>
      <c r="D387" t="s">
        <v>159</v>
      </c>
      <c r="E387" t="str">
        <f t="shared" ref="E387:E450" si="6">A387</f>
        <v>Defender</v>
      </c>
      <c r="F387" t="s">
        <v>1498</v>
      </c>
      <c r="G387" t="s">
        <v>1499</v>
      </c>
      <c r="H387" t="s">
        <v>159</v>
      </c>
    </row>
    <row r="388" spans="1:8" x14ac:dyDescent="0.25">
      <c r="A388" t="s">
        <v>558</v>
      </c>
      <c r="B388" t="s">
        <v>1500</v>
      </c>
      <c r="C388" t="s">
        <v>1501</v>
      </c>
      <c r="D388" t="s">
        <v>159</v>
      </c>
      <c r="E388" t="str">
        <f t="shared" si="6"/>
        <v>Defender</v>
      </c>
      <c r="F388" t="s">
        <v>1502</v>
      </c>
      <c r="G388" t="s">
        <v>1503</v>
      </c>
      <c r="H388" t="s">
        <v>159</v>
      </c>
    </row>
    <row r="389" spans="1:8" x14ac:dyDescent="0.25">
      <c r="A389" t="s">
        <v>558</v>
      </c>
      <c r="B389" t="s">
        <v>1504</v>
      </c>
      <c r="C389" t="s">
        <v>1505</v>
      </c>
      <c r="D389" t="s">
        <v>159</v>
      </c>
      <c r="E389" t="str">
        <f t="shared" si="6"/>
        <v>Defender</v>
      </c>
      <c r="F389" t="s">
        <v>1506</v>
      </c>
      <c r="G389" t="s">
        <v>1507</v>
      </c>
      <c r="H389" t="s">
        <v>159</v>
      </c>
    </row>
    <row r="390" spans="1:8" x14ac:dyDescent="0.25">
      <c r="A390" t="s">
        <v>577</v>
      </c>
      <c r="E390" t="str">
        <f t="shared" si="6"/>
        <v>Midfielder</v>
      </c>
    </row>
    <row r="391" spans="1:8" x14ac:dyDescent="0.25">
      <c r="A391" t="s">
        <v>577</v>
      </c>
      <c r="B391" t="s">
        <v>1508</v>
      </c>
      <c r="C391" t="s">
        <v>1509</v>
      </c>
      <c r="D391" t="s">
        <v>159</v>
      </c>
      <c r="E391" t="str">
        <f t="shared" si="6"/>
        <v>Midfielder</v>
      </c>
      <c r="F391" t="s">
        <v>1510</v>
      </c>
      <c r="G391" t="s">
        <v>1511</v>
      </c>
      <c r="H391" t="s">
        <v>159</v>
      </c>
    </row>
    <row r="392" spans="1:8" x14ac:dyDescent="0.25">
      <c r="A392" t="s">
        <v>577</v>
      </c>
      <c r="B392" t="s">
        <v>1512</v>
      </c>
      <c r="C392" t="s">
        <v>1513</v>
      </c>
      <c r="D392" t="s">
        <v>159</v>
      </c>
      <c r="E392" t="str">
        <f t="shared" si="6"/>
        <v>Midfielder</v>
      </c>
      <c r="F392" t="s">
        <v>1514</v>
      </c>
      <c r="G392" t="s">
        <v>1515</v>
      </c>
      <c r="H392" t="s">
        <v>159</v>
      </c>
    </row>
    <row r="393" spans="1:8" x14ac:dyDescent="0.25">
      <c r="A393" t="s">
        <v>577</v>
      </c>
      <c r="B393" t="s">
        <v>1516</v>
      </c>
      <c r="C393" t="s">
        <v>1517</v>
      </c>
      <c r="D393" t="s">
        <v>159</v>
      </c>
      <c r="E393" t="str">
        <f t="shared" si="6"/>
        <v>Midfielder</v>
      </c>
      <c r="F393" t="s">
        <v>1518</v>
      </c>
      <c r="G393" t="s">
        <v>1519</v>
      </c>
      <c r="H393" t="s">
        <v>159</v>
      </c>
    </row>
    <row r="394" spans="1:8" x14ac:dyDescent="0.25">
      <c r="A394" t="s">
        <v>592</v>
      </c>
      <c r="E394" t="str">
        <f t="shared" si="6"/>
        <v>Forward</v>
      </c>
    </row>
    <row r="395" spans="1:8" x14ac:dyDescent="0.25">
      <c r="A395" t="s">
        <v>592</v>
      </c>
      <c r="B395" t="s">
        <v>1520</v>
      </c>
      <c r="C395" t="s">
        <v>1521</v>
      </c>
      <c r="D395" t="s">
        <v>159</v>
      </c>
      <c r="E395" t="str">
        <f t="shared" si="6"/>
        <v>Forward</v>
      </c>
      <c r="F395" t="s">
        <v>1522</v>
      </c>
      <c r="G395" t="s">
        <v>1523</v>
      </c>
      <c r="H395" t="s">
        <v>159</v>
      </c>
    </row>
    <row r="396" spans="1:8" x14ac:dyDescent="0.25">
      <c r="A396" t="s">
        <v>592</v>
      </c>
      <c r="B396" t="s">
        <v>1524</v>
      </c>
      <c r="C396" t="s">
        <v>1525</v>
      </c>
      <c r="D396" t="s">
        <v>159</v>
      </c>
      <c r="E396" t="str">
        <f t="shared" si="6"/>
        <v>Forward</v>
      </c>
      <c r="F396" t="s">
        <v>1526</v>
      </c>
      <c r="G396" t="s">
        <v>1527</v>
      </c>
      <c r="H396" t="s">
        <v>159</v>
      </c>
    </row>
    <row r="397" spans="1:8" x14ac:dyDescent="0.25">
      <c r="A397" t="s">
        <v>592</v>
      </c>
      <c r="B397" t="s">
        <v>1528</v>
      </c>
      <c r="C397" t="s">
        <v>1529</v>
      </c>
      <c r="D397" t="s">
        <v>159</v>
      </c>
      <c r="E397" t="str">
        <f t="shared" si="6"/>
        <v>Forward</v>
      </c>
      <c r="F397" t="s">
        <v>1530</v>
      </c>
      <c r="G397" t="s">
        <v>1531</v>
      </c>
      <c r="H397" t="s">
        <v>159</v>
      </c>
    </row>
    <row r="398" spans="1:8" x14ac:dyDescent="0.25">
      <c r="A398" t="s">
        <v>592</v>
      </c>
      <c r="B398" t="s">
        <v>1532</v>
      </c>
      <c r="C398" t="s">
        <v>1533</v>
      </c>
      <c r="D398" t="s">
        <v>159</v>
      </c>
      <c r="E398" t="str">
        <f t="shared" si="6"/>
        <v>Forward</v>
      </c>
      <c r="F398" t="s">
        <v>1534</v>
      </c>
      <c r="G398" t="s">
        <v>1535</v>
      </c>
      <c r="H398" t="s">
        <v>159</v>
      </c>
    </row>
    <row r="399" spans="1:8" x14ac:dyDescent="0.25">
      <c r="A399" t="s">
        <v>592</v>
      </c>
      <c r="B399" t="s">
        <v>1536</v>
      </c>
      <c r="C399" t="s">
        <v>1537</v>
      </c>
      <c r="D399" t="s">
        <v>159</v>
      </c>
      <c r="E399" t="str">
        <f t="shared" si="6"/>
        <v>Forward</v>
      </c>
    </row>
    <row r="400" spans="1:8" x14ac:dyDescent="0.25">
      <c r="A400" t="s">
        <v>551</v>
      </c>
      <c r="E400" t="str">
        <f t="shared" si="6"/>
        <v>Goalkeeper</v>
      </c>
    </row>
    <row r="401" spans="1:8" x14ac:dyDescent="0.25">
      <c r="A401" t="s">
        <v>551</v>
      </c>
      <c r="B401" t="s">
        <v>1538</v>
      </c>
      <c r="C401" t="s">
        <v>1539</v>
      </c>
      <c r="D401" t="s">
        <v>1540</v>
      </c>
      <c r="E401" t="str">
        <f t="shared" si="6"/>
        <v>Goalkeeper</v>
      </c>
      <c r="F401" t="s">
        <v>1541</v>
      </c>
      <c r="G401" t="s">
        <v>1542</v>
      </c>
      <c r="H401" t="s">
        <v>1540</v>
      </c>
    </row>
    <row r="402" spans="1:8" x14ac:dyDescent="0.25">
      <c r="A402" t="s">
        <v>551</v>
      </c>
      <c r="B402" t="s">
        <v>1543</v>
      </c>
      <c r="C402" t="s">
        <v>1544</v>
      </c>
      <c r="D402" t="s">
        <v>1540</v>
      </c>
      <c r="E402" t="str">
        <f t="shared" si="6"/>
        <v>Goalkeeper</v>
      </c>
    </row>
    <row r="403" spans="1:8" x14ac:dyDescent="0.25">
      <c r="A403" t="s">
        <v>558</v>
      </c>
      <c r="E403" t="str">
        <f t="shared" si="6"/>
        <v>Defender</v>
      </c>
    </row>
    <row r="404" spans="1:8" x14ac:dyDescent="0.25">
      <c r="A404" t="s">
        <v>558</v>
      </c>
      <c r="B404" t="s">
        <v>1545</v>
      </c>
      <c r="C404" t="s">
        <v>1546</v>
      </c>
      <c r="D404" t="s">
        <v>1540</v>
      </c>
      <c r="E404" t="str">
        <f t="shared" si="6"/>
        <v>Defender</v>
      </c>
      <c r="F404" t="s">
        <v>1547</v>
      </c>
      <c r="G404" t="s">
        <v>1548</v>
      </c>
      <c r="H404" t="s">
        <v>1540</v>
      </c>
    </row>
    <row r="405" spans="1:8" x14ac:dyDescent="0.25">
      <c r="A405" t="s">
        <v>558</v>
      </c>
      <c r="B405" t="s">
        <v>1549</v>
      </c>
      <c r="C405" t="s">
        <v>1550</v>
      </c>
      <c r="D405" t="s">
        <v>1540</v>
      </c>
      <c r="E405" t="str">
        <f t="shared" si="6"/>
        <v>Defender</v>
      </c>
      <c r="F405" t="s">
        <v>1551</v>
      </c>
      <c r="G405" t="s">
        <v>1552</v>
      </c>
      <c r="H405" t="s">
        <v>1540</v>
      </c>
    </row>
    <row r="406" spans="1:8" x14ac:dyDescent="0.25">
      <c r="A406" t="s">
        <v>558</v>
      </c>
      <c r="B406" t="s">
        <v>1553</v>
      </c>
      <c r="C406" t="s">
        <v>1554</v>
      </c>
      <c r="D406" t="s">
        <v>1540</v>
      </c>
      <c r="E406" t="str">
        <f t="shared" si="6"/>
        <v>Defender</v>
      </c>
      <c r="F406" t="s">
        <v>1555</v>
      </c>
      <c r="G406" t="s">
        <v>1556</v>
      </c>
      <c r="H406" t="s">
        <v>1540</v>
      </c>
    </row>
    <row r="407" spans="1:8" x14ac:dyDescent="0.25">
      <c r="A407" t="s">
        <v>558</v>
      </c>
      <c r="B407" t="s">
        <v>1557</v>
      </c>
      <c r="C407" t="s">
        <v>1558</v>
      </c>
      <c r="D407" t="s">
        <v>1540</v>
      </c>
      <c r="E407" t="str">
        <f t="shared" si="6"/>
        <v>Defender</v>
      </c>
      <c r="F407" t="s">
        <v>1559</v>
      </c>
      <c r="G407" t="s">
        <v>1560</v>
      </c>
      <c r="H407" t="s">
        <v>1540</v>
      </c>
    </row>
    <row r="408" spans="1:8" x14ac:dyDescent="0.25">
      <c r="A408" t="s">
        <v>558</v>
      </c>
      <c r="B408" t="s">
        <v>1561</v>
      </c>
      <c r="C408" t="s">
        <v>1562</v>
      </c>
      <c r="D408" t="s">
        <v>1540</v>
      </c>
      <c r="E408" t="str">
        <f t="shared" si="6"/>
        <v>Defender</v>
      </c>
    </row>
    <row r="409" spans="1:8" x14ac:dyDescent="0.25">
      <c r="A409" t="s">
        <v>577</v>
      </c>
      <c r="E409" t="str">
        <f t="shared" si="6"/>
        <v>Midfielder</v>
      </c>
    </row>
    <row r="410" spans="1:8" x14ac:dyDescent="0.25">
      <c r="A410" t="s">
        <v>577</v>
      </c>
      <c r="B410" t="s">
        <v>1563</v>
      </c>
      <c r="C410" t="s">
        <v>1564</v>
      </c>
      <c r="D410" t="s">
        <v>1540</v>
      </c>
      <c r="E410" t="str">
        <f t="shared" si="6"/>
        <v>Midfielder</v>
      </c>
      <c r="F410" t="s">
        <v>1565</v>
      </c>
      <c r="G410" t="s">
        <v>1566</v>
      </c>
      <c r="H410" t="s">
        <v>1540</v>
      </c>
    </row>
    <row r="411" spans="1:8" x14ac:dyDescent="0.25">
      <c r="A411" t="s">
        <v>577</v>
      </c>
      <c r="B411" t="s">
        <v>1567</v>
      </c>
      <c r="C411" t="s">
        <v>1568</v>
      </c>
      <c r="D411" t="s">
        <v>1540</v>
      </c>
      <c r="E411" t="str">
        <f t="shared" si="6"/>
        <v>Midfielder</v>
      </c>
      <c r="F411" t="s">
        <v>1569</v>
      </c>
      <c r="G411" t="s">
        <v>1570</v>
      </c>
      <c r="H411" t="s">
        <v>1540</v>
      </c>
    </row>
    <row r="412" spans="1:8" x14ac:dyDescent="0.25">
      <c r="A412" t="s">
        <v>577</v>
      </c>
      <c r="B412" t="s">
        <v>1571</v>
      </c>
      <c r="C412" t="s">
        <v>1572</v>
      </c>
      <c r="D412" t="s">
        <v>1540</v>
      </c>
      <c r="E412" t="str">
        <f t="shared" si="6"/>
        <v>Midfielder</v>
      </c>
      <c r="F412" t="s">
        <v>1573</v>
      </c>
      <c r="G412" t="s">
        <v>1574</v>
      </c>
      <c r="H412" t="s">
        <v>1540</v>
      </c>
    </row>
    <row r="413" spans="1:8" x14ac:dyDescent="0.25">
      <c r="A413" t="s">
        <v>577</v>
      </c>
      <c r="B413" t="s">
        <v>1575</v>
      </c>
      <c r="C413" t="s">
        <v>1576</v>
      </c>
      <c r="D413" t="s">
        <v>1540</v>
      </c>
      <c r="E413" t="str">
        <f t="shared" si="6"/>
        <v>Midfielder</v>
      </c>
    </row>
    <row r="414" spans="1:8" x14ac:dyDescent="0.25">
      <c r="A414" t="s">
        <v>592</v>
      </c>
      <c r="E414" t="str">
        <f t="shared" si="6"/>
        <v>Forward</v>
      </c>
    </row>
    <row r="415" spans="1:8" x14ac:dyDescent="0.25">
      <c r="A415" t="s">
        <v>592</v>
      </c>
      <c r="B415" t="s">
        <v>1577</v>
      </c>
      <c r="C415" t="s">
        <v>1578</v>
      </c>
      <c r="D415" t="s">
        <v>1540</v>
      </c>
      <c r="E415" t="str">
        <f t="shared" si="6"/>
        <v>Forward</v>
      </c>
      <c r="F415" t="s">
        <v>1579</v>
      </c>
      <c r="G415" t="s">
        <v>1580</v>
      </c>
      <c r="H415" t="s">
        <v>1540</v>
      </c>
    </row>
    <row r="416" spans="1:8" x14ac:dyDescent="0.25">
      <c r="A416" t="s">
        <v>592</v>
      </c>
      <c r="B416" t="s">
        <v>1581</v>
      </c>
      <c r="C416" t="s">
        <v>1582</v>
      </c>
      <c r="D416" t="s">
        <v>1540</v>
      </c>
      <c r="E416" t="str">
        <f t="shared" si="6"/>
        <v>Forward</v>
      </c>
      <c r="F416" t="s">
        <v>1583</v>
      </c>
      <c r="G416" t="s">
        <v>1584</v>
      </c>
      <c r="H416" t="s">
        <v>1540</v>
      </c>
    </row>
    <row r="417" spans="1:8" x14ac:dyDescent="0.25">
      <c r="A417" t="s">
        <v>592</v>
      </c>
      <c r="B417" t="s">
        <v>1585</v>
      </c>
      <c r="C417" t="s">
        <v>1586</v>
      </c>
      <c r="D417" t="s">
        <v>1540</v>
      </c>
      <c r="E417" t="str">
        <f t="shared" si="6"/>
        <v>Forward</v>
      </c>
      <c r="F417" t="s">
        <v>1587</v>
      </c>
      <c r="G417" t="s">
        <v>1588</v>
      </c>
      <c r="H417" t="s">
        <v>1540</v>
      </c>
    </row>
    <row r="418" spans="1:8" x14ac:dyDescent="0.25">
      <c r="A418" t="s">
        <v>592</v>
      </c>
      <c r="B418" t="s">
        <v>1589</v>
      </c>
      <c r="C418" t="s">
        <v>1590</v>
      </c>
      <c r="D418" t="s">
        <v>1540</v>
      </c>
      <c r="E418" t="str">
        <f t="shared" si="6"/>
        <v>Forward</v>
      </c>
    </row>
    <row r="419" spans="1:8" x14ac:dyDescent="0.25">
      <c r="A419" t="s">
        <v>551</v>
      </c>
      <c r="E419" t="str">
        <f t="shared" si="6"/>
        <v>Goalkeeper</v>
      </c>
    </row>
    <row r="420" spans="1:8" x14ac:dyDescent="0.25">
      <c r="A420" t="s">
        <v>551</v>
      </c>
      <c r="B420" t="s">
        <v>1591</v>
      </c>
      <c r="C420" t="s">
        <v>1591</v>
      </c>
      <c r="D420" t="s">
        <v>127</v>
      </c>
      <c r="E420" t="str">
        <f t="shared" si="6"/>
        <v>Goalkeeper</v>
      </c>
      <c r="F420" t="s">
        <v>1592</v>
      </c>
      <c r="G420" t="s">
        <v>1592</v>
      </c>
      <c r="H420" t="s">
        <v>127</v>
      </c>
    </row>
    <row r="421" spans="1:8" x14ac:dyDescent="0.25">
      <c r="A421" t="s">
        <v>551</v>
      </c>
      <c r="B421" t="s">
        <v>1593</v>
      </c>
      <c r="C421" t="s">
        <v>1593</v>
      </c>
      <c r="D421" t="s">
        <v>127</v>
      </c>
      <c r="E421" t="str">
        <f t="shared" si="6"/>
        <v>Goalkeeper</v>
      </c>
    </row>
    <row r="422" spans="1:8" x14ac:dyDescent="0.25">
      <c r="A422" t="s">
        <v>558</v>
      </c>
      <c r="E422" t="str">
        <f t="shared" si="6"/>
        <v>Defender</v>
      </c>
    </row>
    <row r="423" spans="1:8" x14ac:dyDescent="0.25">
      <c r="A423" t="s">
        <v>558</v>
      </c>
      <c r="B423" t="s">
        <v>1594</v>
      </c>
      <c r="C423" t="s">
        <v>1594</v>
      </c>
      <c r="D423" t="s">
        <v>127</v>
      </c>
      <c r="E423" t="str">
        <f t="shared" si="6"/>
        <v>Defender</v>
      </c>
      <c r="F423" t="s">
        <v>1595</v>
      </c>
      <c r="G423" t="s">
        <v>1595</v>
      </c>
      <c r="H423" t="s">
        <v>127</v>
      </c>
    </row>
    <row r="424" spans="1:8" x14ac:dyDescent="0.25">
      <c r="A424" t="s">
        <v>558</v>
      </c>
      <c r="B424" t="s">
        <v>1596</v>
      </c>
      <c r="C424" t="s">
        <v>1596</v>
      </c>
      <c r="D424" t="s">
        <v>127</v>
      </c>
      <c r="E424" t="str">
        <f t="shared" si="6"/>
        <v>Defender</v>
      </c>
      <c r="F424" t="s">
        <v>1597</v>
      </c>
      <c r="G424" t="s">
        <v>1597</v>
      </c>
      <c r="H424" t="s">
        <v>127</v>
      </c>
    </row>
    <row r="425" spans="1:8" x14ac:dyDescent="0.25">
      <c r="A425" t="s">
        <v>558</v>
      </c>
      <c r="B425" t="s">
        <v>1598</v>
      </c>
      <c r="C425" t="s">
        <v>1598</v>
      </c>
      <c r="D425" t="s">
        <v>127</v>
      </c>
      <c r="E425" t="str">
        <f t="shared" si="6"/>
        <v>Defender</v>
      </c>
      <c r="F425" t="s">
        <v>1599</v>
      </c>
      <c r="G425" t="s">
        <v>1599</v>
      </c>
      <c r="H425" t="s">
        <v>127</v>
      </c>
    </row>
    <row r="426" spans="1:8" x14ac:dyDescent="0.25">
      <c r="A426" t="s">
        <v>558</v>
      </c>
      <c r="B426" t="s">
        <v>1600</v>
      </c>
      <c r="C426" t="s">
        <v>1600</v>
      </c>
      <c r="D426" t="s">
        <v>127</v>
      </c>
      <c r="E426" t="str">
        <f t="shared" si="6"/>
        <v>Defender</v>
      </c>
      <c r="F426" t="s">
        <v>1601</v>
      </c>
      <c r="G426" t="s">
        <v>1601</v>
      </c>
      <c r="H426" t="s">
        <v>127</v>
      </c>
    </row>
    <row r="427" spans="1:8" x14ac:dyDescent="0.25">
      <c r="A427" t="s">
        <v>558</v>
      </c>
      <c r="B427" t="s">
        <v>1602</v>
      </c>
      <c r="C427" t="s">
        <v>1602</v>
      </c>
      <c r="D427" t="s">
        <v>127</v>
      </c>
      <c r="E427" t="str">
        <f t="shared" si="6"/>
        <v>Defender</v>
      </c>
    </row>
    <row r="428" spans="1:8" x14ac:dyDescent="0.25">
      <c r="A428" t="s">
        <v>577</v>
      </c>
      <c r="E428" t="str">
        <f t="shared" si="6"/>
        <v>Midfielder</v>
      </c>
    </row>
    <row r="429" spans="1:8" x14ac:dyDescent="0.25">
      <c r="A429" t="s">
        <v>577</v>
      </c>
      <c r="B429" t="s">
        <v>1603</v>
      </c>
      <c r="C429" t="s">
        <v>1603</v>
      </c>
      <c r="D429" t="s">
        <v>127</v>
      </c>
      <c r="E429" t="str">
        <f t="shared" si="6"/>
        <v>Midfielder</v>
      </c>
      <c r="F429" t="s">
        <v>1604</v>
      </c>
      <c r="G429" t="s">
        <v>1604</v>
      </c>
      <c r="H429" t="s">
        <v>127</v>
      </c>
    </row>
    <row r="430" spans="1:8" x14ac:dyDescent="0.25">
      <c r="A430" t="s">
        <v>577</v>
      </c>
      <c r="B430" t="s">
        <v>1605</v>
      </c>
      <c r="C430" t="s">
        <v>1605</v>
      </c>
      <c r="D430" t="s">
        <v>127</v>
      </c>
      <c r="E430" t="str">
        <f t="shared" si="6"/>
        <v>Midfielder</v>
      </c>
      <c r="F430" t="s">
        <v>1606</v>
      </c>
      <c r="G430" t="s">
        <v>1606</v>
      </c>
      <c r="H430" t="s">
        <v>127</v>
      </c>
    </row>
    <row r="431" spans="1:8" x14ac:dyDescent="0.25">
      <c r="A431" t="s">
        <v>577</v>
      </c>
      <c r="B431" t="s">
        <v>1607</v>
      </c>
      <c r="C431" t="s">
        <v>1607</v>
      </c>
      <c r="D431" t="s">
        <v>127</v>
      </c>
      <c r="E431" t="str">
        <f t="shared" si="6"/>
        <v>Midfielder</v>
      </c>
      <c r="F431" t="s">
        <v>1608</v>
      </c>
      <c r="G431" t="s">
        <v>1608</v>
      </c>
      <c r="H431" t="s">
        <v>127</v>
      </c>
    </row>
    <row r="432" spans="1:8" x14ac:dyDescent="0.25">
      <c r="A432" t="s">
        <v>577</v>
      </c>
      <c r="B432" t="s">
        <v>1609</v>
      </c>
      <c r="C432" t="s">
        <v>1610</v>
      </c>
      <c r="D432" t="s">
        <v>127</v>
      </c>
      <c r="E432" t="str">
        <f t="shared" si="6"/>
        <v>Midfielder</v>
      </c>
    </row>
    <row r="433" spans="1:8" x14ac:dyDescent="0.25">
      <c r="A433" t="s">
        <v>592</v>
      </c>
      <c r="E433" t="str">
        <f t="shared" si="6"/>
        <v>Forward</v>
      </c>
    </row>
    <row r="434" spans="1:8" x14ac:dyDescent="0.25">
      <c r="A434" t="s">
        <v>592</v>
      </c>
      <c r="B434" t="s">
        <v>1611</v>
      </c>
      <c r="C434" t="s">
        <v>1611</v>
      </c>
      <c r="D434" t="s">
        <v>127</v>
      </c>
      <c r="E434" t="str">
        <f t="shared" si="6"/>
        <v>Forward</v>
      </c>
      <c r="F434" t="s">
        <v>1612</v>
      </c>
      <c r="G434" t="s">
        <v>1612</v>
      </c>
      <c r="H434" t="s">
        <v>127</v>
      </c>
    </row>
    <row r="435" spans="1:8" x14ac:dyDescent="0.25">
      <c r="A435" t="s">
        <v>592</v>
      </c>
      <c r="B435" t="s">
        <v>1613</v>
      </c>
      <c r="C435" t="s">
        <v>1613</v>
      </c>
      <c r="D435" t="s">
        <v>127</v>
      </c>
      <c r="E435" t="str">
        <f t="shared" si="6"/>
        <v>Forward</v>
      </c>
      <c r="F435" t="s">
        <v>1614</v>
      </c>
      <c r="G435" t="s">
        <v>1614</v>
      </c>
      <c r="H435" t="s">
        <v>127</v>
      </c>
    </row>
    <row r="436" spans="1:8" x14ac:dyDescent="0.25">
      <c r="A436" t="s">
        <v>592</v>
      </c>
      <c r="B436" t="s">
        <v>1615</v>
      </c>
      <c r="C436" t="s">
        <v>1615</v>
      </c>
      <c r="D436" t="s">
        <v>127</v>
      </c>
      <c r="E436" t="str">
        <f t="shared" si="6"/>
        <v>Forward</v>
      </c>
      <c r="F436" t="s">
        <v>1616</v>
      </c>
      <c r="G436" t="s">
        <v>1616</v>
      </c>
      <c r="H436" t="s">
        <v>127</v>
      </c>
    </row>
    <row r="437" spans="1:8" x14ac:dyDescent="0.25">
      <c r="A437" t="s">
        <v>592</v>
      </c>
      <c r="B437" t="s">
        <v>1617</v>
      </c>
      <c r="C437" t="s">
        <v>1617</v>
      </c>
      <c r="D437" t="s">
        <v>127</v>
      </c>
      <c r="E437" t="str">
        <f t="shared" si="6"/>
        <v>Forward</v>
      </c>
    </row>
    <row r="438" spans="1:8" x14ac:dyDescent="0.25">
      <c r="A438" t="s">
        <v>551</v>
      </c>
      <c r="E438" t="str">
        <f t="shared" si="6"/>
        <v>Goalkeeper</v>
      </c>
    </row>
    <row r="439" spans="1:8" x14ac:dyDescent="0.25">
      <c r="A439" t="s">
        <v>551</v>
      </c>
      <c r="B439" t="s">
        <v>1618</v>
      </c>
      <c r="C439" t="s">
        <v>517</v>
      </c>
      <c r="D439" t="s">
        <v>79</v>
      </c>
      <c r="E439" t="str">
        <f t="shared" si="6"/>
        <v>Goalkeeper</v>
      </c>
      <c r="F439" t="s">
        <v>1619</v>
      </c>
      <c r="G439" t="s">
        <v>1620</v>
      </c>
      <c r="H439" t="s">
        <v>79</v>
      </c>
    </row>
    <row r="440" spans="1:8" x14ac:dyDescent="0.25">
      <c r="A440" t="s">
        <v>551</v>
      </c>
      <c r="B440" t="s">
        <v>1621</v>
      </c>
      <c r="C440" t="s">
        <v>1622</v>
      </c>
      <c r="D440" t="s">
        <v>79</v>
      </c>
      <c r="E440" t="str">
        <f t="shared" si="6"/>
        <v>Goalkeeper</v>
      </c>
    </row>
    <row r="441" spans="1:8" x14ac:dyDescent="0.25">
      <c r="A441" t="s">
        <v>558</v>
      </c>
      <c r="E441" t="str">
        <f t="shared" si="6"/>
        <v>Defender</v>
      </c>
    </row>
    <row r="442" spans="1:8" x14ac:dyDescent="0.25">
      <c r="A442" t="s">
        <v>558</v>
      </c>
      <c r="B442" t="s">
        <v>1623</v>
      </c>
      <c r="C442" t="s">
        <v>1624</v>
      </c>
      <c r="D442" t="s">
        <v>79</v>
      </c>
      <c r="E442" t="str">
        <f t="shared" si="6"/>
        <v>Defender</v>
      </c>
      <c r="F442" t="s">
        <v>1625</v>
      </c>
      <c r="G442" t="s">
        <v>1626</v>
      </c>
      <c r="H442" t="s">
        <v>79</v>
      </c>
    </row>
    <row r="443" spans="1:8" x14ac:dyDescent="0.25">
      <c r="A443" t="s">
        <v>558</v>
      </c>
      <c r="B443" t="s">
        <v>1627</v>
      </c>
      <c r="C443" t="s">
        <v>1628</v>
      </c>
      <c r="D443" t="s">
        <v>79</v>
      </c>
      <c r="E443" t="str">
        <f t="shared" si="6"/>
        <v>Defender</v>
      </c>
      <c r="F443" t="s">
        <v>1629</v>
      </c>
      <c r="G443" t="s">
        <v>1630</v>
      </c>
      <c r="H443" t="s">
        <v>79</v>
      </c>
    </row>
    <row r="444" spans="1:8" x14ac:dyDescent="0.25">
      <c r="A444" t="s">
        <v>558</v>
      </c>
      <c r="B444" t="s">
        <v>1631</v>
      </c>
      <c r="C444" t="s">
        <v>1632</v>
      </c>
      <c r="D444" t="s">
        <v>79</v>
      </c>
      <c r="E444" t="str">
        <f t="shared" si="6"/>
        <v>Defender</v>
      </c>
      <c r="F444" t="s">
        <v>1633</v>
      </c>
      <c r="G444" t="s">
        <v>1634</v>
      </c>
      <c r="H444" t="s">
        <v>79</v>
      </c>
    </row>
    <row r="445" spans="1:8" x14ac:dyDescent="0.25">
      <c r="A445" t="s">
        <v>558</v>
      </c>
      <c r="B445" t="s">
        <v>1635</v>
      </c>
      <c r="C445" t="s">
        <v>1636</v>
      </c>
      <c r="D445" t="s">
        <v>79</v>
      </c>
      <c r="E445" t="str">
        <f t="shared" si="6"/>
        <v>Defender</v>
      </c>
      <c r="F445" t="s">
        <v>1637</v>
      </c>
      <c r="G445" t="s">
        <v>1638</v>
      </c>
      <c r="H445" t="s">
        <v>79</v>
      </c>
    </row>
    <row r="446" spans="1:8" x14ac:dyDescent="0.25">
      <c r="A446" t="s">
        <v>558</v>
      </c>
      <c r="B446" t="s">
        <v>1639</v>
      </c>
      <c r="C446" t="s">
        <v>1640</v>
      </c>
      <c r="D446" t="s">
        <v>79</v>
      </c>
      <c r="E446" t="str">
        <f t="shared" si="6"/>
        <v>Defender</v>
      </c>
    </row>
    <row r="447" spans="1:8" x14ac:dyDescent="0.25">
      <c r="A447" t="s">
        <v>577</v>
      </c>
      <c r="E447" t="str">
        <f t="shared" si="6"/>
        <v>Midfielder</v>
      </c>
    </row>
    <row r="448" spans="1:8" x14ac:dyDescent="0.25">
      <c r="A448" t="s">
        <v>577</v>
      </c>
      <c r="B448" t="s">
        <v>1641</v>
      </c>
      <c r="C448" t="s">
        <v>1642</v>
      </c>
      <c r="D448" t="s">
        <v>79</v>
      </c>
      <c r="E448" t="str">
        <f t="shared" si="6"/>
        <v>Midfielder</v>
      </c>
      <c r="F448" t="s">
        <v>1643</v>
      </c>
      <c r="G448" t="s">
        <v>1644</v>
      </c>
      <c r="H448" t="s">
        <v>79</v>
      </c>
    </row>
    <row r="449" spans="1:8" x14ac:dyDescent="0.25">
      <c r="A449" t="s">
        <v>577</v>
      </c>
      <c r="B449" t="s">
        <v>1645</v>
      </c>
      <c r="C449" t="s">
        <v>1646</v>
      </c>
      <c r="D449" t="s">
        <v>79</v>
      </c>
      <c r="E449" t="str">
        <f t="shared" si="6"/>
        <v>Midfielder</v>
      </c>
      <c r="F449" t="s">
        <v>1647</v>
      </c>
      <c r="G449" t="s">
        <v>1648</v>
      </c>
      <c r="H449" t="s">
        <v>79</v>
      </c>
    </row>
    <row r="450" spans="1:8" x14ac:dyDescent="0.25">
      <c r="A450" t="s">
        <v>577</v>
      </c>
      <c r="B450" t="s">
        <v>1649</v>
      </c>
      <c r="C450" t="s">
        <v>1650</v>
      </c>
      <c r="D450" t="s">
        <v>79</v>
      </c>
      <c r="E450" t="str">
        <f t="shared" si="6"/>
        <v>Midfielder</v>
      </c>
      <c r="F450" t="s">
        <v>1651</v>
      </c>
      <c r="G450" t="s">
        <v>1652</v>
      </c>
      <c r="H450" t="s">
        <v>79</v>
      </c>
    </row>
    <row r="451" spans="1:8" x14ac:dyDescent="0.25">
      <c r="A451" t="s">
        <v>592</v>
      </c>
      <c r="E451" t="str">
        <f t="shared" ref="E451:E514" si="7">A451</f>
        <v>Forward</v>
      </c>
    </row>
    <row r="452" spans="1:8" x14ac:dyDescent="0.25">
      <c r="A452" t="s">
        <v>592</v>
      </c>
      <c r="B452" t="s">
        <v>1653</v>
      </c>
      <c r="C452" t="s">
        <v>1654</v>
      </c>
      <c r="D452" t="s">
        <v>79</v>
      </c>
      <c r="E452" t="str">
        <f t="shared" si="7"/>
        <v>Forward</v>
      </c>
      <c r="F452" t="s">
        <v>1655</v>
      </c>
      <c r="G452" t="s">
        <v>1656</v>
      </c>
      <c r="H452" t="s">
        <v>79</v>
      </c>
    </row>
    <row r="453" spans="1:8" x14ac:dyDescent="0.25">
      <c r="A453" t="s">
        <v>592</v>
      </c>
      <c r="B453" t="s">
        <v>1657</v>
      </c>
      <c r="C453" t="s">
        <v>1658</v>
      </c>
      <c r="D453" t="s">
        <v>79</v>
      </c>
      <c r="E453" t="str">
        <f t="shared" si="7"/>
        <v>Forward</v>
      </c>
      <c r="F453" t="s">
        <v>1659</v>
      </c>
      <c r="G453" t="s">
        <v>1660</v>
      </c>
      <c r="H453" t="s">
        <v>79</v>
      </c>
    </row>
    <row r="454" spans="1:8" x14ac:dyDescent="0.25">
      <c r="A454" t="s">
        <v>592</v>
      </c>
      <c r="B454" t="s">
        <v>1661</v>
      </c>
      <c r="C454" t="s">
        <v>1662</v>
      </c>
      <c r="D454" t="s">
        <v>79</v>
      </c>
      <c r="E454" t="str">
        <f t="shared" si="7"/>
        <v>Forward</v>
      </c>
      <c r="F454" t="s">
        <v>1663</v>
      </c>
      <c r="G454" t="s">
        <v>1664</v>
      </c>
      <c r="H454" t="s">
        <v>79</v>
      </c>
    </row>
    <row r="455" spans="1:8" x14ac:dyDescent="0.25">
      <c r="A455" t="s">
        <v>592</v>
      </c>
      <c r="B455" t="s">
        <v>1665</v>
      </c>
      <c r="C455" t="s">
        <v>1666</v>
      </c>
      <c r="D455" t="s">
        <v>79</v>
      </c>
      <c r="E455" t="str">
        <f t="shared" si="7"/>
        <v>Forward</v>
      </c>
      <c r="F455" t="s">
        <v>1667</v>
      </c>
      <c r="G455" t="s">
        <v>1668</v>
      </c>
      <c r="H455" t="s">
        <v>79</v>
      </c>
    </row>
    <row r="456" spans="1:8" x14ac:dyDescent="0.25">
      <c r="A456" t="s">
        <v>551</v>
      </c>
      <c r="E456" t="str">
        <f t="shared" si="7"/>
        <v>Goalkeeper</v>
      </c>
    </row>
    <row r="457" spans="1:8" x14ac:dyDescent="0.25">
      <c r="A457" t="s">
        <v>551</v>
      </c>
      <c r="B457" t="s">
        <v>1669</v>
      </c>
      <c r="C457" t="s">
        <v>1669</v>
      </c>
      <c r="D457" t="s">
        <v>92</v>
      </c>
      <c r="E457" t="str">
        <f t="shared" si="7"/>
        <v>Goalkeeper</v>
      </c>
      <c r="F457" t="s">
        <v>1670</v>
      </c>
      <c r="G457" t="s">
        <v>1670</v>
      </c>
      <c r="H457" t="s">
        <v>92</v>
      </c>
    </row>
    <row r="458" spans="1:8" x14ac:dyDescent="0.25">
      <c r="A458" t="s">
        <v>551</v>
      </c>
      <c r="B458" t="s">
        <v>1671</v>
      </c>
      <c r="C458" t="s">
        <v>1671</v>
      </c>
      <c r="D458" t="s">
        <v>92</v>
      </c>
      <c r="E458" t="str">
        <f t="shared" si="7"/>
        <v>Goalkeeper</v>
      </c>
    </row>
    <row r="459" spans="1:8" x14ac:dyDescent="0.25">
      <c r="A459" t="s">
        <v>558</v>
      </c>
      <c r="E459" t="str">
        <f t="shared" si="7"/>
        <v>Defender</v>
      </c>
    </row>
    <row r="460" spans="1:8" x14ac:dyDescent="0.25">
      <c r="A460" t="s">
        <v>558</v>
      </c>
      <c r="B460" t="s">
        <v>1672</v>
      </c>
      <c r="C460" t="s">
        <v>1672</v>
      </c>
      <c r="D460" t="s">
        <v>92</v>
      </c>
      <c r="E460" t="str">
        <f t="shared" si="7"/>
        <v>Defender</v>
      </c>
      <c r="F460" t="s">
        <v>1673</v>
      </c>
      <c r="G460" t="s">
        <v>1673</v>
      </c>
      <c r="H460" t="s">
        <v>92</v>
      </c>
    </row>
    <row r="461" spans="1:8" x14ac:dyDescent="0.25">
      <c r="A461" t="s">
        <v>558</v>
      </c>
      <c r="B461" t="s">
        <v>1674</v>
      </c>
      <c r="C461" t="s">
        <v>1674</v>
      </c>
      <c r="D461" t="s">
        <v>92</v>
      </c>
      <c r="E461" t="str">
        <f t="shared" si="7"/>
        <v>Defender</v>
      </c>
      <c r="F461" t="s">
        <v>1675</v>
      </c>
      <c r="G461" t="s">
        <v>1675</v>
      </c>
      <c r="H461" t="s">
        <v>92</v>
      </c>
    </row>
    <row r="462" spans="1:8" x14ac:dyDescent="0.25">
      <c r="A462" t="s">
        <v>558</v>
      </c>
      <c r="B462" t="s">
        <v>1676</v>
      </c>
      <c r="C462" t="s">
        <v>1676</v>
      </c>
      <c r="D462" t="s">
        <v>92</v>
      </c>
      <c r="E462" t="str">
        <f t="shared" si="7"/>
        <v>Defender</v>
      </c>
      <c r="F462" t="s">
        <v>1677</v>
      </c>
      <c r="G462" t="s">
        <v>1677</v>
      </c>
      <c r="H462" t="s">
        <v>92</v>
      </c>
    </row>
    <row r="463" spans="1:8" x14ac:dyDescent="0.25">
      <c r="A463" t="s">
        <v>558</v>
      </c>
      <c r="B463" t="s">
        <v>1678</v>
      </c>
      <c r="C463" t="s">
        <v>1678</v>
      </c>
      <c r="D463" t="s">
        <v>92</v>
      </c>
      <c r="E463" t="str">
        <f t="shared" si="7"/>
        <v>Defender</v>
      </c>
      <c r="F463" t="s">
        <v>1679</v>
      </c>
      <c r="G463" t="s">
        <v>1679</v>
      </c>
      <c r="H463" t="s">
        <v>92</v>
      </c>
    </row>
    <row r="464" spans="1:8" x14ac:dyDescent="0.25">
      <c r="A464" t="s">
        <v>558</v>
      </c>
      <c r="B464" t="s">
        <v>1680</v>
      </c>
      <c r="C464" t="s">
        <v>1680</v>
      </c>
      <c r="D464" t="s">
        <v>92</v>
      </c>
      <c r="E464" t="str">
        <f t="shared" si="7"/>
        <v>Defender</v>
      </c>
      <c r="F464" t="s">
        <v>1681</v>
      </c>
      <c r="G464" t="s">
        <v>1681</v>
      </c>
      <c r="H464" t="s">
        <v>92</v>
      </c>
    </row>
    <row r="465" spans="1:8" x14ac:dyDescent="0.25">
      <c r="A465" t="s">
        <v>558</v>
      </c>
      <c r="B465" t="s">
        <v>1682</v>
      </c>
      <c r="C465" t="s">
        <v>1682</v>
      </c>
      <c r="D465" t="s">
        <v>92</v>
      </c>
      <c r="E465" t="str">
        <f t="shared" si="7"/>
        <v>Defender</v>
      </c>
    </row>
    <row r="466" spans="1:8" x14ac:dyDescent="0.25">
      <c r="A466" t="s">
        <v>577</v>
      </c>
      <c r="E466" t="str">
        <f t="shared" si="7"/>
        <v>Midfielder</v>
      </c>
    </row>
    <row r="467" spans="1:8" x14ac:dyDescent="0.25">
      <c r="A467" t="s">
        <v>577</v>
      </c>
      <c r="B467" t="s">
        <v>1683</v>
      </c>
      <c r="C467" t="s">
        <v>1683</v>
      </c>
      <c r="D467" t="s">
        <v>92</v>
      </c>
      <c r="E467" t="str">
        <f t="shared" si="7"/>
        <v>Midfielder</v>
      </c>
      <c r="F467" t="s">
        <v>1684</v>
      </c>
      <c r="G467" t="s">
        <v>1684</v>
      </c>
      <c r="H467" t="s">
        <v>92</v>
      </c>
    </row>
    <row r="468" spans="1:8" x14ac:dyDescent="0.25">
      <c r="A468" t="s">
        <v>577</v>
      </c>
      <c r="B468" t="s">
        <v>1685</v>
      </c>
      <c r="C468" t="s">
        <v>1685</v>
      </c>
      <c r="D468" t="s">
        <v>92</v>
      </c>
      <c r="E468" t="str">
        <f t="shared" si="7"/>
        <v>Midfielder</v>
      </c>
      <c r="F468" t="s">
        <v>1686</v>
      </c>
      <c r="G468" t="s">
        <v>1686</v>
      </c>
      <c r="H468" t="s">
        <v>92</v>
      </c>
    </row>
    <row r="469" spans="1:8" x14ac:dyDescent="0.25">
      <c r="A469" t="s">
        <v>577</v>
      </c>
      <c r="B469" t="s">
        <v>1687</v>
      </c>
      <c r="C469" t="s">
        <v>1687</v>
      </c>
      <c r="D469" t="s">
        <v>92</v>
      </c>
      <c r="E469" t="str">
        <f t="shared" si="7"/>
        <v>Midfielder</v>
      </c>
    </row>
    <row r="470" spans="1:8" x14ac:dyDescent="0.25">
      <c r="A470" t="s">
        <v>592</v>
      </c>
      <c r="E470" t="str">
        <f t="shared" si="7"/>
        <v>Forward</v>
      </c>
    </row>
    <row r="471" spans="1:8" x14ac:dyDescent="0.25">
      <c r="A471" t="s">
        <v>592</v>
      </c>
      <c r="B471" t="s">
        <v>1688</v>
      </c>
      <c r="C471" t="s">
        <v>1688</v>
      </c>
      <c r="D471" t="s">
        <v>92</v>
      </c>
      <c r="E471" t="str">
        <f t="shared" si="7"/>
        <v>Forward</v>
      </c>
      <c r="F471" t="s">
        <v>1689</v>
      </c>
      <c r="G471" t="s">
        <v>1689</v>
      </c>
      <c r="H471" t="s">
        <v>92</v>
      </c>
    </row>
    <row r="472" spans="1:8" x14ac:dyDescent="0.25">
      <c r="A472" t="s">
        <v>592</v>
      </c>
      <c r="B472" t="s">
        <v>1690</v>
      </c>
      <c r="C472" t="s">
        <v>1690</v>
      </c>
      <c r="D472" t="s">
        <v>92</v>
      </c>
      <c r="E472" t="str">
        <f t="shared" si="7"/>
        <v>Forward</v>
      </c>
      <c r="F472" t="s">
        <v>1691</v>
      </c>
      <c r="G472" t="s">
        <v>1691</v>
      </c>
      <c r="H472" t="s">
        <v>92</v>
      </c>
    </row>
    <row r="473" spans="1:8" x14ac:dyDescent="0.25">
      <c r="A473" t="s">
        <v>592</v>
      </c>
      <c r="B473" t="s">
        <v>1692</v>
      </c>
      <c r="C473" t="s">
        <v>1692</v>
      </c>
      <c r="D473" t="s">
        <v>92</v>
      </c>
      <c r="E473" t="str">
        <f t="shared" si="7"/>
        <v>Forward</v>
      </c>
      <c r="F473" t="s">
        <v>1693</v>
      </c>
      <c r="G473" t="s">
        <v>1693</v>
      </c>
      <c r="H473" t="s">
        <v>92</v>
      </c>
    </row>
    <row r="474" spans="1:8" x14ac:dyDescent="0.25">
      <c r="A474" t="s">
        <v>551</v>
      </c>
      <c r="E474" t="str">
        <f t="shared" si="7"/>
        <v>Goalkeeper</v>
      </c>
    </row>
    <row r="475" spans="1:8" x14ac:dyDescent="0.25">
      <c r="A475" t="s">
        <v>551</v>
      </c>
      <c r="B475" t="s">
        <v>1694</v>
      </c>
      <c r="C475" t="s">
        <v>1694</v>
      </c>
      <c r="D475" t="s">
        <v>149</v>
      </c>
      <c r="E475" t="str">
        <f t="shared" si="7"/>
        <v>Goalkeeper</v>
      </c>
      <c r="F475" t="s">
        <v>1695</v>
      </c>
      <c r="G475" t="s">
        <v>1695</v>
      </c>
      <c r="H475" t="s">
        <v>149</v>
      </c>
    </row>
    <row r="476" spans="1:8" x14ac:dyDescent="0.25">
      <c r="A476" t="s">
        <v>551</v>
      </c>
      <c r="B476" t="s">
        <v>1696</v>
      </c>
      <c r="C476" t="s">
        <v>1696</v>
      </c>
      <c r="D476" t="s">
        <v>149</v>
      </c>
      <c r="E476" t="str">
        <f t="shared" si="7"/>
        <v>Goalkeeper</v>
      </c>
    </row>
    <row r="477" spans="1:8" x14ac:dyDescent="0.25">
      <c r="A477" t="s">
        <v>558</v>
      </c>
      <c r="E477" t="str">
        <f t="shared" si="7"/>
        <v>Defender</v>
      </c>
    </row>
    <row r="478" spans="1:8" x14ac:dyDescent="0.25">
      <c r="A478" t="s">
        <v>558</v>
      </c>
      <c r="B478" t="s">
        <v>1697</v>
      </c>
      <c r="C478" t="s">
        <v>1697</v>
      </c>
      <c r="D478" t="s">
        <v>149</v>
      </c>
      <c r="E478" t="str">
        <f t="shared" si="7"/>
        <v>Defender</v>
      </c>
      <c r="F478" t="s">
        <v>1698</v>
      </c>
      <c r="G478" t="s">
        <v>1698</v>
      </c>
      <c r="H478" t="s">
        <v>149</v>
      </c>
    </row>
    <row r="479" spans="1:8" x14ac:dyDescent="0.25">
      <c r="A479" t="s">
        <v>558</v>
      </c>
      <c r="B479" t="s">
        <v>1699</v>
      </c>
      <c r="C479" t="s">
        <v>1699</v>
      </c>
      <c r="D479" t="s">
        <v>149</v>
      </c>
      <c r="E479" t="str">
        <f t="shared" si="7"/>
        <v>Defender</v>
      </c>
      <c r="F479" t="s">
        <v>1700</v>
      </c>
      <c r="G479" t="s">
        <v>1700</v>
      </c>
      <c r="H479" t="s">
        <v>149</v>
      </c>
    </row>
    <row r="480" spans="1:8" x14ac:dyDescent="0.25">
      <c r="A480" t="s">
        <v>558</v>
      </c>
      <c r="B480" t="s">
        <v>473</v>
      </c>
      <c r="C480" t="s">
        <v>473</v>
      </c>
      <c r="D480" t="s">
        <v>149</v>
      </c>
      <c r="E480" t="str">
        <f t="shared" si="7"/>
        <v>Defender</v>
      </c>
      <c r="F480" t="s">
        <v>1701</v>
      </c>
      <c r="G480" t="s">
        <v>1701</v>
      </c>
      <c r="H480" t="s">
        <v>149</v>
      </c>
    </row>
    <row r="481" spans="1:8" x14ac:dyDescent="0.25">
      <c r="A481" t="s">
        <v>558</v>
      </c>
      <c r="B481" t="s">
        <v>1702</v>
      </c>
      <c r="C481" t="s">
        <v>1702</v>
      </c>
      <c r="D481" t="s">
        <v>149</v>
      </c>
      <c r="E481" t="str">
        <f t="shared" si="7"/>
        <v>Defender</v>
      </c>
      <c r="F481" t="s">
        <v>1703</v>
      </c>
      <c r="G481" t="s">
        <v>1703</v>
      </c>
      <c r="H481" t="s">
        <v>149</v>
      </c>
    </row>
    <row r="482" spans="1:8" x14ac:dyDescent="0.25">
      <c r="A482" t="s">
        <v>577</v>
      </c>
      <c r="E482" t="str">
        <f t="shared" si="7"/>
        <v>Midfielder</v>
      </c>
    </row>
    <row r="483" spans="1:8" x14ac:dyDescent="0.25">
      <c r="A483" t="s">
        <v>577</v>
      </c>
      <c r="B483" t="s">
        <v>1704</v>
      </c>
      <c r="C483" t="s">
        <v>1704</v>
      </c>
      <c r="D483" t="s">
        <v>149</v>
      </c>
      <c r="E483" t="str">
        <f t="shared" si="7"/>
        <v>Midfielder</v>
      </c>
      <c r="F483" t="s">
        <v>1705</v>
      </c>
      <c r="G483" t="s">
        <v>1705</v>
      </c>
      <c r="H483" t="s">
        <v>149</v>
      </c>
    </row>
    <row r="484" spans="1:8" x14ac:dyDescent="0.25">
      <c r="A484" t="s">
        <v>577</v>
      </c>
      <c r="B484" t="s">
        <v>1706</v>
      </c>
      <c r="C484" t="s">
        <v>1706</v>
      </c>
      <c r="D484" t="s">
        <v>149</v>
      </c>
      <c r="E484" t="str">
        <f t="shared" si="7"/>
        <v>Midfielder</v>
      </c>
      <c r="F484" t="s">
        <v>1707</v>
      </c>
      <c r="G484" t="s">
        <v>1708</v>
      </c>
      <c r="H484" t="s">
        <v>149</v>
      </c>
    </row>
    <row r="485" spans="1:8" x14ac:dyDescent="0.25">
      <c r="A485" t="s">
        <v>577</v>
      </c>
      <c r="B485" t="s">
        <v>1709</v>
      </c>
      <c r="C485" t="s">
        <v>1709</v>
      </c>
      <c r="D485" t="s">
        <v>149</v>
      </c>
      <c r="E485" t="str">
        <f t="shared" si="7"/>
        <v>Midfielder</v>
      </c>
      <c r="F485" t="s">
        <v>1710</v>
      </c>
      <c r="G485" t="s">
        <v>1710</v>
      </c>
      <c r="H485" t="s">
        <v>149</v>
      </c>
    </row>
    <row r="486" spans="1:8" x14ac:dyDescent="0.25">
      <c r="A486" t="s">
        <v>577</v>
      </c>
      <c r="B486" t="s">
        <v>1711</v>
      </c>
      <c r="C486" t="s">
        <v>1711</v>
      </c>
      <c r="D486" t="s">
        <v>149</v>
      </c>
      <c r="E486" t="str">
        <f t="shared" si="7"/>
        <v>Midfielder</v>
      </c>
      <c r="F486" t="s">
        <v>1712</v>
      </c>
      <c r="G486" t="s">
        <v>1712</v>
      </c>
      <c r="H486" t="s">
        <v>149</v>
      </c>
    </row>
    <row r="487" spans="1:8" x14ac:dyDescent="0.25">
      <c r="A487" t="s">
        <v>577</v>
      </c>
      <c r="B487" t="s">
        <v>1713</v>
      </c>
      <c r="C487" t="s">
        <v>1713</v>
      </c>
      <c r="D487" t="s">
        <v>149</v>
      </c>
      <c r="E487" t="str">
        <f t="shared" si="7"/>
        <v>Midfielder</v>
      </c>
    </row>
    <row r="488" spans="1:8" x14ac:dyDescent="0.25">
      <c r="A488" t="s">
        <v>592</v>
      </c>
      <c r="E488" t="str">
        <f t="shared" si="7"/>
        <v>Forward</v>
      </c>
    </row>
    <row r="489" spans="1:8" x14ac:dyDescent="0.25">
      <c r="A489" t="s">
        <v>592</v>
      </c>
      <c r="B489" t="s">
        <v>440</v>
      </c>
      <c r="C489" t="s">
        <v>440</v>
      </c>
      <c r="D489" t="s">
        <v>149</v>
      </c>
      <c r="E489" t="str">
        <f t="shared" si="7"/>
        <v>Forward</v>
      </c>
      <c r="F489" t="s">
        <v>1714</v>
      </c>
      <c r="G489" t="s">
        <v>1714</v>
      </c>
      <c r="H489" t="s">
        <v>149</v>
      </c>
    </row>
    <row r="490" spans="1:8" x14ac:dyDescent="0.25">
      <c r="A490" t="s">
        <v>592</v>
      </c>
      <c r="B490" t="s">
        <v>1715</v>
      </c>
      <c r="C490" t="s">
        <v>1715</v>
      </c>
      <c r="D490" t="s">
        <v>149</v>
      </c>
      <c r="E490" t="str">
        <f t="shared" si="7"/>
        <v>Forward</v>
      </c>
      <c r="F490" t="s">
        <v>1716</v>
      </c>
      <c r="G490" t="s">
        <v>1716</v>
      </c>
      <c r="H490" t="s">
        <v>149</v>
      </c>
    </row>
    <row r="491" spans="1:8" x14ac:dyDescent="0.25">
      <c r="A491" t="s">
        <v>592</v>
      </c>
      <c r="B491" t="s">
        <v>1717</v>
      </c>
      <c r="C491" t="s">
        <v>1717</v>
      </c>
      <c r="D491" t="s">
        <v>149</v>
      </c>
      <c r="E491" t="str">
        <f t="shared" si="7"/>
        <v>Forward</v>
      </c>
      <c r="F491" t="s">
        <v>1718</v>
      </c>
      <c r="G491" t="s">
        <v>1718</v>
      </c>
      <c r="H491" t="s">
        <v>149</v>
      </c>
    </row>
    <row r="492" spans="1:8" x14ac:dyDescent="0.25">
      <c r="A492" t="s">
        <v>551</v>
      </c>
      <c r="E492" t="str">
        <f t="shared" si="7"/>
        <v>Goalkeeper</v>
      </c>
    </row>
    <row r="493" spans="1:8" x14ac:dyDescent="0.25">
      <c r="A493" t="s">
        <v>551</v>
      </c>
      <c r="B493" t="s">
        <v>1719</v>
      </c>
      <c r="C493" t="s">
        <v>1720</v>
      </c>
      <c r="D493" t="s">
        <v>153</v>
      </c>
      <c r="E493" t="str">
        <f t="shared" si="7"/>
        <v>Goalkeeper</v>
      </c>
      <c r="F493" t="s">
        <v>1721</v>
      </c>
      <c r="G493" t="s">
        <v>1722</v>
      </c>
      <c r="H493" t="s">
        <v>153</v>
      </c>
    </row>
    <row r="494" spans="1:8" x14ac:dyDescent="0.25">
      <c r="A494" t="s">
        <v>551</v>
      </c>
      <c r="B494" t="s">
        <v>1723</v>
      </c>
      <c r="C494" t="s">
        <v>1724</v>
      </c>
      <c r="D494" t="s">
        <v>153</v>
      </c>
      <c r="E494" t="str">
        <f t="shared" si="7"/>
        <v>Goalkeeper</v>
      </c>
    </row>
    <row r="495" spans="1:8" x14ac:dyDescent="0.25">
      <c r="A495" t="s">
        <v>558</v>
      </c>
      <c r="E495" t="str">
        <f t="shared" si="7"/>
        <v>Defender</v>
      </c>
    </row>
    <row r="496" spans="1:8" x14ac:dyDescent="0.25">
      <c r="A496" t="s">
        <v>558</v>
      </c>
      <c r="B496" t="s">
        <v>1725</v>
      </c>
      <c r="C496" t="s">
        <v>1726</v>
      </c>
      <c r="D496" t="s">
        <v>153</v>
      </c>
      <c r="E496" t="str">
        <f t="shared" si="7"/>
        <v>Defender</v>
      </c>
      <c r="F496" t="s">
        <v>1727</v>
      </c>
      <c r="G496" t="s">
        <v>1728</v>
      </c>
      <c r="H496" t="s">
        <v>153</v>
      </c>
    </row>
    <row r="497" spans="1:8" x14ac:dyDescent="0.25">
      <c r="A497" t="s">
        <v>558</v>
      </c>
      <c r="B497" t="s">
        <v>1729</v>
      </c>
      <c r="C497" t="s">
        <v>1730</v>
      </c>
      <c r="D497" t="s">
        <v>153</v>
      </c>
      <c r="E497" t="str">
        <f t="shared" si="7"/>
        <v>Defender</v>
      </c>
      <c r="F497" t="s">
        <v>1731</v>
      </c>
      <c r="G497" t="s">
        <v>1732</v>
      </c>
      <c r="H497" t="s">
        <v>153</v>
      </c>
    </row>
    <row r="498" spans="1:8" x14ac:dyDescent="0.25">
      <c r="A498" t="s">
        <v>558</v>
      </c>
      <c r="B498" t="s">
        <v>1733</v>
      </c>
      <c r="C498" t="s">
        <v>1734</v>
      </c>
      <c r="D498" t="s">
        <v>153</v>
      </c>
      <c r="E498" t="str">
        <f t="shared" si="7"/>
        <v>Defender</v>
      </c>
      <c r="F498" t="s">
        <v>1735</v>
      </c>
      <c r="G498" t="s">
        <v>1736</v>
      </c>
      <c r="H498" t="s">
        <v>153</v>
      </c>
    </row>
    <row r="499" spans="1:8" x14ac:dyDescent="0.25">
      <c r="A499" t="s">
        <v>577</v>
      </c>
      <c r="E499" t="str">
        <f t="shared" si="7"/>
        <v>Midfielder</v>
      </c>
    </row>
    <row r="500" spans="1:8" x14ac:dyDescent="0.25">
      <c r="A500" t="s">
        <v>577</v>
      </c>
      <c r="B500" t="s">
        <v>1737</v>
      </c>
      <c r="C500" t="s">
        <v>1738</v>
      </c>
      <c r="D500" t="s">
        <v>153</v>
      </c>
      <c r="E500" t="str">
        <f t="shared" si="7"/>
        <v>Midfielder</v>
      </c>
      <c r="F500" t="s">
        <v>1739</v>
      </c>
      <c r="G500" t="s">
        <v>1740</v>
      </c>
      <c r="H500" t="s">
        <v>153</v>
      </c>
    </row>
    <row r="501" spans="1:8" x14ac:dyDescent="0.25">
      <c r="A501" t="s">
        <v>577</v>
      </c>
      <c r="B501" t="s">
        <v>1741</v>
      </c>
      <c r="C501" t="s">
        <v>1742</v>
      </c>
      <c r="D501" t="s">
        <v>153</v>
      </c>
      <c r="E501" t="str">
        <f t="shared" si="7"/>
        <v>Midfielder</v>
      </c>
      <c r="F501" t="s">
        <v>1743</v>
      </c>
      <c r="G501" t="s">
        <v>1744</v>
      </c>
      <c r="H501" t="s">
        <v>153</v>
      </c>
    </row>
    <row r="502" spans="1:8" x14ac:dyDescent="0.25">
      <c r="A502" t="s">
        <v>577</v>
      </c>
      <c r="B502" t="s">
        <v>1745</v>
      </c>
      <c r="C502" t="s">
        <v>1746</v>
      </c>
      <c r="D502" t="s">
        <v>153</v>
      </c>
      <c r="E502" t="str">
        <f t="shared" si="7"/>
        <v>Midfielder</v>
      </c>
      <c r="F502" t="s">
        <v>1747</v>
      </c>
      <c r="G502" t="s">
        <v>1748</v>
      </c>
      <c r="H502" t="s">
        <v>153</v>
      </c>
    </row>
    <row r="503" spans="1:8" x14ac:dyDescent="0.25">
      <c r="A503" t="s">
        <v>577</v>
      </c>
      <c r="B503" t="s">
        <v>1749</v>
      </c>
      <c r="C503" t="s">
        <v>1750</v>
      </c>
      <c r="D503" t="s">
        <v>153</v>
      </c>
      <c r="E503" t="str">
        <f t="shared" si="7"/>
        <v>Midfielder</v>
      </c>
      <c r="F503" t="s">
        <v>1751</v>
      </c>
      <c r="G503" t="s">
        <v>1752</v>
      </c>
      <c r="H503" t="s">
        <v>153</v>
      </c>
    </row>
    <row r="504" spans="1:8" x14ac:dyDescent="0.25">
      <c r="A504" t="s">
        <v>577</v>
      </c>
      <c r="B504" t="s">
        <v>1753</v>
      </c>
      <c r="C504" t="s">
        <v>1754</v>
      </c>
      <c r="D504" t="s">
        <v>153</v>
      </c>
      <c r="E504" t="str">
        <f t="shared" si="7"/>
        <v>Midfielder</v>
      </c>
      <c r="F504" t="s">
        <v>1755</v>
      </c>
      <c r="G504" t="s">
        <v>1756</v>
      </c>
      <c r="H504" t="s">
        <v>153</v>
      </c>
    </row>
    <row r="505" spans="1:8" x14ac:dyDescent="0.25">
      <c r="A505" t="s">
        <v>592</v>
      </c>
      <c r="E505" t="str">
        <f t="shared" si="7"/>
        <v>Forward</v>
      </c>
    </row>
    <row r="506" spans="1:8" x14ac:dyDescent="0.25">
      <c r="A506" t="s">
        <v>592</v>
      </c>
      <c r="B506" t="s">
        <v>1757</v>
      </c>
      <c r="C506" t="s">
        <v>489</v>
      </c>
      <c r="D506" t="s">
        <v>153</v>
      </c>
      <c r="E506" t="str">
        <f t="shared" si="7"/>
        <v>Forward</v>
      </c>
      <c r="F506" t="s">
        <v>1758</v>
      </c>
      <c r="G506" t="s">
        <v>1759</v>
      </c>
      <c r="H506" t="s">
        <v>153</v>
      </c>
    </row>
    <row r="507" spans="1:8" x14ac:dyDescent="0.25">
      <c r="A507" t="s">
        <v>592</v>
      </c>
      <c r="B507" t="s">
        <v>1760</v>
      </c>
      <c r="C507" t="s">
        <v>1761</v>
      </c>
      <c r="D507" t="s">
        <v>153</v>
      </c>
      <c r="E507" t="str">
        <f t="shared" si="7"/>
        <v>Forward</v>
      </c>
      <c r="F507" t="s">
        <v>1762</v>
      </c>
      <c r="G507" t="s">
        <v>1763</v>
      </c>
      <c r="H507" t="s">
        <v>153</v>
      </c>
    </row>
    <row r="508" spans="1:8" x14ac:dyDescent="0.25">
      <c r="A508" t="s">
        <v>592</v>
      </c>
      <c r="B508" t="s">
        <v>1764</v>
      </c>
      <c r="C508" t="s">
        <v>1765</v>
      </c>
      <c r="D508" t="s">
        <v>153</v>
      </c>
      <c r="E508" t="str">
        <f t="shared" si="7"/>
        <v>Forward</v>
      </c>
      <c r="F508" t="s">
        <v>1766</v>
      </c>
      <c r="G508" t="s">
        <v>1767</v>
      </c>
      <c r="H508" t="s">
        <v>153</v>
      </c>
    </row>
    <row r="509" spans="1:8" x14ac:dyDescent="0.25">
      <c r="A509" t="s">
        <v>592</v>
      </c>
      <c r="B509" t="s">
        <v>1768</v>
      </c>
      <c r="C509" t="s">
        <v>1769</v>
      </c>
      <c r="D509" t="s">
        <v>153</v>
      </c>
      <c r="E509" t="str">
        <f t="shared" si="7"/>
        <v>Forward</v>
      </c>
    </row>
    <row r="510" spans="1:8" x14ac:dyDescent="0.25">
      <c r="A510" t="s">
        <v>551</v>
      </c>
      <c r="E510" t="str">
        <f t="shared" si="7"/>
        <v>Goalkeeper</v>
      </c>
    </row>
    <row r="511" spans="1:8" x14ac:dyDescent="0.25">
      <c r="A511" t="s">
        <v>551</v>
      </c>
      <c r="B511" t="s">
        <v>1770</v>
      </c>
      <c r="C511" t="s">
        <v>521</v>
      </c>
      <c r="D511" t="s">
        <v>70</v>
      </c>
      <c r="E511" t="str">
        <f t="shared" si="7"/>
        <v>Goalkeeper</v>
      </c>
      <c r="F511" t="s">
        <v>1771</v>
      </c>
      <c r="G511" t="s">
        <v>1772</v>
      </c>
      <c r="H511" t="s">
        <v>70</v>
      </c>
    </row>
    <row r="512" spans="1:8" x14ac:dyDescent="0.25">
      <c r="A512" t="s">
        <v>551</v>
      </c>
      <c r="B512" t="s">
        <v>1773</v>
      </c>
      <c r="C512" t="s">
        <v>1774</v>
      </c>
      <c r="D512" t="s">
        <v>70</v>
      </c>
      <c r="E512" t="str">
        <f t="shared" si="7"/>
        <v>Goalkeeper</v>
      </c>
    </row>
    <row r="513" spans="1:8" x14ac:dyDescent="0.25">
      <c r="A513" t="s">
        <v>558</v>
      </c>
      <c r="E513" t="str">
        <f t="shared" si="7"/>
        <v>Defender</v>
      </c>
    </row>
    <row r="514" spans="1:8" x14ac:dyDescent="0.25">
      <c r="A514" t="s">
        <v>558</v>
      </c>
      <c r="B514" t="s">
        <v>1775</v>
      </c>
      <c r="C514" t="s">
        <v>332</v>
      </c>
      <c r="D514" t="s">
        <v>70</v>
      </c>
      <c r="E514" t="str">
        <f t="shared" si="7"/>
        <v>Defender</v>
      </c>
      <c r="F514" t="s">
        <v>1776</v>
      </c>
      <c r="G514" t="s">
        <v>1777</v>
      </c>
      <c r="H514" t="s">
        <v>70</v>
      </c>
    </row>
    <row r="515" spans="1:8" x14ac:dyDescent="0.25">
      <c r="A515" t="s">
        <v>558</v>
      </c>
      <c r="B515" t="s">
        <v>1778</v>
      </c>
      <c r="C515" t="s">
        <v>1779</v>
      </c>
      <c r="D515" t="s">
        <v>70</v>
      </c>
      <c r="E515" t="str">
        <f t="shared" ref="E515:E578" si="8">A515</f>
        <v>Defender</v>
      </c>
      <c r="F515" t="s">
        <v>1780</v>
      </c>
      <c r="G515" t="s">
        <v>1781</v>
      </c>
      <c r="H515" t="s">
        <v>70</v>
      </c>
    </row>
    <row r="516" spans="1:8" x14ac:dyDescent="0.25">
      <c r="A516" t="s">
        <v>558</v>
      </c>
      <c r="B516" t="s">
        <v>1782</v>
      </c>
      <c r="C516" t="s">
        <v>1783</v>
      </c>
      <c r="D516" t="s">
        <v>70</v>
      </c>
      <c r="E516" t="str">
        <f t="shared" si="8"/>
        <v>Defender</v>
      </c>
      <c r="F516" t="s">
        <v>1784</v>
      </c>
      <c r="G516" t="s">
        <v>1785</v>
      </c>
      <c r="H516" t="s">
        <v>70</v>
      </c>
    </row>
    <row r="517" spans="1:8" x14ac:dyDescent="0.25">
      <c r="A517" t="s">
        <v>558</v>
      </c>
      <c r="B517" t="s">
        <v>1786</v>
      </c>
      <c r="C517" t="s">
        <v>1787</v>
      </c>
      <c r="D517" t="s">
        <v>70</v>
      </c>
      <c r="E517" t="str">
        <f t="shared" si="8"/>
        <v>Defender</v>
      </c>
      <c r="F517" t="s">
        <v>1788</v>
      </c>
      <c r="G517" t="s">
        <v>1789</v>
      </c>
      <c r="H517" t="s">
        <v>70</v>
      </c>
    </row>
    <row r="518" spans="1:8" x14ac:dyDescent="0.25">
      <c r="A518" t="s">
        <v>558</v>
      </c>
      <c r="B518" t="s">
        <v>1790</v>
      </c>
      <c r="C518" t="s">
        <v>1791</v>
      </c>
      <c r="D518" t="s">
        <v>70</v>
      </c>
      <c r="E518" t="str">
        <f t="shared" si="8"/>
        <v>Defender</v>
      </c>
    </row>
    <row r="519" spans="1:8" x14ac:dyDescent="0.25">
      <c r="A519" t="s">
        <v>577</v>
      </c>
      <c r="E519" t="str">
        <f t="shared" si="8"/>
        <v>Midfielder</v>
      </c>
    </row>
    <row r="520" spans="1:8" x14ac:dyDescent="0.25">
      <c r="A520" t="s">
        <v>577</v>
      </c>
      <c r="B520" t="s">
        <v>1792</v>
      </c>
      <c r="C520" t="s">
        <v>1793</v>
      </c>
      <c r="D520" t="s">
        <v>70</v>
      </c>
      <c r="E520" t="str">
        <f t="shared" si="8"/>
        <v>Midfielder</v>
      </c>
      <c r="F520" t="s">
        <v>1794</v>
      </c>
      <c r="G520" t="s">
        <v>1795</v>
      </c>
      <c r="H520" t="s">
        <v>70</v>
      </c>
    </row>
    <row r="521" spans="1:8" x14ac:dyDescent="0.25">
      <c r="A521" t="s">
        <v>577</v>
      </c>
      <c r="B521" t="s">
        <v>1796</v>
      </c>
      <c r="C521" t="s">
        <v>1797</v>
      </c>
      <c r="D521" t="s">
        <v>70</v>
      </c>
      <c r="E521" t="str">
        <f t="shared" si="8"/>
        <v>Midfielder</v>
      </c>
      <c r="F521" t="s">
        <v>1798</v>
      </c>
      <c r="G521" t="s">
        <v>1799</v>
      </c>
      <c r="H521" t="s">
        <v>70</v>
      </c>
    </row>
    <row r="522" spans="1:8" x14ac:dyDescent="0.25">
      <c r="A522" t="s">
        <v>577</v>
      </c>
      <c r="B522" t="s">
        <v>1800</v>
      </c>
      <c r="C522" t="s">
        <v>1801</v>
      </c>
      <c r="D522" t="s">
        <v>70</v>
      </c>
      <c r="E522" t="str">
        <f t="shared" si="8"/>
        <v>Midfielder</v>
      </c>
      <c r="F522" t="s">
        <v>1802</v>
      </c>
      <c r="G522" t="s">
        <v>1803</v>
      </c>
      <c r="H522" t="s">
        <v>70</v>
      </c>
    </row>
    <row r="523" spans="1:8" x14ac:dyDescent="0.25">
      <c r="A523" t="s">
        <v>577</v>
      </c>
      <c r="B523" t="s">
        <v>1804</v>
      </c>
      <c r="C523" t="s">
        <v>428</v>
      </c>
      <c r="D523" t="s">
        <v>70</v>
      </c>
      <c r="E523" t="str">
        <f t="shared" si="8"/>
        <v>Midfielder</v>
      </c>
      <c r="F523" t="s">
        <v>1805</v>
      </c>
      <c r="G523" t="s">
        <v>1806</v>
      </c>
      <c r="H523" t="s">
        <v>70</v>
      </c>
    </row>
    <row r="524" spans="1:8" x14ac:dyDescent="0.25">
      <c r="A524" t="s">
        <v>592</v>
      </c>
      <c r="E524" t="str">
        <f t="shared" si="8"/>
        <v>Forward</v>
      </c>
    </row>
    <row r="525" spans="1:8" x14ac:dyDescent="0.25">
      <c r="A525" t="s">
        <v>592</v>
      </c>
      <c r="B525" t="s">
        <v>1807</v>
      </c>
      <c r="C525" t="s">
        <v>1808</v>
      </c>
      <c r="D525" t="s">
        <v>70</v>
      </c>
      <c r="E525" t="str">
        <f t="shared" si="8"/>
        <v>Forward</v>
      </c>
      <c r="F525" t="s">
        <v>1809</v>
      </c>
      <c r="G525" t="s">
        <v>1810</v>
      </c>
      <c r="H525" t="s">
        <v>70</v>
      </c>
    </row>
    <row r="526" spans="1:8" x14ac:dyDescent="0.25">
      <c r="A526" t="s">
        <v>592</v>
      </c>
      <c r="B526" t="s">
        <v>1811</v>
      </c>
      <c r="C526" t="s">
        <v>1812</v>
      </c>
      <c r="D526" t="s">
        <v>70</v>
      </c>
      <c r="E526" t="str">
        <f t="shared" si="8"/>
        <v>Forward</v>
      </c>
      <c r="F526" t="s">
        <v>1813</v>
      </c>
      <c r="G526" t="s">
        <v>1814</v>
      </c>
      <c r="H526" t="s">
        <v>70</v>
      </c>
    </row>
    <row r="527" spans="1:8" x14ac:dyDescent="0.25">
      <c r="A527" t="s">
        <v>592</v>
      </c>
      <c r="B527" t="s">
        <v>1815</v>
      </c>
      <c r="C527" t="s">
        <v>1816</v>
      </c>
      <c r="D527" t="s">
        <v>70</v>
      </c>
      <c r="E527" t="str">
        <f t="shared" si="8"/>
        <v>Forward</v>
      </c>
      <c r="F527" t="s">
        <v>1817</v>
      </c>
      <c r="G527" t="s">
        <v>1818</v>
      </c>
      <c r="H527" t="s">
        <v>70</v>
      </c>
    </row>
    <row r="528" spans="1:8" x14ac:dyDescent="0.25">
      <c r="A528" t="s">
        <v>551</v>
      </c>
      <c r="E528" t="str">
        <f t="shared" si="8"/>
        <v>Goalkeeper</v>
      </c>
    </row>
    <row r="529" spans="1:8" x14ac:dyDescent="0.25">
      <c r="A529" t="s">
        <v>551</v>
      </c>
      <c r="B529" t="s">
        <v>1819</v>
      </c>
      <c r="C529" t="s">
        <v>505</v>
      </c>
      <c r="D529" t="s">
        <v>69</v>
      </c>
      <c r="E529" t="str">
        <f t="shared" si="8"/>
        <v>Goalkeeper</v>
      </c>
      <c r="F529" t="s">
        <v>1820</v>
      </c>
      <c r="G529" t="s">
        <v>1821</v>
      </c>
      <c r="H529" t="s">
        <v>69</v>
      </c>
    </row>
    <row r="530" spans="1:8" x14ac:dyDescent="0.25">
      <c r="A530" t="s">
        <v>551</v>
      </c>
      <c r="B530" t="s">
        <v>1822</v>
      </c>
      <c r="C530" t="s">
        <v>1823</v>
      </c>
      <c r="D530" t="s">
        <v>69</v>
      </c>
      <c r="E530" t="str">
        <f t="shared" si="8"/>
        <v>Goalkeeper</v>
      </c>
    </row>
    <row r="531" spans="1:8" x14ac:dyDescent="0.25">
      <c r="A531" t="s">
        <v>558</v>
      </c>
      <c r="E531" t="str">
        <f t="shared" si="8"/>
        <v>Defender</v>
      </c>
    </row>
    <row r="532" spans="1:8" x14ac:dyDescent="0.25">
      <c r="A532" t="s">
        <v>558</v>
      </c>
      <c r="B532" t="s">
        <v>1824</v>
      </c>
      <c r="C532" t="s">
        <v>1825</v>
      </c>
      <c r="D532" t="s">
        <v>69</v>
      </c>
      <c r="E532" t="str">
        <f t="shared" si="8"/>
        <v>Defender</v>
      </c>
      <c r="F532" t="s">
        <v>1826</v>
      </c>
      <c r="G532" t="s">
        <v>464</v>
      </c>
      <c r="H532" t="s">
        <v>69</v>
      </c>
    </row>
    <row r="533" spans="1:8" x14ac:dyDescent="0.25">
      <c r="A533" t="s">
        <v>558</v>
      </c>
      <c r="B533" t="s">
        <v>1827</v>
      </c>
      <c r="C533" t="s">
        <v>362</v>
      </c>
      <c r="D533" t="s">
        <v>69</v>
      </c>
      <c r="E533" t="str">
        <f t="shared" si="8"/>
        <v>Defender</v>
      </c>
      <c r="F533" t="s">
        <v>1828</v>
      </c>
      <c r="G533" t="s">
        <v>430</v>
      </c>
      <c r="H533" t="s">
        <v>69</v>
      </c>
    </row>
    <row r="534" spans="1:8" x14ac:dyDescent="0.25">
      <c r="A534" t="s">
        <v>558</v>
      </c>
      <c r="B534" t="s">
        <v>1829</v>
      </c>
      <c r="C534" t="s">
        <v>1830</v>
      </c>
      <c r="D534" t="s">
        <v>69</v>
      </c>
      <c r="E534" t="str">
        <f t="shared" si="8"/>
        <v>Defender</v>
      </c>
      <c r="F534" t="s">
        <v>1831</v>
      </c>
      <c r="G534" t="s">
        <v>1832</v>
      </c>
      <c r="H534" t="s">
        <v>69</v>
      </c>
    </row>
    <row r="535" spans="1:8" x14ac:dyDescent="0.25">
      <c r="A535" t="s">
        <v>558</v>
      </c>
      <c r="B535" t="s">
        <v>1833</v>
      </c>
      <c r="C535" t="s">
        <v>1834</v>
      </c>
      <c r="D535" t="s">
        <v>69</v>
      </c>
      <c r="E535" t="str">
        <f t="shared" si="8"/>
        <v>Defender</v>
      </c>
    </row>
    <row r="536" spans="1:8" x14ac:dyDescent="0.25">
      <c r="A536" t="s">
        <v>577</v>
      </c>
      <c r="E536" t="str">
        <f t="shared" si="8"/>
        <v>Midfielder</v>
      </c>
    </row>
    <row r="537" spans="1:8" x14ac:dyDescent="0.25">
      <c r="A537" t="s">
        <v>577</v>
      </c>
      <c r="B537" t="s">
        <v>1835</v>
      </c>
      <c r="C537" t="s">
        <v>1836</v>
      </c>
      <c r="D537" t="s">
        <v>69</v>
      </c>
      <c r="E537" t="str">
        <f t="shared" si="8"/>
        <v>Midfielder</v>
      </c>
      <c r="F537" t="s">
        <v>1837</v>
      </c>
      <c r="G537" t="s">
        <v>1838</v>
      </c>
      <c r="H537" t="s">
        <v>69</v>
      </c>
    </row>
    <row r="538" spans="1:8" x14ac:dyDescent="0.25">
      <c r="A538" t="s">
        <v>577</v>
      </c>
      <c r="B538" t="s">
        <v>1839</v>
      </c>
      <c r="C538" t="s">
        <v>475</v>
      </c>
      <c r="D538" t="s">
        <v>69</v>
      </c>
      <c r="E538" t="str">
        <f t="shared" si="8"/>
        <v>Midfielder</v>
      </c>
      <c r="F538" t="s">
        <v>1840</v>
      </c>
      <c r="G538" t="s">
        <v>1841</v>
      </c>
      <c r="H538" t="s">
        <v>69</v>
      </c>
    </row>
    <row r="539" spans="1:8" x14ac:dyDescent="0.25">
      <c r="A539" t="s">
        <v>577</v>
      </c>
      <c r="B539" t="s">
        <v>1842</v>
      </c>
      <c r="C539" t="s">
        <v>1843</v>
      </c>
      <c r="D539" t="s">
        <v>69</v>
      </c>
      <c r="E539" t="str">
        <f t="shared" si="8"/>
        <v>Midfielder</v>
      </c>
      <c r="F539" t="s">
        <v>1844</v>
      </c>
      <c r="G539" t="s">
        <v>471</v>
      </c>
      <c r="H539" t="s">
        <v>69</v>
      </c>
    </row>
    <row r="540" spans="1:8" x14ac:dyDescent="0.25">
      <c r="A540" t="s">
        <v>577</v>
      </c>
      <c r="B540" t="s">
        <v>1845</v>
      </c>
      <c r="C540" t="s">
        <v>1846</v>
      </c>
      <c r="D540" t="s">
        <v>69</v>
      </c>
      <c r="E540" t="str">
        <f t="shared" si="8"/>
        <v>Midfielder</v>
      </c>
      <c r="F540" t="s">
        <v>1847</v>
      </c>
      <c r="G540" t="s">
        <v>1848</v>
      </c>
      <c r="H540" t="s">
        <v>69</v>
      </c>
    </row>
    <row r="541" spans="1:8" x14ac:dyDescent="0.25">
      <c r="A541" t="s">
        <v>592</v>
      </c>
      <c r="E541" t="str">
        <f t="shared" si="8"/>
        <v>Forward</v>
      </c>
    </row>
    <row r="542" spans="1:8" x14ac:dyDescent="0.25">
      <c r="A542" t="s">
        <v>592</v>
      </c>
      <c r="B542" t="s">
        <v>1849</v>
      </c>
      <c r="C542" t="s">
        <v>1850</v>
      </c>
      <c r="D542" t="s">
        <v>69</v>
      </c>
      <c r="E542" t="str">
        <f t="shared" si="8"/>
        <v>Forward</v>
      </c>
      <c r="F542" t="s">
        <v>1851</v>
      </c>
      <c r="G542" t="s">
        <v>1852</v>
      </c>
      <c r="H542" t="s">
        <v>69</v>
      </c>
    </row>
    <row r="543" spans="1:8" x14ac:dyDescent="0.25">
      <c r="A543" t="s">
        <v>592</v>
      </c>
      <c r="B543" t="s">
        <v>1853</v>
      </c>
      <c r="C543" t="s">
        <v>1854</v>
      </c>
      <c r="D543" t="s">
        <v>69</v>
      </c>
      <c r="E543" t="str">
        <f t="shared" si="8"/>
        <v>Forward</v>
      </c>
      <c r="F543" t="s">
        <v>1855</v>
      </c>
      <c r="G543" t="s">
        <v>1856</v>
      </c>
      <c r="H543" t="s">
        <v>69</v>
      </c>
    </row>
    <row r="544" spans="1:8" x14ac:dyDescent="0.25">
      <c r="A544" t="s">
        <v>592</v>
      </c>
      <c r="B544" t="s">
        <v>1857</v>
      </c>
      <c r="C544" t="s">
        <v>483</v>
      </c>
      <c r="D544" t="s">
        <v>69</v>
      </c>
      <c r="E544" t="str">
        <f t="shared" si="8"/>
        <v>Forward</v>
      </c>
      <c r="F544" t="s">
        <v>1858</v>
      </c>
      <c r="G544" t="s">
        <v>545</v>
      </c>
      <c r="H544" t="s">
        <v>69</v>
      </c>
    </row>
    <row r="545" spans="1:8" x14ac:dyDescent="0.25">
      <c r="A545" t="s">
        <v>592</v>
      </c>
      <c r="B545" t="s">
        <v>1859</v>
      </c>
      <c r="C545" t="s">
        <v>404</v>
      </c>
      <c r="D545" t="s">
        <v>69</v>
      </c>
      <c r="E545" t="str">
        <f t="shared" si="8"/>
        <v>Forward</v>
      </c>
      <c r="F545" t="s">
        <v>1860</v>
      </c>
      <c r="G545" t="s">
        <v>1861</v>
      </c>
      <c r="H545" t="s">
        <v>69</v>
      </c>
    </row>
    <row r="546" spans="1:8" x14ac:dyDescent="0.25">
      <c r="A546" t="s">
        <v>551</v>
      </c>
      <c r="E546" t="str">
        <f t="shared" si="8"/>
        <v>Goalkeeper</v>
      </c>
    </row>
    <row r="547" spans="1:8" x14ac:dyDescent="0.25">
      <c r="A547" t="s">
        <v>551</v>
      </c>
      <c r="B547" t="s">
        <v>1862</v>
      </c>
      <c r="C547" t="s">
        <v>1863</v>
      </c>
      <c r="D547" t="s">
        <v>112</v>
      </c>
      <c r="E547" t="str">
        <f t="shared" si="8"/>
        <v>Goalkeeper</v>
      </c>
      <c r="F547" t="s">
        <v>1864</v>
      </c>
      <c r="G547" t="s">
        <v>1865</v>
      </c>
      <c r="H547" t="s">
        <v>112</v>
      </c>
    </row>
    <row r="548" spans="1:8" x14ac:dyDescent="0.25">
      <c r="A548" t="s">
        <v>551</v>
      </c>
      <c r="B548" t="s">
        <v>1866</v>
      </c>
      <c r="C548" t="s">
        <v>1867</v>
      </c>
      <c r="D548" t="s">
        <v>112</v>
      </c>
      <c r="E548" t="str">
        <f t="shared" si="8"/>
        <v>Goalkeeper</v>
      </c>
    </row>
    <row r="549" spans="1:8" x14ac:dyDescent="0.25">
      <c r="A549" t="s">
        <v>558</v>
      </c>
      <c r="E549" t="str">
        <f t="shared" si="8"/>
        <v>Defender</v>
      </c>
    </row>
    <row r="550" spans="1:8" x14ac:dyDescent="0.25">
      <c r="A550" t="s">
        <v>558</v>
      </c>
      <c r="B550" t="s">
        <v>1868</v>
      </c>
      <c r="C550" t="s">
        <v>1869</v>
      </c>
      <c r="D550" t="s">
        <v>112</v>
      </c>
      <c r="E550" t="str">
        <f t="shared" si="8"/>
        <v>Defender</v>
      </c>
      <c r="F550" t="s">
        <v>1870</v>
      </c>
      <c r="G550" t="s">
        <v>1871</v>
      </c>
      <c r="H550" t="s">
        <v>112</v>
      </c>
    </row>
    <row r="551" spans="1:8" x14ac:dyDescent="0.25">
      <c r="A551" t="s">
        <v>558</v>
      </c>
      <c r="B551" t="s">
        <v>1872</v>
      </c>
      <c r="C551" t="s">
        <v>1873</v>
      </c>
      <c r="D551" t="s">
        <v>112</v>
      </c>
      <c r="E551" t="str">
        <f t="shared" si="8"/>
        <v>Defender</v>
      </c>
      <c r="F551" t="s">
        <v>1874</v>
      </c>
      <c r="G551" t="s">
        <v>1875</v>
      </c>
      <c r="H551" t="s">
        <v>112</v>
      </c>
    </row>
    <row r="552" spans="1:8" x14ac:dyDescent="0.25">
      <c r="A552" t="s">
        <v>558</v>
      </c>
      <c r="B552" t="s">
        <v>1876</v>
      </c>
      <c r="C552" t="s">
        <v>1877</v>
      </c>
      <c r="D552" t="s">
        <v>112</v>
      </c>
      <c r="E552" t="str">
        <f t="shared" si="8"/>
        <v>Defender</v>
      </c>
      <c r="F552" t="s">
        <v>1878</v>
      </c>
      <c r="G552" t="s">
        <v>1879</v>
      </c>
      <c r="H552" t="s">
        <v>112</v>
      </c>
    </row>
    <row r="553" spans="1:8" x14ac:dyDescent="0.25">
      <c r="A553" t="s">
        <v>558</v>
      </c>
      <c r="B553" t="s">
        <v>1880</v>
      </c>
      <c r="C553" t="s">
        <v>1881</v>
      </c>
      <c r="D553" t="s">
        <v>112</v>
      </c>
      <c r="E553" t="str">
        <f t="shared" si="8"/>
        <v>Defender</v>
      </c>
      <c r="F553" t="s">
        <v>1882</v>
      </c>
      <c r="G553" t="s">
        <v>1883</v>
      </c>
      <c r="H553" t="s">
        <v>112</v>
      </c>
    </row>
    <row r="554" spans="1:8" x14ac:dyDescent="0.25">
      <c r="A554" t="s">
        <v>558</v>
      </c>
      <c r="B554" t="s">
        <v>1884</v>
      </c>
      <c r="C554" t="s">
        <v>1885</v>
      </c>
      <c r="D554" t="s">
        <v>112</v>
      </c>
      <c r="E554" t="str">
        <f t="shared" si="8"/>
        <v>Defender</v>
      </c>
    </row>
    <row r="555" spans="1:8" x14ac:dyDescent="0.25">
      <c r="A555" t="s">
        <v>577</v>
      </c>
      <c r="E555" t="str">
        <f t="shared" si="8"/>
        <v>Midfielder</v>
      </c>
    </row>
    <row r="556" spans="1:8" x14ac:dyDescent="0.25">
      <c r="A556" t="s">
        <v>577</v>
      </c>
      <c r="B556" t="s">
        <v>1886</v>
      </c>
      <c r="C556" t="s">
        <v>1887</v>
      </c>
      <c r="D556" t="s">
        <v>112</v>
      </c>
      <c r="E556" t="str">
        <f t="shared" si="8"/>
        <v>Midfielder</v>
      </c>
      <c r="F556" t="s">
        <v>1888</v>
      </c>
      <c r="G556" t="s">
        <v>1889</v>
      </c>
      <c r="H556" t="s">
        <v>112</v>
      </c>
    </row>
    <row r="557" spans="1:8" x14ac:dyDescent="0.25">
      <c r="A557" t="s">
        <v>577</v>
      </c>
      <c r="B557" t="s">
        <v>1890</v>
      </c>
      <c r="C557" t="s">
        <v>1891</v>
      </c>
      <c r="D557" t="s">
        <v>112</v>
      </c>
      <c r="E557" t="str">
        <f t="shared" si="8"/>
        <v>Midfielder</v>
      </c>
      <c r="F557" t="s">
        <v>1892</v>
      </c>
      <c r="G557" t="s">
        <v>1893</v>
      </c>
      <c r="H557" t="s">
        <v>112</v>
      </c>
    </row>
    <row r="558" spans="1:8" x14ac:dyDescent="0.25">
      <c r="A558" t="s">
        <v>577</v>
      </c>
      <c r="B558" t="s">
        <v>1894</v>
      </c>
      <c r="C558" t="s">
        <v>1895</v>
      </c>
      <c r="D558" t="s">
        <v>112</v>
      </c>
      <c r="E558" t="str">
        <f t="shared" si="8"/>
        <v>Midfielder</v>
      </c>
      <c r="F558" t="s">
        <v>1896</v>
      </c>
      <c r="G558" t="s">
        <v>1897</v>
      </c>
      <c r="H558" t="s">
        <v>112</v>
      </c>
    </row>
    <row r="559" spans="1:8" x14ac:dyDescent="0.25">
      <c r="A559" t="s">
        <v>577</v>
      </c>
      <c r="B559" t="s">
        <v>1898</v>
      </c>
      <c r="C559" t="s">
        <v>1899</v>
      </c>
      <c r="D559" t="s">
        <v>112</v>
      </c>
      <c r="E559" t="str">
        <f t="shared" si="8"/>
        <v>Midfielder</v>
      </c>
      <c r="F559" t="s">
        <v>1900</v>
      </c>
      <c r="G559" t="s">
        <v>1901</v>
      </c>
      <c r="H559" t="s">
        <v>112</v>
      </c>
    </row>
    <row r="560" spans="1:8" x14ac:dyDescent="0.25">
      <c r="A560" t="s">
        <v>592</v>
      </c>
      <c r="E560" t="str">
        <f t="shared" si="8"/>
        <v>Forward</v>
      </c>
    </row>
    <row r="561" spans="1:8" x14ac:dyDescent="0.25">
      <c r="A561" t="s">
        <v>592</v>
      </c>
      <c r="B561" t="s">
        <v>1902</v>
      </c>
      <c r="C561" t="s">
        <v>1903</v>
      </c>
      <c r="D561" t="s">
        <v>112</v>
      </c>
      <c r="E561" t="str">
        <f t="shared" si="8"/>
        <v>Forward</v>
      </c>
      <c r="F561" t="s">
        <v>1904</v>
      </c>
      <c r="G561" t="s">
        <v>1905</v>
      </c>
      <c r="H561" t="s">
        <v>112</v>
      </c>
    </row>
    <row r="562" spans="1:8" x14ac:dyDescent="0.25">
      <c r="A562" t="s">
        <v>592</v>
      </c>
      <c r="B562" t="s">
        <v>1906</v>
      </c>
      <c r="C562" t="s">
        <v>1907</v>
      </c>
      <c r="D562" t="s">
        <v>112</v>
      </c>
      <c r="E562" t="str">
        <f t="shared" si="8"/>
        <v>Forward</v>
      </c>
      <c r="F562" t="s">
        <v>1908</v>
      </c>
      <c r="G562" t="s">
        <v>1909</v>
      </c>
      <c r="H562" t="s">
        <v>112</v>
      </c>
    </row>
    <row r="563" spans="1:8" x14ac:dyDescent="0.25">
      <c r="A563" t="s">
        <v>592</v>
      </c>
      <c r="B563" t="s">
        <v>1910</v>
      </c>
      <c r="C563" t="s">
        <v>1911</v>
      </c>
      <c r="D563" t="s">
        <v>112</v>
      </c>
      <c r="E563" t="str">
        <f t="shared" si="8"/>
        <v>Forward</v>
      </c>
      <c r="F563" t="s">
        <v>1912</v>
      </c>
      <c r="G563" t="s">
        <v>1913</v>
      </c>
      <c r="H563" t="s">
        <v>112</v>
      </c>
    </row>
    <row r="564" spans="1:8" x14ac:dyDescent="0.25">
      <c r="A564" t="s">
        <v>551</v>
      </c>
      <c r="E564" t="str">
        <f t="shared" si="8"/>
        <v>Goalkeeper</v>
      </c>
    </row>
    <row r="565" spans="1:8" x14ac:dyDescent="0.25">
      <c r="A565" t="s">
        <v>551</v>
      </c>
      <c r="B565" t="s">
        <v>1914</v>
      </c>
      <c r="C565" t="s">
        <v>1915</v>
      </c>
      <c r="D565" t="s">
        <v>66</v>
      </c>
      <c r="E565" t="str">
        <f t="shared" si="8"/>
        <v>Goalkeeper</v>
      </c>
      <c r="F565" t="s">
        <v>1916</v>
      </c>
      <c r="G565" t="s">
        <v>1917</v>
      </c>
      <c r="H565" t="s">
        <v>66</v>
      </c>
    </row>
    <row r="566" spans="1:8" x14ac:dyDescent="0.25">
      <c r="A566" t="s">
        <v>551</v>
      </c>
      <c r="B566" t="s">
        <v>1918</v>
      </c>
      <c r="C566" t="s">
        <v>1919</v>
      </c>
      <c r="D566" t="s">
        <v>66</v>
      </c>
      <c r="E566" t="str">
        <f t="shared" si="8"/>
        <v>Goalkeeper</v>
      </c>
    </row>
    <row r="567" spans="1:8" x14ac:dyDescent="0.25">
      <c r="A567" t="s">
        <v>558</v>
      </c>
      <c r="E567" t="str">
        <f t="shared" si="8"/>
        <v>Defender</v>
      </c>
    </row>
    <row r="568" spans="1:8" x14ac:dyDescent="0.25">
      <c r="A568" t="s">
        <v>558</v>
      </c>
      <c r="B568" t="s">
        <v>1920</v>
      </c>
      <c r="C568" t="s">
        <v>1921</v>
      </c>
      <c r="D568" t="s">
        <v>66</v>
      </c>
      <c r="E568" t="str">
        <f t="shared" si="8"/>
        <v>Defender</v>
      </c>
      <c r="F568" t="s">
        <v>1922</v>
      </c>
      <c r="G568" t="s">
        <v>1923</v>
      </c>
      <c r="H568" t="s">
        <v>66</v>
      </c>
    </row>
    <row r="569" spans="1:8" x14ac:dyDescent="0.25">
      <c r="A569" t="s">
        <v>558</v>
      </c>
      <c r="B569" t="s">
        <v>1924</v>
      </c>
      <c r="C569" t="s">
        <v>1925</v>
      </c>
      <c r="D569" t="s">
        <v>66</v>
      </c>
      <c r="E569" t="str">
        <f t="shared" si="8"/>
        <v>Defender</v>
      </c>
      <c r="F569" t="s">
        <v>1926</v>
      </c>
      <c r="G569" t="s">
        <v>1927</v>
      </c>
      <c r="H569" t="s">
        <v>66</v>
      </c>
    </row>
    <row r="570" spans="1:8" x14ac:dyDescent="0.25">
      <c r="A570" t="s">
        <v>558</v>
      </c>
      <c r="B570" t="s">
        <v>1928</v>
      </c>
      <c r="C570" t="s">
        <v>1929</v>
      </c>
      <c r="D570" t="s">
        <v>66</v>
      </c>
      <c r="E570" t="str">
        <f t="shared" si="8"/>
        <v>Defender</v>
      </c>
      <c r="F570" t="s">
        <v>1930</v>
      </c>
      <c r="G570" t="s">
        <v>1931</v>
      </c>
      <c r="H570" t="s">
        <v>66</v>
      </c>
    </row>
    <row r="571" spans="1:8" x14ac:dyDescent="0.25">
      <c r="A571" t="s">
        <v>558</v>
      </c>
      <c r="B571" t="s">
        <v>1932</v>
      </c>
      <c r="C571" t="s">
        <v>1933</v>
      </c>
      <c r="D571" t="s">
        <v>66</v>
      </c>
      <c r="E571" t="str">
        <f t="shared" si="8"/>
        <v>Defender</v>
      </c>
      <c r="F571" t="s">
        <v>1934</v>
      </c>
      <c r="G571" t="s">
        <v>1935</v>
      </c>
      <c r="H571" t="s">
        <v>66</v>
      </c>
    </row>
    <row r="572" spans="1:8" x14ac:dyDescent="0.25">
      <c r="A572" t="s">
        <v>558</v>
      </c>
      <c r="B572" t="s">
        <v>1936</v>
      </c>
      <c r="C572" t="s">
        <v>1937</v>
      </c>
      <c r="D572" t="s">
        <v>66</v>
      </c>
      <c r="E572" t="str">
        <f t="shared" si="8"/>
        <v>Defender</v>
      </c>
    </row>
    <row r="573" spans="1:8" x14ac:dyDescent="0.25">
      <c r="A573" t="s">
        <v>577</v>
      </c>
      <c r="E573" t="str">
        <f t="shared" si="8"/>
        <v>Midfielder</v>
      </c>
    </row>
    <row r="574" spans="1:8" x14ac:dyDescent="0.25">
      <c r="A574" t="s">
        <v>577</v>
      </c>
      <c r="B574" t="s">
        <v>1938</v>
      </c>
      <c r="C574" t="s">
        <v>1939</v>
      </c>
      <c r="D574" t="s">
        <v>66</v>
      </c>
      <c r="E574" t="str">
        <f t="shared" si="8"/>
        <v>Midfielder</v>
      </c>
      <c r="F574" t="s">
        <v>1940</v>
      </c>
      <c r="G574" t="s">
        <v>1941</v>
      </c>
      <c r="H574" t="s">
        <v>66</v>
      </c>
    </row>
    <row r="575" spans="1:8" x14ac:dyDescent="0.25">
      <c r="A575" t="s">
        <v>577</v>
      </c>
      <c r="B575" t="s">
        <v>1942</v>
      </c>
      <c r="C575" t="s">
        <v>1943</v>
      </c>
      <c r="D575" t="s">
        <v>66</v>
      </c>
      <c r="E575" t="str">
        <f t="shared" si="8"/>
        <v>Midfielder</v>
      </c>
      <c r="F575" t="s">
        <v>1944</v>
      </c>
      <c r="G575" t="s">
        <v>1945</v>
      </c>
      <c r="H575" t="s">
        <v>66</v>
      </c>
    </row>
    <row r="576" spans="1:8" x14ac:dyDescent="0.25">
      <c r="A576" t="s">
        <v>577</v>
      </c>
      <c r="B576" t="s">
        <v>1946</v>
      </c>
      <c r="C576" t="s">
        <v>1947</v>
      </c>
      <c r="D576" t="s">
        <v>66</v>
      </c>
      <c r="E576" t="str">
        <f t="shared" si="8"/>
        <v>Midfielder</v>
      </c>
      <c r="F576" t="s">
        <v>1948</v>
      </c>
      <c r="G576" t="s">
        <v>501</v>
      </c>
      <c r="H576" t="s">
        <v>66</v>
      </c>
    </row>
    <row r="577" spans="1:8" x14ac:dyDescent="0.25">
      <c r="A577" t="s">
        <v>577</v>
      </c>
      <c r="B577" t="s">
        <v>1949</v>
      </c>
      <c r="C577" t="s">
        <v>416</v>
      </c>
      <c r="D577" t="s">
        <v>66</v>
      </c>
      <c r="E577" t="str">
        <f t="shared" si="8"/>
        <v>Midfielder</v>
      </c>
      <c r="F577" t="s">
        <v>1950</v>
      </c>
      <c r="G577" t="s">
        <v>1951</v>
      </c>
      <c r="H577" t="s">
        <v>66</v>
      </c>
    </row>
    <row r="578" spans="1:8" x14ac:dyDescent="0.25">
      <c r="A578" t="s">
        <v>577</v>
      </c>
      <c r="B578" t="s">
        <v>1952</v>
      </c>
      <c r="C578" t="s">
        <v>1953</v>
      </c>
      <c r="D578" t="s">
        <v>66</v>
      </c>
      <c r="E578" t="str">
        <f t="shared" si="8"/>
        <v>Midfielder</v>
      </c>
      <c r="F578" t="s">
        <v>1954</v>
      </c>
      <c r="G578" t="s">
        <v>1955</v>
      </c>
      <c r="H578" t="s">
        <v>66</v>
      </c>
    </row>
    <row r="579" spans="1:8" x14ac:dyDescent="0.25">
      <c r="A579" t="s">
        <v>592</v>
      </c>
      <c r="E579" t="str">
        <f t="shared" ref="E579:E642" si="9">A579</f>
        <v>Forward</v>
      </c>
    </row>
    <row r="580" spans="1:8" x14ac:dyDescent="0.25">
      <c r="A580" t="s">
        <v>592</v>
      </c>
      <c r="B580" t="s">
        <v>1956</v>
      </c>
      <c r="C580" t="s">
        <v>1957</v>
      </c>
      <c r="D580" t="s">
        <v>66</v>
      </c>
      <c r="E580" t="str">
        <f t="shared" si="9"/>
        <v>Forward</v>
      </c>
      <c r="F580" t="s">
        <v>1958</v>
      </c>
      <c r="G580" t="s">
        <v>1959</v>
      </c>
      <c r="H580" t="s">
        <v>66</v>
      </c>
    </row>
    <row r="581" spans="1:8" x14ac:dyDescent="0.25">
      <c r="A581" t="s">
        <v>592</v>
      </c>
      <c r="B581" t="s">
        <v>1960</v>
      </c>
      <c r="C581" t="s">
        <v>306</v>
      </c>
      <c r="D581" t="s">
        <v>66</v>
      </c>
      <c r="E581" t="str">
        <f t="shared" si="9"/>
        <v>Forward</v>
      </c>
      <c r="F581" t="s">
        <v>1961</v>
      </c>
      <c r="G581" t="s">
        <v>1962</v>
      </c>
      <c r="H581" t="s">
        <v>66</v>
      </c>
    </row>
    <row r="582" spans="1:8" x14ac:dyDescent="0.25">
      <c r="A582" t="s">
        <v>551</v>
      </c>
      <c r="E582" t="str">
        <f t="shared" si="9"/>
        <v>Goalkeeper</v>
      </c>
    </row>
    <row r="583" spans="1:8" x14ac:dyDescent="0.25">
      <c r="A583" t="s">
        <v>551</v>
      </c>
      <c r="B583" t="s">
        <v>1963</v>
      </c>
      <c r="C583" t="s">
        <v>1964</v>
      </c>
      <c r="D583" t="s">
        <v>108</v>
      </c>
      <c r="E583" t="str">
        <f t="shared" si="9"/>
        <v>Goalkeeper</v>
      </c>
      <c r="F583" t="s">
        <v>1965</v>
      </c>
      <c r="G583" t="s">
        <v>1966</v>
      </c>
      <c r="H583" t="s">
        <v>108</v>
      </c>
    </row>
    <row r="584" spans="1:8" x14ac:dyDescent="0.25">
      <c r="A584" t="s">
        <v>551</v>
      </c>
      <c r="B584" t="s">
        <v>1967</v>
      </c>
      <c r="C584" t="s">
        <v>1968</v>
      </c>
      <c r="D584" t="s">
        <v>108</v>
      </c>
      <c r="E584" t="str">
        <f t="shared" si="9"/>
        <v>Goalkeeper</v>
      </c>
    </row>
    <row r="585" spans="1:8" x14ac:dyDescent="0.25">
      <c r="A585" t="s">
        <v>558</v>
      </c>
      <c r="E585" t="str">
        <f t="shared" si="9"/>
        <v>Defender</v>
      </c>
    </row>
    <row r="586" spans="1:8" x14ac:dyDescent="0.25">
      <c r="A586" t="s">
        <v>558</v>
      </c>
      <c r="B586" t="s">
        <v>1969</v>
      </c>
      <c r="C586" t="s">
        <v>1970</v>
      </c>
      <c r="D586" t="s">
        <v>108</v>
      </c>
      <c r="E586" t="str">
        <f t="shared" si="9"/>
        <v>Defender</v>
      </c>
      <c r="F586" t="s">
        <v>1971</v>
      </c>
      <c r="G586" t="s">
        <v>1972</v>
      </c>
      <c r="H586" t="s">
        <v>108</v>
      </c>
    </row>
    <row r="587" spans="1:8" x14ac:dyDescent="0.25">
      <c r="A587" t="s">
        <v>558</v>
      </c>
      <c r="B587" t="s">
        <v>1973</v>
      </c>
      <c r="C587" t="s">
        <v>979</v>
      </c>
      <c r="D587" t="s">
        <v>108</v>
      </c>
      <c r="E587" t="str">
        <f t="shared" si="9"/>
        <v>Defender</v>
      </c>
      <c r="F587" t="s">
        <v>1974</v>
      </c>
      <c r="G587" t="s">
        <v>1975</v>
      </c>
      <c r="H587" t="s">
        <v>108</v>
      </c>
    </row>
    <row r="588" spans="1:8" x14ac:dyDescent="0.25">
      <c r="A588" t="s">
        <v>558</v>
      </c>
      <c r="B588" t="s">
        <v>1976</v>
      </c>
      <c r="C588" t="s">
        <v>1977</v>
      </c>
      <c r="D588" t="s">
        <v>108</v>
      </c>
      <c r="E588" t="str">
        <f t="shared" si="9"/>
        <v>Defender</v>
      </c>
      <c r="F588" t="s">
        <v>1978</v>
      </c>
      <c r="G588" t="s">
        <v>1979</v>
      </c>
      <c r="H588" t="s">
        <v>108</v>
      </c>
    </row>
    <row r="589" spans="1:8" x14ac:dyDescent="0.25">
      <c r="A589" t="s">
        <v>558</v>
      </c>
      <c r="B589" t="s">
        <v>1980</v>
      </c>
      <c r="C589" t="s">
        <v>1981</v>
      </c>
      <c r="D589" t="s">
        <v>108</v>
      </c>
      <c r="E589" t="str">
        <f t="shared" si="9"/>
        <v>Defender</v>
      </c>
      <c r="F589" t="s">
        <v>1982</v>
      </c>
      <c r="G589" t="s">
        <v>1983</v>
      </c>
      <c r="H589" t="s">
        <v>108</v>
      </c>
    </row>
    <row r="590" spans="1:8" x14ac:dyDescent="0.25">
      <c r="A590" t="s">
        <v>558</v>
      </c>
      <c r="B590" t="s">
        <v>1984</v>
      </c>
      <c r="C590" t="s">
        <v>1985</v>
      </c>
      <c r="D590" t="s">
        <v>108</v>
      </c>
      <c r="E590" t="str">
        <f t="shared" si="9"/>
        <v>Defender</v>
      </c>
      <c r="F590" t="s">
        <v>1986</v>
      </c>
      <c r="G590" t="s">
        <v>1987</v>
      </c>
      <c r="H590" t="s">
        <v>108</v>
      </c>
    </row>
    <row r="591" spans="1:8" x14ac:dyDescent="0.25">
      <c r="A591" t="s">
        <v>577</v>
      </c>
      <c r="E591" t="str">
        <f t="shared" si="9"/>
        <v>Midfielder</v>
      </c>
    </row>
    <row r="592" spans="1:8" x14ac:dyDescent="0.25">
      <c r="A592" t="s">
        <v>577</v>
      </c>
      <c r="B592" t="s">
        <v>1988</v>
      </c>
      <c r="C592" t="s">
        <v>1989</v>
      </c>
      <c r="D592" t="s">
        <v>108</v>
      </c>
      <c r="E592" t="str">
        <f t="shared" si="9"/>
        <v>Midfielder</v>
      </c>
      <c r="F592" t="s">
        <v>1990</v>
      </c>
      <c r="G592" t="s">
        <v>1991</v>
      </c>
      <c r="H592" t="s">
        <v>108</v>
      </c>
    </row>
    <row r="593" spans="1:8" x14ac:dyDescent="0.25">
      <c r="A593" t="s">
        <v>577</v>
      </c>
      <c r="B593" t="s">
        <v>1992</v>
      </c>
      <c r="C593" t="s">
        <v>968</v>
      </c>
      <c r="D593" t="s">
        <v>108</v>
      </c>
      <c r="E593" t="str">
        <f t="shared" si="9"/>
        <v>Midfielder</v>
      </c>
      <c r="F593" t="s">
        <v>1993</v>
      </c>
      <c r="G593" t="s">
        <v>1994</v>
      </c>
      <c r="H593" t="s">
        <v>108</v>
      </c>
    </row>
    <row r="594" spans="1:8" x14ac:dyDescent="0.25">
      <c r="A594" t="s">
        <v>577</v>
      </c>
      <c r="B594" t="s">
        <v>1995</v>
      </c>
      <c r="C594" t="s">
        <v>1996</v>
      </c>
      <c r="D594" t="s">
        <v>108</v>
      </c>
      <c r="E594" t="str">
        <f t="shared" si="9"/>
        <v>Midfielder</v>
      </c>
      <c r="F594" t="s">
        <v>1997</v>
      </c>
      <c r="G594" t="s">
        <v>1998</v>
      </c>
      <c r="H594" t="s">
        <v>108</v>
      </c>
    </row>
    <row r="595" spans="1:8" x14ac:dyDescent="0.25">
      <c r="A595" t="s">
        <v>592</v>
      </c>
      <c r="E595" t="str">
        <f t="shared" si="9"/>
        <v>Forward</v>
      </c>
    </row>
    <row r="596" spans="1:8" x14ac:dyDescent="0.25">
      <c r="A596" t="s">
        <v>592</v>
      </c>
      <c r="B596" t="s">
        <v>1999</v>
      </c>
      <c r="C596" t="s">
        <v>2000</v>
      </c>
      <c r="D596" t="s">
        <v>108</v>
      </c>
      <c r="E596" t="str">
        <f t="shared" si="9"/>
        <v>Forward</v>
      </c>
      <c r="F596" t="s">
        <v>2001</v>
      </c>
      <c r="G596" t="s">
        <v>2002</v>
      </c>
      <c r="H596" t="s">
        <v>108</v>
      </c>
    </row>
    <row r="597" spans="1:8" x14ac:dyDescent="0.25">
      <c r="A597" t="s">
        <v>592</v>
      </c>
      <c r="B597" t="s">
        <v>2003</v>
      </c>
      <c r="C597" t="s">
        <v>2004</v>
      </c>
      <c r="D597" t="s">
        <v>108</v>
      </c>
      <c r="E597" t="str">
        <f t="shared" si="9"/>
        <v>Forward</v>
      </c>
      <c r="F597" t="s">
        <v>2005</v>
      </c>
      <c r="G597" t="s">
        <v>2006</v>
      </c>
      <c r="H597" t="s">
        <v>108</v>
      </c>
    </row>
    <row r="598" spans="1:8" x14ac:dyDescent="0.25">
      <c r="A598" t="s">
        <v>592</v>
      </c>
      <c r="B598" t="s">
        <v>2007</v>
      </c>
      <c r="C598" t="s">
        <v>2008</v>
      </c>
      <c r="D598" t="s">
        <v>108</v>
      </c>
      <c r="E598" t="str">
        <f t="shared" si="9"/>
        <v>Forward</v>
      </c>
      <c r="F598" t="s">
        <v>2009</v>
      </c>
      <c r="G598" t="s">
        <v>2010</v>
      </c>
      <c r="H598" t="s">
        <v>108</v>
      </c>
    </row>
    <row r="599" spans="1:8" x14ac:dyDescent="0.25">
      <c r="A599" t="s">
        <v>592</v>
      </c>
      <c r="B599" t="s">
        <v>2011</v>
      </c>
      <c r="C599" t="s">
        <v>2012</v>
      </c>
      <c r="D599" t="s">
        <v>108</v>
      </c>
      <c r="E599" t="str">
        <f t="shared" si="9"/>
        <v>Forward</v>
      </c>
    </row>
    <row r="600" spans="1:8" x14ac:dyDescent="0.25">
      <c r="A600" t="s">
        <v>551</v>
      </c>
      <c r="E600" t="str">
        <f t="shared" si="9"/>
        <v>Goalkeeper</v>
      </c>
    </row>
    <row r="601" spans="1:8" x14ac:dyDescent="0.25">
      <c r="A601" t="s">
        <v>551</v>
      </c>
      <c r="B601" t="s">
        <v>2013</v>
      </c>
      <c r="C601" t="s">
        <v>2014</v>
      </c>
      <c r="D601" t="s">
        <v>75</v>
      </c>
      <c r="E601" t="str">
        <f t="shared" si="9"/>
        <v>Goalkeeper</v>
      </c>
      <c r="F601" t="s">
        <v>2015</v>
      </c>
      <c r="G601" t="s">
        <v>2016</v>
      </c>
      <c r="H601" t="s">
        <v>75</v>
      </c>
    </row>
    <row r="602" spans="1:8" x14ac:dyDescent="0.25">
      <c r="A602" t="s">
        <v>551</v>
      </c>
      <c r="B602" t="s">
        <v>2017</v>
      </c>
      <c r="C602" t="s">
        <v>2018</v>
      </c>
      <c r="D602" t="s">
        <v>75</v>
      </c>
      <c r="E602" t="str">
        <f t="shared" si="9"/>
        <v>Goalkeeper</v>
      </c>
    </row>
    <row r="603" spans="1:8" x14ac:dyDescent="0.25">
      <c r="A603" t="s">
        <v>558</v>
      </c>
      <c r="E603" t="str">
        <f t="shared" si="9"/>
        <v>Defender</v>
      </c>
    </row>
    <row r="604" spans="1:8" x14ac:dyDescent="0.25">
      <c r="A604" t="s">
        <v>558</v>
      </c>
      <c r="B604" t="s">
        <v>2019</v>
      </c>
      <c r="C604" t="s">
        <v>2020</v>
      </c>
      <c r="D604" t="s">
        <v>75</v>
      </c>
      <c r="E604" t="str">
        <f t="shared" si="9"/>
        <v>Defender</v>
      </c>
      <c r="F604" t="s">
        <v>2021</v>
      </c>
      <c r="G604" t="s">
        <v>2022</v>
      </c>
      <c r="H604" t="s">
        <v>75</v>
      </c>
    </row>
    <row r="605" spans="1:8" x14ac:dyDescent="0.25">
      <c r="A605" t="s">
        <v>558</v>
      </c>
      <c r="B605" t="s">
        <v>2023</v>
      </c>
      <c r="C605" t="s">
        <v>2024</v>
      </c>
      <c r="D605" t="s">
        <v>75</v>
      </c>
      <c r="E605" t="str">
        <f t="shared" si="9"/>
        <v>Defender</v>
      </c>
      <c r="F605" t="s">
        <v>2025</v>
      </c>
      <c r="G605" t="s">
        <v>2026</v>
      </c>
      <c r="H605" t="s">
        <v>75</v>
      </c>
    </row>
    <row r="606" spans="1:8" x14ac:dyDescent="0.25">
      <c r="A606" t="s">
        <v>558</v>
      </c>
      <c r="B606" t="s">
        <v>2027</v>
      </c>
      <c r="C606" t="s">
        <v>2028</v>
      </c>
      <c r="D606" t="s">
        <v>75</v>
      </c>
      <c r="E606" t="str">
        <f t="shared" si="9"/>
        <v>Defender</v>
      </c>
      <c r="F606" t="s">
        <v>2029</v>
      </c>
      <c r="G606" t="s">
        <v>2030</v>
      </c>
      <c r="H606" t="s">
        <v>75</v>
      </c>
    </row>
    <row r="607" spans="1:8" x14ac:dyDescent="0.25">
      <c r="A607" t="s">
        <v>558</v>
      </c>
      <c r="B607" t="s">
        <v>2031</v>
      </c>
      <c r="C607" t="s">
        <v>2032</v>
      </c>
      <c r="D607" t="s">
        <v>75</v>
      </c>
      <c r="E607" t="str">
        <f t="shared" si="9"/>
        <v>Defender</v>
      </c>
      <c r="F607" t="s">
        <v>2033</v>
      </c>
      <c r="G607" t="s">
        <v>2034</v>
      </c>
      <c r="H607" t="s">
        <v>75</v>
      </c>
    </row>
    <row r="608" spans="1:8" x14ac:dyDescent="0.25">
      <c r="A608" t="s">
        <v>577</v>
      </c>
      <c r="E608" t="str">
        <f t="shared" si="9"/>
        <v>Midfielder</v>
      </c>
    </row>
    <row r="609" spans="1:8" x14ac:dyDescent="0.25">
      <c r="A609" t="s">
        <v>577</v>
      </c>
      <c r="B609" t="s">
        <v>2035</v>
      </c>
      <c r="C609" t="s">
        <v>2036</v>
      </c>
      <c r="D609" t="s">
        <v>75</v>
      </c>
      <c r="E609" t="str">
        <f t="shared" si="9"/>
        <v>Midfielder</v>
      </c>
      <c r="F609" t="s">
        <v>2037</v>
      </c>
      <c r="G609" t="s">
        <v>2038</v>
      </c>
      <c r="H609" t="s">
        <v>75</v>
      </c>
    </row>
    <row r="610" spans="1:8" x14ac:dyDescent="0.25">
      <c r="A610" t="s">
        <v>577</v>
      </c>
      <c r="B610" t="s">
        <v>2039</v>
      </c>
      <c r="C610" t="s">
        <v>2040</v>
      </c>
      <c r="D610" t="s">
        <v>75</v>
      </c>
      <c r="E610" t="str">
        <f t="shared" si="9"/>
        <v>Midfielder</v>
      </c>
      <c r="F610" t="s">
        <v>2041</v>
      </c>
      <c r="G610" t="s">
        <v>2042</v>
      </c>
      <c r="H610" t="s">
        <v>75</v>
      </c>
    </row>
    <row r="611" spans="1:8" x14ac:dyDescent="0.25">
      <c r="A611" t="s">
        <v>577</v>
      </c>
      <c r="B611" t="s">
        <v>2043</v>
      </c>
      <c r="C611" t="s">
        <v>2044</v>
      </c>
      <c r="D611" t="s">
        <v>75</v>
      </c>
      <c r="E611" t="str">
        <f t="shared" si="9"/>
        <v>Midfielder</v>
      </c>
      <c r="F611" t="s">
        <v>2045</v>
      </c>
      <c r="G611" t="s">
        <v>2046</v>
      </c>
      <c r="H611" t="s">
        <v>75</v>
      </c>
    </row>
    <row r="612" spans="1:8" x14ac:dyDescent="0.25">
      <c r="A612" t="s">
        <v>577</v>
      </c>
      <c r="B612" t="s">
        <v>2047</v>
      </c>
      <c r="C612" t="s">
        <v>2048</v>
      </c>
      <c r="D612" t="s">
        <v>75</v>
      </c>
      <c r="E612" t="str">
        <f t="shared" si="9"/>
        <v>Midfielder</v>
      </c>
      <c r="F612" t="s">
        <v>2049</v>
      </c>
      <c r="G612" t="s">
        <v>2050</v>
      </c>
      <c r="H612" t="s">
        <v>75</v>
      </c>
    </row>
    <row r="613" spans="1:8" x14ac:dyDescent="0.25">
      <c r="A613" t="s">
        <v>592</v>
      </c>
      <c r="E613" t="str">
        <f t="shared" si="9"/>
        <v>Forward</v>
      </c>
    </row>
    <row r="614" spans="1:8" x14ac:dyDescent="0.25">
      <c r="A614" t="s">
        <v>592</v>
      </c>
      <c r="B614" t="s">
        <v>2051</v>
      </c>
      <c r="C614" t="s">
        <v>2052</v>
      </c>
      <c r="D614" t="s">
        <v>75</v>
      </c>
      <c r="E614" t="str">
        <f t="shared" si="9"/>
        <v>Forward</v>
      </c>
      <c r="F614" t="s">
        <v>2053</v>
      </c>
      <c r="G614" t="s">
        <v>2054</v>
      </c>
      <c r="H614" t="s">
        <v>75</v>
      </c>
    </row>
    <row r="615" spans="1:8" x14ac:dyDescent="0.25">
      <c r="A615" t="s">
        <v>592</v>
      </c>
      <c r="B615" t="s">
        <v>2055</v>
      </c>
      <c r="C615" t="s">
        <v>2056</v>
      </c>
      <c r="D615" t="s">
        <v>75</v>
      </c>
      <c r="E615" t="str">
        <f t="shared" si="9"/>
        <v>Forward</v>
      </c>
      <c r="F615" t="s">
        <v>2057</v>
      </c>
      <c r="G615" t="s">
        <v>2058</v>
      </c>
      <c r="H615" t="s">
        <v>75</v>
      </c>
    </row>
    <row r="616" spans="1:8" x14ac:dyDescent="0.25">
      <c r="A616" t="s">
        <v>592</v>
      </c>
      <c r="B616" t="s">
        <v>2059</v>
      </c>
      <c r="C616" t="s">
        <v>2060</v>
      </c>
      <c r="D616" t="s">
        <v>75</v>
      </c>
      <c r="E616" t="str">
        <f t="shared" si="9"/>
        <v>Forward</v>
      </c>
      <c r="F616" t="s">
        <v>2061</v>
      </c>
      <c r="G616" t="s">
        <v>2062</v>
      </c>
      <c r="H616" t="s">
        <v>75</v>
      </c>
    </row>
    <row r="617" spans="1:8" x14ac:dyDescent="0.25">
      <c r="A617" t="s">
        <v>592</v>
      </c>
      <c r="B617" t="s">
        <v>2063</v>
      </c>
      <c r="C617" t="s">
        <v>2064</v>
      </c>
      <c r="D617" t="s">
        <v>75</v>
      </c>
      <c r="E617" t="str">
        <f t="shared" si="9"/>
        <v>Forward</v>
      </c>
    </row>
    <row r="618" spans="1:8" x14ac:dyDescent="0.25">
      <c r="A618" t="s">
        <v>551</v>
      </c>
      <c r="E618" t="str">
        <f t="shared" si="9"/>
        <v>Goalkeeper</v>
      </c>
    </row>
    <row r="619" spans="1:8" x14ac:dyDescent="0.25">
      <c r="A619" t="s">
        <v>551</v>
      </c>
      <c r="B619" t="s">
        <v>465</v>
      </c>
      <c r="C619" t="s">
        <v>465</v>
      </c>
      <c r="D619" t="s">
        <v>101</v>
      </c>
      <c r="E619" t="str">
        <f t="shared" si="9"/>
        <v>Goalkeeper</v>
      </c>
      <c r="F619" t="s">
        <v>2065</v>
      </c>
      <c r="G619" t="s">
        <v>2065</v>
      </c>
      <c r="H619" t="s">
        <v>101</v>
      </c>
    </row>
    <row r="620" spans="1:8" x14ac:dyDescent="0.25">
      <c r="A620" t="s">
        <v>551</v>
      </c>
      <c r="B620" t="s">
        <v>2066</v>
      </c>
      <c r="C620" t="s">
        <v>2066</v>
      </c>
      <c r="D620" t="s">
        <v>101</v>
      </c>
      <c r="E620" t="str">
        <f t="shared" si="9"/>
        <v>Goalkeeper</v>
      </c>
    </row>
    <row r="621" spans="1:8" x14ac:dyDescent="0.25">
      <c r="A621" t="s">
        <v>558</v>
      </c>
      <c r="E621" t="str">
        <f t="shared" si="9"/>
        <v>Defender</v>
      </c>
    </row>
    <row r="622" spans="1:8" x14ac:dyDescent="0.25">
      <c r="A622" t="s">
        <v>558</v>
      </c>
      <c r="B622" t="s">
        <v>2067</v>
      </c>
      <c r="C622" t="s">
        <v>2067</v>
      </c>
      <c r="D622" t="s">
        <v>101</v>
      </c>
      <c r="E622" t="str">
        <f t="shared" si="9"/>
        <v>Defender</v>
      </c>
      <c r="F622" t="s">
        <v>2068</v>
      </c>
      <c r="G622" t="s">
        <v>2068</v>
      </c>
      <c r="H622" t="s">
        <v>101</v>
      </c>
    </row>
    <row r="623" spans="1:8" x14ac:dyDescent="0.25">
      <c r="A623" t="s">
        <v>558</v>
      </c>
      <c r="B623" t="s">
        <v>462</v>
      </c>
      <c r="C623" t="s">
        <v>462</v>
      </c>
      <c r="D623" t="s">
        <v>101</v>
      </c>
      <c r="E623" t="str">
        <f t="shared" si="9"/>
        <v>Defender</v>
      </c>
      <c r="F623" t="s">
        <v>2069</v>
      </c>
      <c r="G623" t="s">
        <v>2069</v>
      </c>
      <c r="H623" t="s">
        <v>101</v>
      </c>
    </row>
    <row r="624" spans="1:8" x14ac:dyDescent="0.25">
      <c r="A624" t="s">
        <v>558</v>
      </c>
      <c r="B624" t="s">
        <v>2070</v>
      </c>
      <c r="C624" t="s">
        <v>2070</v>
      </c>
      <c r="D624" t="s">
        <v>101</v>
      </c>
      <c r="E624" t="str">
        <f t="shared" si="9"/>
        <v>Defender</v>
      </c>
      <c r="F624" t="s">
        <v>348</v>
      </c>
      <c r="G624" t="s">
        <v>348</v>
      </c>
      <c r="H624" t="s">
        <v>101</v>
      </c>
    </row>
    <row r="625" spans="1:8" x14ac:dyDescent="0.25">
      <c r="A625" t="s">
        <v>558</v>
      </c>
      <c r="B625" t="s">
        <v>2071</v>
      </c>
      <c r="C625" t="s">
        <v>2071</v>
      </c>
      <c r="D625" t="s">
        <v>101</v>
      </c>
      <c r="E625" t="str">
        <f t="shared" si="9"/>
        <v>Defender</v>
      </c>
      <c r="F625" t="s">
        <v>364</v>
      </c>
      <c r="G625" t="s">
        <v>364</v>
      </c>
      <c r="H625" t="s">
        <v>101</v>
      </c>
    </row>
    <row r="626" spans="1:8" x14ac:dyDescent="0.25">
      <c r="A626" t="s">
        <v>577</v>
      </c>
      <c r="E626" t="str">
        <f t="shared" si="9"/>
        <v>Midfielder</v>
      </c>
    </row>
    <row r="627" spans="1:8" x14ac:dyDescent="0.25">
      <c r="A627" t="s">
        <v>577</v>
      </c>
      <c r="B627" t="s">
        <v>2072</v>
      </c>
      <c r="C627" t="s">
        <v>2072</v>
      </c>
      <c r="D627" t="s">
        <v>101</v>
      </c>
      <c r="E627" t="str">
        <f t="shared" si="9"/>
        <v>Midfielder</v>
      </c>
      <c r="F627" t="s">
        <v>2073</v>
      </c>
      <c r="G627" t="s">
        <v>2073</v>
      </c>
      <c r="H627" t="s">
        <v>101</v>
      </c>
    </row>
    <row r="628" spans="1:8" x14ac:dyDescent="0.25">
      <c r="A628" t="s">
        <v>577</v>
      </c>
      <c r="B628" t="s">
        <v>293</v>
      </c>
      <c r="C628" t="s">
        <v>293</v>
      </c>
      <c r="D628" t="s">
        <v>101</v>
      </c>
      <c r="E628" t="str">
        <f t="shared" si="9"/>
        <v>Midfielder</v>
      </c>
      <c r="F628" t="s">
        <v>2074</v>
      </c>
      <c r="G628" t="s">
        <v>2074</v>
      </c>
      <c r="H628" t="s">
        <v>101</v>
      </c>
    </row>
    <row r="629" spans="1:8" x14ac:dyDescent="0.25">
      <c r="A629" t="s">
        <v>577</v>
      </c>
      <c r="B629" t="s">
        <v>410</v>
      </c>
      <c r="C629" t="s">
        <v>410</v>
      </c>
      <c r="D629" t="s">
        <v>101</v>
      </c>
      <c r="E629" t="str">
        <f t="shared" si="9"/>
        <v>Midfielder</v>
      </c>
      <c r="F629" t="s">
        <v>2075</v>
      </c>
      <c r="G629" t="s">
        <v>2075</v>
      </c>
      <c r="H629" t="s">
        <v>101</v>
      </c>
    </row>
    <row r="630" spans="1:8" x14ac:dyDescent="0.25">
      <c r="A630" t="s">
        <v>577</v>
      </c>
      <c r="B630" t="s">
        <v>426</v>
      </c>
      <c r="C630" t="s">
        <v>426</v>
      </c>
      <c r="D630" t="s">
        <v>101</v>
      </c>
      <c r="E630" t="str">
        <f t="shared" si="9"/>
        <v>Midfielder</v>
      </c>
    </row>
    <row r="631" spans="1:8" x14ac:dyDescent="0.25">
      <c r="A631" t="s">
        <v>592</v>
      </c>
      <c r="E631" t="str">
        <f t="shared" si="9"/>
        <v>Forward</v>
      </c>
    </row>
    <row r="632" spans="1:8" x14ac:dyDescent="0.25">
      <c r="A632" t="s">
        <v>592</v>
      </c>
      <c r="B632" t="s">
        <v>296</v>
      </c>
      <c r="C632" t="s">
        <v>296</v>
      </c>
      <c r="D632" t="s">
        <v>101</v>
      </c>
      <c r="E632" t="str">
        <f t="shared" si="9"/>
        <v>Forward</v>
      </c>
      <c r="F632" t="s">
        <v>366</v>
      </c>
      <c r="G632" t="s">
        <v>366</v>
      </c>
      <c r="H632" t="s">
        <v>101</v>
      </c>
    </row>
    <row r="633" spans="1:8" x14ac:dyDescent="0.25">
      <c r="A633" t="s">
        <v>592</v>
      </c>
      <c r="B633" t="s">
        <v>2076</v>
      </c>
      <c r="C633" t="s">
        <v>2076</v>
      </c>
      <c r="D633" t="s">
        <v>101</v>
      </c>
      <c r="E633" t="str">
        <f t="shared" si="9"/>
        <v>Forward</v>
      </c>
      <c r="F633" t="s">
        <v>2077</v>
      </c>
      <c r="G633" t="s">
        <v>2077</v>
      </c>
      <c r="H633" t="s">
        <v>101</v>
      </c>
    </row>
    <row r="634" spans="1:8" x14ac:dyDescent="0.25">
      <c r="A634" t="s">
        <v>592</v>
      </c>
      <c r="B634" t="s">
        <v>2078</v>
      </c>
      <c r="C634" t="s">
        <v>2078</v>
      </c>
      <c r="D634" t="s">
        <v>101</v>
      </c>
      <c r="E634" t="str">
        <f t="shared" si="9"/>
        <v>Forward</v>
      </c>
      <c r="F634" t="s">
        <v>2079</v>
      </c>
      <c r="G634" t="s">
        <v>2079</v>
      </c>
      <c r="H634" t="s">
        <v>101</v>
      </c>
    </row>
    <row r="635" spans="1:8" x14ac:dyDescent="0.25">
      <c r="A635" t="s">
        <v>592</v>
      </c>
      <c r="B635" t="s">
        <v>2080</v>
      </c>
      <c r="C635" t="s">
        <v>2080</v>
      </c>
      <c r="D635" t="s">
        <v>101</v>
      </c>
      <c r="E635" t="str">
        <f t="shared" si="9"/>
        <v>Forward</v>
      </c>
      <c r="F635" t="s">
        <v>2081</v>
      </c>
      <c r="G635" t="s">
        <v>2081</v>
      </c>
      <c r="H635" t="s">
        <v>101</v>
      </c>
    </row>
    <row r="636" spans="1:8" x14ac:dyDescent="0.25">
      <c r="A636" t="s">
        <v>551</v>
      </c>
      <c r="E636" t="str">
        <f t="shared" si="9"/>
        <v>Goalkeeper</v>
      </c>
    </row>
    <row r="637" spans="1:8" x14ac:dyDescent="0.25">
      <c r="A637" t="s">
        <v>551</v>
      </c>
      <c r="B637" t="s">
        <v>2082</v>
      </c>
      <c r="C637" t="s">
        <v>2083</v>
      </c>
      <c r="D637" t="s">
        <v>162</v>
      </c>
      <c r="E637" t="str">
        <f t="shared" si="9"/>
        <v>Goalkeeper</v>
      </c>
      <c r="F637" t="s">
        <v>2084</v>
      </c>
      <c r="G637" t="s">
        <v>2084</v>
      </c>
      <c r="H637" t="s">
        <v>162</v>
      </c>
    </row>
    <row r="638" spans="1:8" x14ac:dyDescent="0.25">
      <c r="A638" t="s">
        <v>551</v>
      </c>
      <c r="B638" t="s">
        <v>2085</v>
      </c>
      <c r="C638" t="s">
        <v>2085</v>
      </c>
      <c r="D638" t="s">
        <v>162</v>
      </c>
      <c r="E638" t="str">
        <f t="shared" si="9"/>
        <v>Goalkeeper</v>
      </c>
    </row>
    <row r="639" spans="1:8" x14ac:dyDescent="0.25">
      <c r="A639" t="s">
        <v>558</v>
      </c>
      <c r="E639" t="str">
        <f t="shared" si="9"/>
        <v>Defender</v>
      </c>
    </row>
    <row r="640" spans="1:8" x14ac:dyDescent="0.25">
      <c r="A640" t="s">
        <v>558</v>
      </c>
      <c r="B640" t="s">
        <v>2086</v>
      </c>
      <c r="C640" t="s">
        <v>2086</v>
      </c>
      <c r="D640" t="s">
        <v>162</v>
      </c>
      <c r="E640" t="str">
        <f t="shared" si="9"/>
        <v>Defender</v>
      </c>
      <c r="F640" t="s">
        <v>2087</v>
      </c>
      <c r="G640" t="s">
        <v>2087</v>
      </c>
      <c r="H640" t="s">
        <v>162</v>
      </c>
    </row>
    <row r="641" spans="1:8" x14ac:dyDescent="0.25">
      <c r="A641" t="s">
        <v>558</v>
      </c>
      <c r="B641" t="s">
        <v>2088</v>
      </c>
      <c r="C641" t="s">
        <v>2088</v>
      </c>
      <c r="D641" t="s">
        <v>162</v>
      </c>
      <c r="E641" t="str">
        <f t="shared" si="9"/>
        <v>Defender</v>
      </c>
      <c r="F641" t="s">
        <v>2089</v>
      </c>
      <c r="G641" t="s">
        <v>2089</v>
      </c>
      <c r="H641" t="s">
        <v>162</v>
      </c>
    </row>
    <row r="642" spans="1:8" x14ac:dyDescent="0.25">
      <c r="A642" t="s">
        <v>558</v>
      </c>
      <c r="B642" t="s">
        <v>2090</v>
      </c>
      <c r="C642" t="s">
        <v>2090</v>
      </c>
      <c r="D642" t="s">
        <v>162</v>
      </c>
      <c r="E642" t="str">
        <f t="shared" si="9"/>
        <v>Defender</v>
      </c>
      <c r="F642" t="s">
        <v>2091</v>
      </c>
      <c r="G642" t="s">
        <v>2091</v>
      </c>
      <c r="H642" t="s">
        <v>162</v>
      </c>
    </row>
    <row r="643" spans="1:8" x14ac:dyDescent="0.25">
      <c r="A643" t="s">
        <v>558</v>
      </c>
      <c r="B643" t="s">
        <v>2092</v>
      </c>
      <c r="C643" t="s">
        <v>2092</v>
      </c>
      <c r="D643" t="s">
        <v>162</v>
      </c>
      <c r="E643" t="str">
        <f t="shared" ref="E643:E706" si="10">A643</f>
        <v>Defender</v>
      </c>
      <c r="F643" t="s">
        <v>2093</v>
      </c>
      <c r="G643" t="s">
        <v>2093</v>
      </c>
      <c r="H643" t="s">
        <v>162</v>
      </c>
    </row>
    <row r="644" spans="1:8" x14ac:dyDescent="0.25">
      <c r="A644" t="s">
        <v>558</v>
      </c>
      <c r="B644" t="s">
        <v>2094</v>
      </c>
      <c r="C644" t="s">
        <v>2094</v>
      </c>
      <c r="D644" t="s">
        <v>162</v>
      </c>
      <c r="E644" t="str">
        <f t="shared" si="10"/>
        <v>Defender</v>
      </c>
    </row>
    <row r="645" spans="1:8" x14ac:dyDescent="0.25">
      <c r="A645" t="s">
        <v>577</v>
      </c>
      <c r="E645" t="str">
        <f t="shared" si="10"/>
        <v>Midfielder</v>
      </c>
    </row>
    <row r="646" spans="1:8" x14ac:dyDescent="0.25">
      <c r="A646" t="s">
        <v>577</v>
      </c>
      <c r="B646" t="s">
        <v>2095</v>
      </c>
      <c r="C646" t="s">
        <v>2095</v>
      </c>
      <c r="D646" t="s">
        <v>162</v>
      </c>
      <c r="E646" t="str">
        <f t="shared" si="10"/>
        <v>Midfielder</v>
      </c>
      <c r="F646" t="s">
        <v>2096</v>
      </c>
      <c r="G646" t="s">
        <v>2096</v>
      </c>
      <c r="H646" t="s">
        <v>162</v>
      </c>
    </row>
    <row r="647" spans="1:8" x14ac:dyDescent="0.25">
      <c r="A647" t="s">
        <v>577</v>
      </c>
      <c r="B647" t="s">
        <v>2097</v>
      </c>
      <c r="C647" t="s">
        <v>2097</v>
      </c>
      <c r="D647" t="s">
        <v>162</v>
      </c>
      <c r="E647" t="str">
        <f t="shared" si="10"/>
        <v>Midfielder</v>
      </c>
      <c r="F647" t="s">
        <v>2098</v>
      </c>
      <c r="G647" t="s">
        <v>2098</v>
      </c>
      <c r="H647" t="s">
        <v>162</v>
      </c>
    </row>
    <row r="648" spans="1:8" x14ac:dyDescent="0.25">
      <c r="A648" t="s">
        <v>577</v>
      </c>
      <c r="B648" t="s">
        <v>2099</v>
      </c>
      <c r="C648" t="s">
        <v>2099</v>
      </c>
      <c r="D648" t="s">
        <v>162</v>
      </c>
      <c r="E648" t="str">
        <f t="shared" si="10"/>
        <v>Midfielder</v>
      </c>
    </row>
    <row r="649" spans="1:8" x14ac:dyDescent="0.25">
      <c r="A649" t="s">
        <v>592</v>
      </c>
      <c r="E649" t="str">
        <f t="shared" si="10"/>
        <v>Forward</v>
      </c>
    </row>
    <row r="650" spans="1:8" x14ac:dyDescent="0.25">
      <c r="A650" t="s">
        <v>592</v>
      </c>
      <c r="B650" t="s">
        <v>2100</v>
      </c>
      <c r="C650" t="s">
        <v>2100</v>
      </c>
      <c r="D650" t="s">
        <v>162</v>
      </c>
      <c r="E650" t="str">
        <f t="shared" si="10"/>
        <v>Forward</v>
      </c>
      <c r="F650" t="s">
        <v>2101</v>
      </c>
      <c r="G650" t="s">
        <v>2101</v>
      </c>
      <c r="H650" t="s">
        <v>162</v>
      </c>
    </row>
    <row r="651" spans="1:8" x14ac:dyDescent="0.25">
      <c r="A651" t="s">
        <v>592</v>
      </c>
      <c r="B651" t="s">
        <v>2102</v>
      </c>
      <c r="C651" t="s">
        <v>2102</v>
      </c>
      <c r="D651" t="s">
        <v>162</v>
      </c>
      <c r="E651" t="str">
        <f t="shared" si="10"/>
        <v>Forward</v>
      </c>
      <c r="F651" t="s">
        <v>2103</v>
      </c>
      <c r="G651" t="s">
        <v>2103</v>
      </c>
      <c r="H651" t="s">
        <v>162</v>
      </c>
    </row>
    <row r="652" spans="1:8" x14ac:dyDescent="0.25">
      <c r="A652" t="s">
        <v>592</v>
      </c>
      <c r="B652" t="s">
        <v>2104</v>
      </c>
      <c r="C652" t="s">
        <v>2104</v>
      </c>
      <c r="D652" t="s">
        <v>162</v>
      </c>
      <c r="E652" t="str">
        <f t="shared" si="10"/>
        <v>Forward</v>
      </c>
      <c r="F652" t="s">
        <v>2105</v>
      </c>
      <c r="G652" t="s">
        <v>2105</v>
      </c>
      <c r="H652" t="s">
        <v>162</v>
      </c>
    </row>
    <row r="653" spans="1:8" x14ac:dyDescent="0.25">
      <c r="A653" t="s">
        <v>592</v>
      </c>
      <c r="B653" t="s">
        <v>2106</v>
      </c>
      <c r="C653" t="s">
        <v>2106</v>
      </c>
      <c r="D653" t="s">
        <v>162</v>
      </c>
      <c r="E653" t="str">
        <f t="shared" si="10"/>
        <v>Forward</v>
      </c>
      <c r="F653" t="s">
        <v>2107</v>
      </c>
      <c r="G653" t="s">
        <v>2107</v>
      </c>
      <c r="H653" t="s">
        <v>162</v>
      </c>
    </row>
    <row r="654" spans="1:8" x14ac:dyDescent="0.25">
      <c r="A654" t="s">
        <v>592</v>
      </c>
      <c r="B654" t="s">
        <v>2108</v>
      </c>
      <c r="C654" t="s">
        <v>2108</v>
      </c>
      <c r="D654" t="s">
        <v>162</v>
      </c>
      <c r="E654" t="str">
        <f t="shared" si="10"/>
        <v>Forward</v>
      </c>
    </row>
    <row r="655" spans="1:8" x14ac:dyDescent="0.25">
      <c r="A655" t="s">
        <v>551</v>
      </c>
      <c r="E655" t="str">
        <f t="shared" si="10"/>
        <v>Goalkeeper</v>
      </c>
    </row>
    <row r="656" spans="1:8" x14ac:dyDescent="0.25">
      <c r="A656" t="s">
        <v>551</v>
      </c>
      <c r="B656" t="s">
        <v>2109</v>
      </c>
      <c r="C656" t="s">
        <v>2109</v>
      </c>
      <c r="D656" t="s">
        <v>119</v>
      </c>
      <c r="E656" t="str">
        <f t="shared" si="10"/>
        <v>Goalkeeper</v>
      </c>
      <c r="F656" t="s">
        <v>2110</v>
      </c>
      <c r="G656" t="s">
        <v>2110</v>
      </c>
      <c r="H656" t="s">
        <v>119</v>
      </c>
    </row>
    <row r="657" spans="1:8" x14ac:dyDescent="0.25">
      <c r="A657" t="s">
        <v>551</v>
      </c>
      <c r="B657" t="s">
        <v>2111</v>
      </c>
      <c r="C657" t="s">
        <v>2111</v>
      </c>
      <c r="D657" t="s">
        <v>119</v>
      </c>
      <c r="E657" t="str">
        <f t="shared" si="10"/>
        <v>Goalkeeper</v>
      </c>
    </row>
    <row r="658" spans="1:8" x14ac:dyDescent="0.25">
      <c r="A658" t="s">
        <v>558</v>
      </c>
      <c r="E658" t="str">
        <f t="shared" si="10"/>
        <v>Defender</v>
      </c>
    </row>
    <row r="659" spans="1:8" x14ac:dyDescent="0.25">
      <c r="A659" t="s">
        <v>558</v>
      </c>
      <c r="B659" t="s">
        <v>2112</v>
      </c>
      <c r="C659" t="s">
        <v>2112</v>
      </c>
      <c r="D659" t="s">
        <v>119</v>
      </c>
      <c r="E659" t="str">
        <f t="shared" si="10"/>
        <v>Defender</v>
      </c>
      <c r="F659" t="s">
        <v>2113</v>
      </c>
      <c r="G659" t="s">
        <v>2113</v>
      </c>
      <c r="H659" t="s">
        <v>119</v>
      </c>
    </row>
    <row r="660" spans="1:8" x14ac:dyDescent="0.25">
      <c r="A660" t="s">
        <v>558</v>
      </c>
      <c r="B660" t="s">
        <v>2114</v>
      </c>
      <c r="C660" t="s">
        <v>2114</v>
      </c>
      <c r="D660" t="s">
        <v>119</v>
      </c>
      <c r="E660" t="str">
        <f t="shared" si="10"/>
        <v>Defender</v>
      </c>
      <c r="F660" t="s">
        <v>2115</v>
      </c>
      <c r="G660" t="s">
        <v>2115</v>
      </c>
      <c r="H660" t="s">
        <v>119</v>
      </c>
    </row>
    <row r="661" spans="1:8" x14ac:dyDescent="0.25">
      <c r="A661" t="s">
        <v>558</v>
      </c>
      <c r="B661" t="s">
        <v>2116</v>
      </c>
      <c r="C661" t="s">
        <v>2116</v>
      </c>
      <c r="D661" t="s">
        <v>119</v>
      </c>
      <c r="E661" t="str">
        <f t="shared" si="10"/>
        <v>Defender</v>
      </c>
      <c r="F661" t="s">
        <v>2117</v>
      </c>
      <c r="G661" t="s">
        <v>2117</v>
      </c>
      <c r="H661" t="s">
        <v>119</v>
      </c>
    </row>
    <row r="662" spans="1:8" x14ac:dyDescent="0.25">
      <c r="A662" t="s">
        <v>558</v>
      </c>
      <c r="B662" t="s">
        <v>2118</v>
      </c>
      <c r="C662" t="s">
        <v>2118</v>
      </c>
      <c r="D662" t="s">
        <v>119</v>
      </c>
      <c r="E662" t="str">
        <f t="shared" si="10"/>
        <v>Defender</v>
      </c>
      <c r="F662" t="s">
        <v>2119</v>
      </c>
      <c r="G662" t="s">
        <v>2119</v>
      </c>
      <c r="H662" t="s">
        <v>119</v>
      </c>
    </row>
    <row r="663" spans="1:8" x14ac:dyDescent="0.25">
      <c r="A663" t="s">
        <v>558</v>
      </c>
      <c r="B663" t="s">
        <v>2120</v>
      </c>
      <c r="C663" t="s">
        <v>2120</v>
      </c>
      <c r="D663" t="s">
        <v>119</v>
      </c>
      <c r="E663" t="str">
        <f t="shared" si="10"/>
        <v>Defender</v>
      </c>
    </row>
    <row r="664" spans="1:8" x14ac:dyDescent="0.25">
      <c r="A664" t="s">
        <v>577</v>
      </c>
      <c r="E664" t="str">
        <f t="shared" si="10"/>
        <v>Midfielder</v>
      </c>
    </row>
    <row r="665" spans="1:8" x14ac:dyDescent="0.25">
      <c r="A665" t="s">
        <v>577</v>
      </c>
      <c r="B665" t="s">
        <v>2121</v>
      </c>
      <c r="C665" t="s">
        <v>2121</v>
      </c>
      <c r="D665" t="s">
        <v>119</v>
      </c>
      <c r="E665" t="str">
        <f t="shared" si="10"/>
        <v>Midfielder</v>
      </c>
      <c r="F665" t="s">
        <v>2122</v>
      </c>
      <c r="G665" t="s">
        <v>2122</v>
      </c>
      <c r="H665" t="s">
        <v>119</v>
      </c>
    </row>
    <row r="666" spans="1:8" x14ac:dyDescent="0.25">
      <c r="A666" t="s">
        <v>577</v>
      </c>
      <c r="B666" t="s">
        <v>2123</v>
      </c>
      <c r="C666" t="s">
        <v>2123</v>
      </c>
      <c r="D666" t="s">
        <v>119</v>
      </c>
      <c r="E666" t="str">
        <f t="shared" si="10"/>
        <v>Midfielder</v>
      </c>
      <c r="F666" t="s">
        <v>2124</v>
      </c>
      <c r="G666" t="s">
        <v>2124</v>
      </c>
      <c r="H666" t="s">
        <v>119</v>
      </c>
    </row>
    <row r="667" spans="1:8" x14ac:dyDescent="0.25">
      <c r="A667" t="s">
        <v>577</v>
      </c>
      <c r="B667" t="s">
        <v>2125</v>
      </c>
      <c r="C667" t="s">
        <v>2125</v>
      </c>
      <c r="D667" t="s">
        <v>119</v>
      </c>
      <c r="E667" t="str">
        <f t="shared" si="10"/>
        <v>Midfielder</v>
      </c>
      <c r="F667" t="s">
        <v>2126</v>
      </c>
      <c r="G667" t="s">
        <v>2126</v>
      </c>
      <c r="H667" t="s">
        <v>119</v>
      </c>
    </row>
    <row r="668" spans="1:8" x14ac:dyDescent="0.25">
      <c r="A668" t="s">
        <v>577</v>
      </c>
      <c r="B668" t="s">
        <v>2127</v>
      </c>
      <c r="C668" t="s">
        <v>2127</v>
      </c>
      <c r="D668" t="s">
        <v>119</v>
      </c>
      <c r="E668" t="str">
        <f t="shared" si="10"/>
        <v>Midfielder</v>
      </c>
      <c r="F668" t="s">
        <v>2128</v>
      </c>
      <c r="G668" t="s">
        <v>2128</v>
      </c>
      <c r="H668" t="s">
        <v>119</v>
      </c>
    </row>
    <row r="669" spans="1:8" x14ac:dyDescent="0.25">
      <c r="A669" t="s">
        <v>577</v>
      </c>
      <c r="B669" t="s">
        <v>2129</v>
      </c>
      <c r="C669" t="s">
        <v>2129</v>
      </c>
      <c r="D669" t="s">
        <v>119</v>
      </c>
      <c r="E669" t="str">
        <f t="shared" si="10"/>
        <v>Midfielder</v>
      </c>
    </row>
    <row r="670" spans="1:8" x14ac:dyDescent="0.25">
      <c r="A670" t="s">
        <v>592</v>
      </c>
      <c r="E670" t="str">
        <f t="shared" si="10"/>
        <v>Forward</v>
      </c>
    </row>
    <row r="671" spans="1:8" x14ac:dyDescent="0.25">
      <c r="A671" t="s">
        <v>592</v>
      </c>
      <c r="B671" t="s">
        <v>2130</v>
      </c>
      <c r="C671" t="s">
        <v>2130</v>
      </c>
      <c r="D671" t="s">
        <v>119</v>
      </c>
      <c r="E671" t="str">
        <f t="shared" si="10"/>
        <v>Forward</v>
      </c>
      <c r="F671" t="s">
        <v>2131</v>
      </c>
      <c r="G671" t="s">
        <v>2131</v>
      </c>
      <c r="H671" t="s">
        <v>119</v>
      </c>
    </row>
    <row r="672" spans="1:8" x14ac:dyDescent="0.25">
      <c r="A672" t="s">
        <v>592</v>
      </c>
      <c r="B672" t="s">
        <v>2132</v>
      </c>
      <c r="C672" t="s">
        <v>2132</v>
      </c>
      <c r="D672" t="s">
        <v>119</v>
      </c>
      <c r="E672" t="str">
        <f t="shared" si="10"/>
        <v>Forward</v>
      </c>
      <c r="F672" t="s">
        <v>2133</v>
      </c>
      <c r="G672" t="s">
        <v>2133</v>
      </c>
      <c r="H672" t="s">
        <v>119</v>
      </c>
    </row>
    <row r="673" spans="1:8" x14ac:dyDescent="0.25">
      <c r="A673" t="s">
        <v>592</v>
      </c>
      <c r="B673" t="s">
        <v>2134</v>
      </c>
      <c r="C673" t="s">
        <v>2134</v>
      </c>
      <c r="D673" t="s">
        <v>119</v>
      </c>
      <c r="E673" t="str">
        <f t="shared" si="10"/>
        <v>Forward</v>
      </c>
    </row>
    <row r="674" spans="1:8" x14ac:dyDescent="0.25">
      <c r="A674" t="s">
        <v>551</v>
      </c>
      <c r="E674" t="str">
        <f t="shared" si="10"/>
        <v>Goalkeeper</v>
      </c>
    </row>
    <row r="675" spans="1:8" x14ac:dyDescent="0.25">
      <c r="A675" t="s">
        <v>551</v>
      </c>
      <c r="B675" t="s">
        <v>2135</v>
      </c>
      <c r="C675" t="s">
        <v>2136</v>
      </c>
      <c r="D675" t="s">
        <v>156</v>
      </c>
      <c r="E675" t="str">
        <f t="shared" si="10"/>
        <v>Goalkeeper</v>
      </c>
      <c r="F675" t="s">
        <v>2137</v>
      </c>
      <c r="G675" t="s">
        <v>2138</v>
      </c>
      <c r="H675" t="s">
        <v>156</v>
      </c>
    </row>
    <row r="676" spans="1:8" x14ac:dyDescent="0.25">
      <c r="A676" t="s">
        <v>551</v>
      </c>
      <c r="B676" t="s">
        <v>2139</v>
      </c>
      <c r="C676" t="s">
        <v>2140</v>
      </c>
      <c r="D676" t="s">
        <v>156</v>
      </c>
      <c r="E676" t="str">
        <f t="shared" si="10"/>
        <v>Goalkeeper</v>
      </c>
    </row>
    <row r="677" spans="1:8" x14ac:dyDescent="0.25">
      <c r="A677" t="s">
        <v>558</v>
      </c>
      <c r="E677" t="str">
        <f t="shared" si="10"/>
        <v>Defender</v>
      </c>
    </row>
    <row r="678" spans="1:8" x14ac:dyDescent="0.25">
      <c r="A678" t="s">
        <v>558</v>
      </c>
      <c r="B678" t="s">
        <v>2141</v>
      </c>
      <c r="C678" t="s">
        <v>2142</v>
      </c>
      <c r="D678" t="s">
        <v>156</v>
      </c>
      <c r="E678" t="str">
        <f t="shared" si="10"/>
        <v>Defender</v>
      </c>
      <c r="F678" t="s">
        <v>2143</v>
      </c>
      <c r="G678" t="s">
        <v>2144</v>
      </c>
      <c r="H678" t="s">
        <v>156</v>
      </c>
    </row>
    <row r="679" spans="1:8" x14ac:dyDescent="0.25">
      <c r="A679" t="s">
        <v>558</v>
      </c>
      <c r="B679" t="s">
        <v>2145</v>
      </c>
      <c r="C679" t="s">
        <v>2146</v>
      </c>
      <c r="D679" t="s">
        <v>156</v>
      </c>
      <c r="E679" t="str">
        <f t="shared" si="10"/>
        <v>Defender</v>
      </c>
      <c r="F679" t="s">
        <v>2147</v>
      </c>
      <c r="G679" t="s">
        <v>2148</v>
      </c>
      <c r="H679" t="s">
        <v>156</v>
      </c>
    </row>
    <row r="680" spans="1:8" x14ac:dyDescent="0.25">
      <c r="A680" t="s">
        <v>558</v>
      </c>
      <c r="B680" t="s">
        <v>2149</v>
      </c>
      <c r="C680" t="s">
        <v>2150</v>
      </c>
      <c r="D680" t="s">
        <v>156</v>
      </c>
      <c r="E680" t="str">
        <f t="shared" si="10"/>
        <v>Defender</v>
      </c>
      <c r="F680" t="s">
        <v>2151</v>
      </c>
      <c r="G680" t="s">
        <v>2152</v>
      </c>
      <c r="H680" t="s">
        <v>156</v>
      </c>
    </row>
    <row r="681" spans="1:8" x14ac:dyDescent="0.25">
      <c r="A681" t="s">
        <v>558</v>
      </c>
      <c r="B681" t="s">
        <v>2153</v>
      </c>
      <c r="C681" t="s">
        <v>2154</v>
      </c>
      <c r="D681" t="s">
        <v>156</v>
      </c>
      <c r="E681" t="str">
        <f t="shared" si="10"/>
        <v>Defender</v>
      </c>
      <c r="F681" t="s">
        <v>2155</v>
      </c>
      <c r="G681" t="s">
        <v>2156</v>
      </c>
      <c r="H681" t="s">
        <v>156</v>
      </c>
    </row>
    <row r="682" spans="1:8" x14ac:dyDescent="0.25">
      <c r="A682" t="s">
        <v>558</v>
      </c>
      <c r="B682" t="s">
        <v>2157</v>
      </c>
      <c r="C682" t="s">
        <v>2158</v>
      </c>
      <c r="D682" t="s">
        <v>156</v>
      </c>
      <c r="E682" t="str">
        <f t="shared" si="10"/>
        <v>Defender</v>
      </c>
      <c r="F682" t="s">
        <v>2159</v>
      </c>
      <c r="G682" t="s">
        <v>2160</v>
      </c>
      <c r="H682" t="s">
        <v>156</v>
      </c>
    </row>
    <row r="683" spans="1:8" x14ac:dyDescent="0.25">
      <c r="A683" t="s">
        <v>577</v>
      </c>
      <c r="E683" t="str">
        <f t="shared" si="10"/>
        <v>Midfielder</v>
      </c>
    </row>
    <row r="684" spans="1:8" x14ac:dyDescent="0.25">
      <c r="A684" t="s">
        <v>577</v>
      </c>
      <c r="B684" t="s">
        <v>2161</v>
      </c>
      <c r="C684" t="s">
        <v>310</v>
      </c>
      <c r="D684" t="s">
        <v>156</v>
      </c>
      <c r="E684" t="str">
        <f t="shared" si="10"/>
        <v>Midfielder</v>
      </c>
      <c r="F684" t="s">
        <v>2162</v>
      </c>
      <c r="G684" t="s">
        <v>2163</v>
      </c>
      <c r="H684" t="s">
        <v>156</v>
      </c>
    </row>
    <row r="685" spans="1:8" x14ac:dyDescent="0.25">
      <c r="A685" t="s">
        <v>577</v>
      </c>
      <c r="B685" t="s">
        <v>2164</v>
      </c>
      <c r="C685" t="s">
        <v>2165</v>
      </c>
      <c r="D685" t="s">
        <v>156</v>
      </c>
      <c r="E685" t="str">
        <f t="shared" si="10"/>
        <v>Midfielder</v>
      </c>
      <c r="F685" t="s">
        <v>2166</v>
      </c>
      <c r="G685" t="s">
        <v>2167</v>
      </c>
      <c r="H685" t="s">
        <v>156</v>
      </c>
    </row>
    <row r="686" spans="1:8" x14ac:dyDescent="0.25">
      <c r="A686" t="s">
        <v>577</v>
      </c>
      <c r="B686" t="s">
        <v>2168</v>
      </c>
      <c r="C686" t="s">
        <v>2169</v>
      </c>
      <c r="D686" t="s">
        <v>156</v>
      </c>
      <c r="E686" t="str">
        <f t="shared" si="10"/>
        <v>Midfielder</v>
      </c>
      <c r="F686" t="s">
        <v>2170</v>
      </c>
      <c r="G686" t="s">
        <v>2171</v>
      </c>
      <c r="H686" t="s">
        <v>156</v>
      </c>
    </row>
    <row r="687" spans="1:8" x14ac:dyDescent="0.25">
      <c r="A687" t="s">
        <v>592</v>
      </c>
      <c r="E687" t="str">
        <f t="shared" si="10"/>
        <v>Forward</v>
      </c>
    </row>
    <row r="688" spans="1:8" x14ac:dyDescent="0.25">
      <c r="A688" t="s">
        <v>592</v>
      </c>
      <c r="B688" t="s">
        <v>2172</v>
      </c>
      <c r="C688" t="s">
        <v>2173</v>
      </c>
      <c r="D688" t="s">
        <v>156</v>
      </c>
      <c r="E688" t="str">
        <f t="shared" si="10"/>
        <v>Forward</v>
      </c>
      <c r="F688" t="s">
        <v>2174</v>
      </c>
      <c r="G688" t="s">
        <v>2175</v>
      </c>
      <c r="H688" t="s">
        <v>156</v>
      </c>
    </row>
    <row r="689" spans="1:8" x14ac:dyDescent="0.25">
      <c r="A689" t="s">
        <v>592</v>
      </c>
      <c r="B689" t="s">
        <v>2176</v>
      </c>
      <c r="C689" t="s">
        <v>2177</v>
      </c>
      <c r="D689" t="s">
        <v>156</v>
      </c>
      <c r="E689" t="str">
        <f t="shared" si="10"/>
        <v>Forward</v>
      </c>
      <c r="F689" t="s">
        <v>2178</v>
      </c>
      <c r="G689" t="s">
        <v>2179</v>
      </c>
      <c r="H689" t="s">
        <v>156</v>
      </c>
    </row>
    <row r="690" spans="1:8" x14ac:dyDescent="0.25">
      <c r="A690" t="s">
        <v>592</v>
      </c>
      <c r="B690" t="s">
        <v>2180</v>
      </c>
      <c r="C690" t="s">
        <v>2181</v>
      </c>
      <c r="D690" t="s">
        <v>156</v>
      </c>
      <c r="E690" t="str">
        <f t="shared" si="10"/>
        <v>Forward</v>
      </c>
      <c r="F690" t="s">
        <v>2182</v>
      </c>
      <c r="G690" t="s">
        <v>2183</v>
      </c>
      <c r="H690" t="s">
        <v>156</v>
      </c>
    </row>
    <row r="691" spans="1:8" x14ac:dyDescent="0.25">
      <c r="A691" t="s">
        <v>592</v>
      </c>
      <c r="B691" t="s">
        <v>2184</v>
      </c>
      <c r="C691" t="s">
        <v>2185</v>
      </c>
      <c r="D691" t="s">
        <v>156</v>
      </c>
      <c r="E691" t="str">
        <f t="shared" si="10"/>
        <v>Forward</v>
      </c>
    </row>
    <row r="692" spans="1:8" x14ac:dyDescent="0.25">
      <c r="A692" t="s">
        <v>551</v>
      </c>
      <c r="E692" t="str">
        <f t="shared" si="10"/>
        <v>Goalkeeper</v>
      </c>
    </row>
    <row r="693" spans="1:8" x14ac:dyDescent="0.25">
      <c r="A693" t="s">
        <v>551</v>
      </c>
      <c r="B693" t="s">
        <v>2186</v>
      </c>
      <c r="C693" t="s">
        <v>2187</v>
      </c>
      <c r="D693" t="s">
        <v>126</v>
      </c>
      <c r="E693" t="str">
        <f t="shared" si="10"/>
        <v>Goalkeeper</v>
      </c>
      <c r="F693" t="s">
        <v>2188</v>
      </c>
      <c r="G693" t="s">
        <v>2189</v>
      </c>
      <c r="H693" t="s">
        <v>126</v>
      </c>
    </row>
    <row r="694" spans="1:8" x14ac:dyDescent="0.25">
      <c r="A694" t="s">
        <v>551</v>
      </c>
      <c r="B694" t="s">
        <v>2190</v>
      </c>
      <c r="C694" t="s">
        <v>2191</v>
      </c>
      <c r="D694" t="s">
        <v>126</v>
      </c>
      <c r="E694" t="str">
        <f t="shared" si="10"/>
        <v>Goalkeeper</v>
      </c>
    </row>
    <row r="695" spans="1:8" x14ac:dyDescent="0.25">
      <c r="A695" t="s">
        <v>558</v>
      </c>
      <c r="E695" t="str">
        <f t="shared" si="10"/>
        <v>Defender</v>
      </c>
    </row>
    <row r="696" spans="1:8" x14ac:dyDescent="0.25">
      <c r="A696" t="s">
        <v>558</v>
      </c>
      <c r="B696" t="s">
        <v>2192</v>
      </c>
      <c r="C696" t="s">
        <v>2193</v>
      </c>
      <c r="D696" t="s">
        <v>126</v>
      </c>
      <c r="E696" t="str">
        <f t="shared" si="10"/>
        <v>Defender</v>
      </c>
      <c r="F696" t="s">
        <v>2194</v>
      </c>
      <c r="G696" t="s">
        <v>2195</v>
      </c>
      <c r="H696" t="s">
        <v>126</v>
      </c>
    </row>
    <row r="697" spans="1:8" x14ac:dyDescent="0.25">
      <c r="A697" t="s">
        <v>558</v>
      </c>
      <c r="B697" t="s">
        <v>2196</v>
      </c>
      <c r="C697" t="s">
        <v>2197</v>
      </c>
      <c r="D697" t="s">
        <v>126</v>
      </c>
      <c r="E697" t="str">
        <f t="shared" si="10"/>
        <v>Defender</v>
      </c>
      <c r="F697" t="s">
        <v>2198</v>
      </c>
      <c r="G697" t="s">
        <v>2199</v>
      </c>
      <c r="H697" t="s">
        <v>126</v>
      </c>
    </row>
    <row r="698" spans="1:8" x14ac:dyDescent="0.25">
      <c r="A698" t="s">
        <v>558</v>
      </c>
      <c r="B698" t="s">
        <v>2200</v>
      </c>
      <c r="C698" t="s">
        <v>2201</v>
      </c>
      <c r="D698" t="s">
        <v>126</v>
      </c>
      <c r="E698" t="str">
        <f t="shared" si="10"/>
        <v>Defender</v>
      </c>
      <c r="F698" t="s">
        <v>2202</v>
      </c>
      <c r="G698" t="s">
        <v>2203</v>
      </c>
      <c r="H698" t="s">
        <v>126</v>
      </c>
    </row>
    <row r="699" spans="1:8" x14ac:dyDescent="0.25">
      <c r="A699" t="s">
        <v>558</v>
      </c>
      <c r="B699" t="s">
        <v>2204</v>
      </c>
      <c r="C699" t="s">
        <v>2205</v>
      </c>
      <c r="D699" t="s">
        <v>126</v>
      </c>
      <c r="E699" t="str">
        <f t="shared" si="10"/>
        <v>Defender</v>
      </c>
    </row>
    <row r="700" spans="1:8" x14ac:dyDescent="0.25">
      <c r="A700" t="s">
        <v>577</v>
      </c>
      <c r="E700" t="str">
        <f t="shared" si="10"/>
        <v>Midfielder</v>
      </c>
    </row>
    <row r="701" spans="1:8" x14ac:dyDescent="0.25">
      <c r="A701" t="s">
        <v>577</v>
      </c>
      <c r="B701" t="s">
        <v>2206</v>
      </c>
      <c r="C701" t="s">
        <v>2207</v>
      </c>
      <c r="D701" t="s">
        <v>126</v>
      </c>
      <c r="E701" t="str">
        <f t="shared" si="10"/>
        <v>Midfielder</v>
      </c>
      <c r="F701" t="s">
        <v>2208</v>
      </c>
      <c r="G701" t="s">
        <v>2209</v>
      </c>
      <c r="H701" t="s">
        <v>126</v>
      </c>
    </row>
    <row r="702" spans="1:8" x14ac:dyDescent="0.25">
      <c r="A702" t="s">
        <v>577</v>
      </c>
      <c r="B702" t="s">
        <v>2210</v>
      </c>
      <c r="C702" t="s">
        <v>2211</v>
      </c>
      <c r="D702" t="s">
        <v>126</v>
      </c>
      <c r="E702" t="str">
        <f t="shared" si="10"/>
        <v>Midfielder</v>
      </c>
      <c r="F702" t="s">
        <v>2212</v>
      </c>
      <c r="G702" t="s">
        <v>2213</v>
      </c>
      <c r="H702" t="s">
        <v>126</v>
      </c>
    </row>
    <row r="703" spans="1:8" x14ac:dyDescent="0.25">
      <c r="A703" t="s">
        <v>577</v>
      </c>
      <c r="B703" t="s">
        <v>2214</v>
      </c>
      <c r="C703" t="s">
        <v>2215</v>
      </c>
      <c r="D703" t="s">
        <v>126</v>
      </c>
      <c r="E703" t="str">
        <f t="shared" si="10"/>
        <v>Midfielder</v>
      </c>
      <c r="F703" t="s">
        <v>2216</v>
      </c>
      <c r="G703" t="s">
        <v>2217</v>
      </c>
      <c r="H703" t="s">
        <v>126</v>
      </c>
    </row>
    <row r="704" spans="1:8" x14ac:dyDescent="0.25">
      <c r="A704" t="s">
        <v>577</v>
      </c>
      <c r="B704" t="s">
        <v>2218</v>
      </c>
      <c r="C704" t="s">
        <v>2219</v>
      </c>
      <c r="D704" t="s">
        <v>126</v>
      </c>
      <c r="E704" t="str">
        <f t="shared" si="10"/>
        <v>Midfielder</v>
      </c>
      <c r="F704" t="s">
        <v>2220</v>
      </c>
      <c r="G704" t="s">
        <v>2221</v>
      </c>
      <c r="H704" t="s">
        <v>126</v>
      </c>
    </row>
    <row r="705" spans="1:8" x14ac:dyDescent="0.25">
      <c r="A705" t="s">
        <v>592</v>
      </c>
      <c r="E705" t="str">
        <f t="shared" si="10"/>
        <v>Forward</v>
      </c>
    </row>
    <row r="706" spans="1:8" x14ac:dyDescent="0.25">
      <c r="A706" t="s">
        <v>592</v>
      </c>
      <c r="B706" t="s">
        <v>2222</v>
      </c>
      <c r="C706" t="s">
        <v>2223</v>
      </c>
      <c r="D706" t="s">
        <v>126</v>
      </c>
      <c r="E706" t="str">
        <f t="shared" si="10"/>
        <v>Forward</v>
      </c>
      <c r="F706" t="s">
        <v>2224</v>
      </c>
      <c r="G706" t="s">
        <v>2225</v>
      </c>
      <c r="H706" t="s">
        <v>126</v>
      </c>
    </row>
    <row r="707" spans="1:8" x14ac:dyDescent="0.25">
      <c r="A707" t="s">
        <v>592</v>
      </c>
      <c r="B707" t="s">
        <v>2226</v>
      </c>
      <c r="C707" t="s">
        <v>2227</v>
      </c>
      <c r="D707" t="s">
        <v>126</v>
      </c>
      <c r="E707" t="str">
        <f t="shared" ref="E707:E770" si="11">A707</f>
        <v>Forward</v>
      </c>
      <c r="F707" t="s">
        <v>2228</v>
      </c>
      <c r="G707" t="s">
        <v>2229</v>
      </c>
      <c r="H707" t="s">
        <v>126</v>
      </c>
    </row>
    <row r="708" spans="1:8" x14ac:dyDescent="0.25">
      <c r="A708" t="s">
        <v>592</v>
      </c>
      <c r="B708" t="s">
        <v>2230</v>
      </c>
      <c r="C708" t="s">
        <v>446</v>
      </c>
      <c r="D708" t="s">
        <v>126</v>
      </c>
      <c r="E708" t="str">
        <f t="shared" si="11"/>
        <v>Forward</v>
      </c>
      <c r="F708" t="s">
        <v>2231</v>
      </c>
      <c r="G708" t="s">
        <v>2232</v>
      </c>
      <c r="H708" t="s">
        <v>126</v>
      </c>
    </row>
    <row r="709" spans="1:8" x14ac:dyDescent="0.25">
      <c r="A709" t="s">
        <v>592</v>
      </c>
      <c r="B709" t="s">
        <v>2233</v>
      </c>
      <c r="C709" t="s">
        <v>2234</v>
      </c>
      <c r="D709" t="s">
        <v>126</v>
      </c>
      <c r="E709" t="str">
        <f t="shared" si="11"/>
        <v>Forward</v>
      </c>
      <c r="F709" t="s">
        <v>2235</v>
      </c>
      <c r="G709" t="s">
        <v>2236</v>
      </c>
      <c r="H709" t="s">
        <v>126</v>
      </c>
    </row>
    <row r="710" spans="1:8" x14ac:dyDescent="0.25">
      <c r="A710" t="s">
        <v>551</v>
      </c>
      <c r="E710" t="str">
        <f t="shared" si="11"/>
        <v>Goalkeeper</v>
      </c>
    </row>
    <row r="711" spans="1:8" x14ac:dyDescent="0.25">
      <c r="A711" t="s">
        <v>551</v>
      </c>
      <c r="B711" t="s">
        <v>2237</v>
      </c>
      <c r="C711" t="s">
        <v>2238</v>
      </c>
      <c r="D711" t="s">
        <v>82</v>
      </c>
      <c r="E711" t="str">
        <f t="shared" si="11"/>
        <v>Goalkeeper</v>
      </c>
      <c r="F711" t="s">
        <v>2239</v>
      </c>
      <c r="G711" t="s">
        <v>2240</v>
      </c>
      <c r="H711" t="s">
        <v>82</v>
      </c>
    </row>
    <row r="712" spans="1:8" x14ac:dyDescent="0.25">
      <c r="A712" t="s">
        <v>551</v>
      </c>
      <c r="B712" t="s">
        <v>2241</v>
      </c>
      <c r="C712" t="s">
        <v>2242</v>
      </c>
      <c r="D712" t="s">
        <v>82</v>
      </c>
      <c r="E712" t="str">
        <f t="shared" si="11"/>
        <v>Goalkeeper</v>
      </c>
    </row>
    <row r="713" spans="1:8" x14ac:dyDescent="0.25">
      <c r="A713" t="s">
        <v>558</v>
      </c>
      <c r="E713" t="str">
        <f t="shared" si="11"/>
        <v>Defender</v>
      </c>
    </row>
    <row r="714" spans="1:8" x14ac:dyDescent="0.25">
      <c r="A714" t="s">
        <v>558</v>
      </c>
      <c r="B714" t="s">
        <v>2243</v>
      </c>
      <c r="C714" t="s">
        <v>2244</v>
      </c>
      <c r="D714" t="s">
        <v>82</v>
      </c>
      <c r="E714" t="str">
        <f t="shared" si="11"/>
        <v>Defender</v>
      </c>
      <c r="F714" t="s">
        <v>2245</v>
      </c>
      <c r="G714" t="s">
        <v>2246</v>
      </c>
      <c r="H714" t="s">
        <v>82</v>
      </c>
    </row>
    <row r="715" spans="1:8" x14ac:dyDescent="0.25">
      <c r="A715" t="s">
        <v>558</v>
      </c>
      <c r="B715" t="s">
        <v>2247</v>
      </c>
      <c r="C715" t="s">
        <v>2248</v>
      </c>
      <c r="D715" t="s">
        <v>82</v>
      </c>
      <c r="E715" t="str">
        <f t="shared" si="11"/>
        <v>Defender</v>
      </c>
      <c r="F715" t="s">
        <v>2249</v>
      </c>
      <c r="G715" t="s">
        <v>2250</v>
      </c>
      <c r="H715" t="s">
        <v>82</v>
      </c>
    </row>
    <row r="716" spans="1:8" x14ac:dyDescent="0.25">
      <c r="A716" t="s">
        <v>558</v>
      </c>
      <c r="B716" t="s">
        <v>2251</v>
      </c>
      <c r="C716" t="s">
        <v>2252</v>
      </c>
      <c r="D716" t="s">
        <v>82</v>
      </c>
      <c r="E716" t="str">
        <f t="shared" si="11"/>
        <v>Defender</v>
      </c>
      <c r="F716" t="s">
        <v>2253</v>
      </c>
      <c r="G716" t="s">
        <v>2254</v>
      </c>
      <c r="H716" t="s">
        <v>82</v>
      </c>
    </row>
    <row r="717" spans="1:8" x14ac:dyDescent="0.25">
      <c r="A717" t="s">
        <v>558</v>
      </c>
      <c r="B717" t="s">
        <v>2255</v>
      </c>
      <c r="C717" t="s">
        <v>2256</v>
      </c>
      <c r="D717" t="s">
        <v>82</v>
      </c>
      <c r="E717" t="str">
        <f t="shared" si="11"/>
        <v>Defender</v>
      </c>
      <c r="F717" t="s">
        <v>2257</v>
      </c>
      <c r="G717" t="s">
        <v>2258</v>
      </c>
      <c r="H717" t="s">
        <v>82</v>
      </c>
    </row>
    <row r="718" spans="1:8" x14ac:dyDescent="0.25">
      <c r="A718" t="s">
        <v>558</v>
      </c>
      <c r="B718" t="s">
        <v>2259</v>
      </c>
      <c r="C718" t="s">
        <v>2260</v>
      </c>
      <c r="D718" t="s">
        <v>82</v>
      </c>
      <c r="E718" t="str">
        <f t="shared" si="11"/>
        <v>Defender</v>
      </c>
      <c r="F718" t="s">
        <v>2261</v>
      </c>
      <c r="G718" t="s">
        <v>2262</v>
      </c>
      <c r="H718" t="s">
        <v>82</v>
      </c>
    </row>
    <row r="719" spans="1:8" x14ac:dyDescent="0.25">
      <c r="A719" t="s">
        <v>577</v>
      </c>
      <c r="E719" t="str">
        <f t="shared" si="11"/>
        <v>Midfielder</v>
      </c>
    </row>
    <row r="720" spans="1:8" x14ac:dyDescent="0.25">
      <c r="A720" t="s">
        <v>577</v>
      </c>
      <c r="B720" t="s">
        <v>2263</v>
      </c>
      <c r="C720" t="s">
        <v>2264</v>
      </c>
      <c r="D720" t="s">
        <v>82</v>
      </c>
      <c r="E720" t="str">
        <f t="shared" si="11"/>
        <v>Midfielder</v>
      </c>
      <c r="F720" t="s">
        <v>2265</v>
      </c>
      <c r="G720" t="s">
        <v>2266</v>
      </c>
      <c r="H720" t="s">
        <v>82</v>
      </c>
    </row>
    <row r="721" spans="1:8" x14ac:dyDescent="0.25">
      <c r="A721" t="s">
        <v>577</v>
      </c>
      <c r="B721" t="s">
        <v>2267</v>
      </c>
      <c r="C721" t="s">
        <v>2268</v>
      </c>
      <c r="D721" t="s">
        <v>82</v>
      </c>
      <c r="E721" t="str">
        <f t="shared" si="11"/>
        <v>Midfielder</v>
      </c>
      <c r="F721" t="s">
        <v>2269</v>
      </c>
      <c r="G721" t="s">
        <v>2270</v>
      </c>
      <c r="H721" t="s">
        <v>82</v>
      </c>
    </row>
    <row r="722" spans="1:8" x14ac:dyDescent="0.25">
      <c r="A722" t="s">
        <v>577</v>
      </c>
      <c r="B722" t="s">
        <v>2271</v>
      </c>
      <c r="C722" t="s">
        <v>2272</v>
      </c>
      <c r="D722" t="s">
        <v>82</v>
      </c>
      <c r="E722" t="str">
        <f t="shared" si="11"/>
        <v>Midfielder</v>
      </c>
      <c r="F722" t="s">
        <v>2273</v>
      </c>
      <c r="G722" t="s">
        <v>2274</v>
      </c>
      <c r="H722" t="s">
        <v>82</v>
      </c>
    </row>
    <row r="723" spans="1:8" x14ac:dyDescent="0.25">
      <c r="A723" t="s">
        <v>592</v>
      </c>
      <c r="E723" t="str">
        <f t="shared" si="11"/>
        <v>Forward</v>
      </c>
    </row>
    <row r="724" spans="1:8" x14ac:dyDescent="0.25">
      <c r="A724" t="s">
        <v>592</v>
      </c>
      <c r="B724" t="s">
        <v>2275</v>
      </c>
      <c r="C724" t="s">
        <v>2276</v>
      </c>
      <c r="D724" t="s">
        <v>82</v>
      </c>
      <c r="E724" t="str">
        <f t="shared" si="11"/>
        <v>Forward</v>
      </c>
      <c r="F724" t="s">
        <v>2277</v>
      </c>
      <c r="G724" t="s">
        <v>2278</v>
      </c>
      <c r="H724" t="s">
        <v>82</v>
      </c>
    </row>
    <row r="725" spans="1:8" x14ac:dyDescent="0.25">
      <c r="A725" t="s">
        <v>592</v>
      </c>
      <c r="B725" t="s">
        <v>2279</v>
      </c>
      <c r="C725" t="s">
        <v>2280</v>
      </c>
      <c r="D725" t="s">
        <v>82</v>
      </c>
      <c r="E725" t="str">
        <f t="shared" si="11"/>
        <v>Forward</v>
      </c>
      <c r="F725" t="s">
        <v>2281</v>
      </c>
      <c r="G725" t="s">
        <v>2282</v>
      </c>
      <c r="H725" t="s">
        <v>82</v>
      </c>
    </row>
    <row r="726" spans="1:8" x14ac:dyDescent="0.25">
      <c r="A726" t="s">
        <v>592</v>
      </c>
      <c r="B726" t="s">
        <v>2283</v>
      </c>
      <c r="C726" t="s">
        <v>2284</v>
      </c>
      <c r="D726" t="s">
        <v>82</v>
      </c>
      <c r="E726" t="str">
        <f t="shared" si="11"/>
        <v>Forward</v>
      </c>
      <c r="F726" t="s">
        <v>2285</v>
      </c>
      <c r="G726" t="s">
        <v>2286</v>
      </c>
      <c r="H726" t="s">
        <v>82</v>
      </c>
    </row>
    <row r="727" spans="1:8" x14ac:dyDescent="0.25">
      <c r="A727" t="s">
        <v>592</v>
      </c>
      <c r="B727" t="s">
        <v>2287</v>
      </c>
      <c r="C727" t="s">
        <v>527</v>
      </c>
      <c r="D727" t="s">
        <v>82</v>
      </c>
      <c r="E727" t="str">
        <f t="shared" si="11"/>
        <v>Forward</v>
      </c>
    </row>
    <row r="728" spans="1:8" x14ac:dyDescent="0.25">
      <c r="A728" t="s">
        <v>551</v>
      </c>
      <c r="E728" t="str">
        <f t="shared" si="11"/>
        <v>Goalkeeper</v>
      </c>
    </row>
    <row r="729" spans="1:8" x14ac:dyDescent="0.25">
      <c r="A729" t="s">
        <v>551</v>
      </c>
      <c r="B729" t="s">
        <v>2288</v>
      </c>
      <c r="C729" t="s">
        <v>529</v>
      </c>
      <c r="D729" t="s">
        <v>123</v>
      </c>
      <c r="E729" t="str">
        <f t="shared" si="11"/>
        <v>Goalkeeper</v>
      </c>
      <c r="F729" t="s">
        <v>2289</v>
      </c>
      <c r="G729" t="s">
        <v>352</v>
      </c>
      <c r="H729" t="s">
        <v>123</v>
      </c>
    </row>
    <row r="730" spans="1:8" x14ac:dyDescent="0.25">
      <c r="A730" t="s">
        <v>551</v>
      </c>
      <c r="B730" t="s">
        <v>2290</v>
      </c>
      <c r="C730" t="s">
        <v>2290</v>
      </c>
      <c r="D730" t="s">
        <v>123</v>
      </c>
      <c r="E730" t="str">
        <f t="shared" si="11"/>
        <v>Goalkeeper</v>
      </c>
    </row>
    <row r="731" spans="1:8" x14ac:dyDescent="0.25">
      <c r="A731" t="s">
        <v>558</v>
      </c>
      <c r="E731" t="str">
        <f t="shared" si="11"/>
        <v>Defender</v>
      </c>
    </row>
    <row r="732" spans="1:8" x14ac:dyDescent="0.25">
      <c r="A732" t="s">
        <v>558</v>
      </c>
      <c r="B732" t="s">
        <v>2291</v>
      </c>
      <c r="C732" t="s">
        <v>2292</v>
      </c>
      <c r="D732" t="s">
        <v>123</v>
      </c>
      <c r="E732" t="str">
        <f t="shared" si="11"/>
        <v>Defender</v>
      </c>
      <c r="F732" t="s">
        <v>2293</v>
      </c>
      <c r="G732" t="s">
        <v>378</v>
      </c>
      <c r="H732" t="s">
        <v>123</v>
      </c>
    </row>
    <row r="733" spans="1:8" x14ac:dyDescent="0.25">
      <c r="A733" t="s">
        <v>558</v>
      </c>
      <c r="B733" t="s">
        <v>2294</v>
      </c>
      <c r="C733" t="s">
        <v>398</v>
      </c>
      <c r="D733" t="s">
        <v>123</v>
      </c>
      <c r="E733" t="str">
        <f t="shared" si="11"/>
        <v>Defender</v>
      </c>
      <c r="F733" t="s">
        <v>2295</v>
      </c>
      <c r="G733" t="s">
        <v>469</v>
      </c>
      <c r="H733" t="s">
        <v>123</v>
      </c>
    </row>
    <row r="734" spans="1:8" x14ac:dyDescent="0.25">
      <c r="A734" t="s">
        <v>558</v>
      </c>
      <c r="B734" t="s">
        <v>2296</v>
      </c>
      <c r="C734" t="s">
        <v>2296</v>
      </c>
      <c r="D734" t="s">
        <v>123</v>
      </c>
      <c r="E734" t="str">
        <f t="shared" si="11"/>
        <v>Defender</v>
      </c>
      <c r="F734" t="s">
        <v>2297</v>
      </c>
      <c r="G734" t="s">
        <v>370</v>
      </c>
      <c r="H734" t="s">
        <v>123</v>
      </c>
    </row>
    <row r="735" spans="1:8" x14ac:dyDescent="0.25">
      <c r="A735" t="s">
        <v>558</v>
      </c>
      <c r="B735" t="s">
        <v>2298</v>
      </c>
      <c r="C735" t="s">
        <v>402</v>
      </c>
      <c r="D735" t="s">
        <v>123</v>
      </c>
      <c r="E735" t="str">
        <f t="shared" si="11"/>
        <v>Defender</v>
      </c>
    </row>
    <row r="736" spans="1:8" x14ac:dyDescent="0.25">
      <c r="A736" t="s">
        <v>577</v>
      </c>
      <c r="E736" t="str">
        <f t="shared" si="11"/>
        <v>Midfielder</v>
      </c>
    </row>
    <row r="737" spans="1:8" x14ac:dyDescent="0.25">
      <c r="A737" t="s">
        <v>577</v>
      </c>
      <c r="B737" t="s">
        <v>2299</v>
      </c>
      <c r="C737" t="s">
        <v>406</v>
      </c>
      <c r="D737" t="s">
        <v>123</v>
      </c>
      <c r="E737" t="str">
        <f t="shared" si="11"/>
        <v>Midfielder</v>
      </c>
      <c r="F737" t="s">
        <v>2300</v>
      </c>
      <c r="G737" t="s">
        <v>2301</v>
      </c>
      <c r="H737" t="s">
        <v>123</v>
      </c>
    </row>
    <row r="738" spans="1:8" x14ac:dyDescent="0.25">
      <c r="A738" t="s">
        <v>577</v>
      </c>
      <c r="B738" t="s">
        <v>2302</v>
      </c>
      <c r="C738" t="s">
        <v>2303</v>
      </c>
      <c r="D738" t="s">
        <v>123</v>
      </c>
      <c r="E738" t="str">
        <f t="shared" si="11"/>
        <v>Midfielder</v>
      </c>
      <c r="F738" t="s">
        <v>2304</v>
      </c>
      <c r="G738" t="s">
        <v>2305</v>
      </c>
      <c r="H738" t="s">
        <v>123</v>
      </c>
    </row>
    <row r="739" spans="1:8" x14ac:dyDescent="0.25">
      <c r="A739" t="s">
        <v>577</v>
      </c>
      <c r="B739" t="s">
        <v>2306</v>
      </c>
      <c r="C739" t="s">
        <v>481</v>
      </c>
      <c r="D739" t="s">
        <v>123</v>
      </c>
      <c r="E739" t="str">
        <f t="shared" si="11"/>
        <v>Midfielder</v>
      </c>
      <c r="F739" t="s">
        <v>384</v>
      </c>
      <c r="G739" t="s">
        <v>384</v>
      </c>
      <c r="H739" t="s">
        <v>123</v>
      </c>
    </row>
    <row r="740" spans="1:8" x14ac:dyDescent="0.25">
      <c r="A740" t="s">
        <v>577</v>
      </c>
      <c r="B740" t="s">
        <v>2307</v>
      </c>
      <c r="C740" t="s">
        <v>2307</v>
      </c>
      <c r="D740" t="s">
        <v>123</v>
      </c>
      <c r="E740" t="str">
        <f t="shared" si="11"/>
        <v>Midfielder</v>
      </c>
      <c r="F740" t="s">
        <v>2308</v>
      </c>
      <c r="G740" t="s">
        <v>2309</v>
      </c>
      <c r="H740" t="s">
        <v>123</v>
      </c>
    </row>
    <row r="741" spans="1:8" x14ac:dyDescent="0.25">
      <c r="A741" t="s">
        <v>577</v>
      </c>
      <c r="B741" t="s">
        <v>2310</v>
      </c>
      <c r="C741" t="s">
        <v>519</v>
      </c>
      <c r="D741" t="s">
        <v>123</v>
      </c>
      <c r="E741" t="str">
        <f t="shared" si="11"/>
        <v>Midfielder</v>
      </c>
      <c r="F741" t="s">
        <v>330</v>
      </c>
      <c r="G741" t="s">
        <v>330</v>
      </c>
      <c r="H741" t="s">
        <v>123</v>
      </c>
    </row>
    <row r="742" spans="1:8" x14ac:dyDescent="0.25">
      <c r="A742" t="s">
        <v>592</v>
      </c>
      <c r="E742" t="str">
        <f t="shared" si="11"/>
        <v>Forward</v>
      </c>
    </row>
    <row r="743" spans="1:8" x14ac:dyDescent="0.25">
      <c r="A743" t="s">
        <v>592</v>
      </c>
      <c r="B743" t="s">
        <v>2311</v>
      </c>
      <c r="C743" t="s">
        <v>491</v>
      </c>
      <c r="D743" t="s">
        <v>123</v>
      </c>
      <c r="E743" t="str">
        <f t="shared" si="11"/>
        <v>Forward</v>
      </c>
      <c r="F743" t="s">
        <v>2312</v>
      </c>
      <c r="G743" t="s">
        <v>281</v>
      </c>
      <c r="H743" t="s">
        <v>123</v>
      </c>
    </row>
    <row r="744" spans="1:8" x14ac:dyDescent="0.25">
      <c r="A744" t="s">
        <v>592</v>
      </c>
      <c r="B744" t="s">
        <v>2313</v>
      </c>
      <c r="C744" t="s">
        <v>346</v>
      </c>
      <c r="D744" t="s">
        <v>123</v>
      </c>
      <c r="E744" t="str">
        <f t="shared" si="11"/>
        <v>Forward</v>
      </c>
      <c r="F744" t="s">
        <v>2314</v>
      </c>
      <c r="G744" t="s">
        <v>2315</v>
      </c>
      <c r="H744" t="s">
        <v>123</v>
      </c>
    </row>
    <row r="745" spans="1:8" x14ac:dyDescent="0.25">
      <c r="A745" t="s">
        <v>592</v>
      </c>
      <c r="B745" t="s">
        <v>284</v>
      </c>
      <c r="C745" t="s">
        <v>284</v>
      </c>
      <c r="D745" t="s">
        <v>123</v>
      </c>
      <c r="E745" t="str">
        <f t="shared" si="11"/>
        <v>Forward</v>
      </c>
      <c r="F745" t="s">
        <v>2316</v>
      </c>
      <c r="G745" t="s">
        <v>2317</v>
      </c>
      <c r="H745" t="s">
        <v>123</v>
      </c>
    </row>
    <row r="746" spans="1:8" x14ac:dyDescent="0.25">
      <c r="A746" t="s">
        <v>551</v>
      </c>
      <c r="E746" t="str">
        <f t="shared" si="11"/>
        <v>Goalkeeper</v>
      </c>
    </row>
    <row r="747" spans="1:8" x14ac:dyDescent="0.25">
      <c r="A747" t="s">
        <v>551</v>
      </c>
      <c r="B747" t="s">
        <v>2318</v>
      </c>
      <c r="C747" t="s">
        <v>2319</v>
      </c>
      <c r="D747" t="s">
        <v>62</v>
      </c>
      <c r="E747" t="str">
        <f t="shared" si="11"/>
        <v>Goalkeeper</v>
      </c>
      <c r="F747" t="s">
        <v>2320</v>
      </c>
      <c r="G747" t="s">
        <v>2321</v>
      </c>
      <c r="H747" t="s">
        <v>62</v>
      </c>
    </row>
    <row r="748" spans="1:8" x14ac:dyDescent="0.25">
      <c r="A748" t="s">
        <v>551</v>
      </c>
      <c r="B748" t="s">
        <v>2322</v>
      </c>
      <c r="C748" t="s">
        <v>2323</v>
      </c>
      <c r="D748" t="s">
        <v>62</v>
      </c>
      <c r="E748" t="str">
        <f t="shared" si="11"/>
        <v>Goalkeeper</v>
      </c>
    </row>
    <row r="749" spans="1:8" x14ac:dyDescent="0.25">
      <c r="A749" t="s">
        <v>558</v>
      </c>
      <c r="E749" t="str">
        <f t="shared" si="11"/>
        <v>Defender</v>
      </c>
    </row>
    <row r="750" spans="1:8" x14ac:dyDescent="0.25">
      <c r="A750" t="s">
        <v>558</v>
      </c>
      <c r="B750" t="s">
        <v>2324</v>
      </c>
      <c r="C750" t="s">
        <v>2325</v>
      </c>
      <c r="D750" t="s">
        <v>62</v>
      </c>
      <c r="E750" t="str">
        <f t="shared" si="11"/>
        <v>Defender</v>
      </c>
      <c r="F750" t="s">
        <v>2326</v>
      </c>
      <c r="G750" t="s">
        <v>2327</v>
      </c>
      <c r="H750" t="s">
        <v>62</v>
      </c>
    </row>
    <row r="751" spans="1:8" x14ac:dyDescent="0.25">
      <c r="A751" t="s">
        <v>558</v>
      </c>
      <c r="B751" t="s">
        <v>2328</v>
      </c>
      <c r="C751" t="s">
        <v>2329</v>
      </c>
      <c r="D751" t="s">
        <v>62</v>
      </c>
      <c r="E751" t="str">
        <f t="shared" si="11"/>
        <v>Defender</v>
      </c>
      <c r="F751" t="s">
        <v>2330</v>
      </c>
      <c r="G751" t="s">
        <v>2331</v>
      </c>
      <c r="H751" t="s">
        <v>62</v>
      </c>
    </row>
    <row r="752" spans="1:8" x14ac:dyDescent="0.25">
      <c r="A752" t="s">
        <v>558</v>
      </c>
      <c r="B752" t="s">
        <v>2332</v>
      </c>
      <c r="C752" t="s">
        <v>2333</v>
      </c>
      <c r="D752" t="s">
        <v>62</v>
      </c>
      <c r="E752" t="str">
        <f t="shared" si="11"/>
        <v>Defender</v>
      </c>
      <c r="F752" t="s">
        <v>2334</v>
      </c>
      <c r="G752" t="s">
        <v>2335</v>
      </c>
      <c r="H752" t="s">
        <v>62</v>
      </c>
    </row>
    <row r="753" spans="1:8" x14ac:dyDescent="0.25">
      <c r="A753" t="s">
        <v>558</v>
      </c>
      <c r="B753" t="s">
        <v>2336</v>
      </c>
      <c r="C753" t="s">
        <v>2337</v>
      </c>
      <c r="D753" t="s">
        <v>62</v>
      </c>
      <c r="E753" t="str">
        <f t="shared" si="11"/>
        <v>Defender</v>
      </c>
      <c r="F753" t="s">
        <v>2338</v>
      </c>
      <c r="G753" t="s">
        <v>2339</v>
      </c>
      <c r="H753" t="s">
        <v>62</v>
      </c>
    </row>
    <row r="754" spans="1:8" x14ac:dyDescent="0.25">
      <c r="A754" t="s">
        <v>577</v>
      </c>
      <c r="E754" t="str">
        <f t="shared" si="11"/>
        <v>Midfielder</v>
      </c>
    </row>
    <row r="755" spans="1:8" x14ac:dyDescent="0.25">
      <c r="A755" t="s">
        <v>577</v>
      </c>
      <c r="B755" t="s">
        <v>2340</v>
      </c>
      <c r="C755" t="s">
        <v>2341</v>
      </c>
      <c r="D755" t="s">
        <v>62</v>
      </c>
      <c r="E755" t="str">
        <f t="shared" si="11"/>
        <v>Midfielder</v>
      </c>
      <c r="F755" t="s">
        <v>2342</v>
      </c>
      <c r="G755" t="s">
        <v>2343</v>
      </c>
      <c r="H755" t="s">
        <v>62</v>
      </c>
    </row>
    <row r="756" spans="1:8" x14ac:dyDescent="0.25">
      <c r="A756" t="s">
        <v>577</v>
      </c>
      <c r="B756" t="s">
        <v>2344</v>
      </c>
      <c r="C756" t="s">
        <v>2345</v>
      </c>
      <c r="D756" t="s">
        <v>62</v>
      </c>
      <c r="E756" t="str">
        <f t="shared" si="11"/>
        <v>Midfielder</v>
      </c>
      <c r="F756" t="s">
        <v>2346</v>
      </c>
      <c r="G756" t="s">
        <v>2347</v>
      </c>
      <c r="H756" t="s">
        <v>62</v>
      </c>
    </row>
    <row r="757" spans="1:8" x14ac:dyDescent="0.25">
      <c r="A757" t="s">
        <v>577</v>
      </c>
      <c r="B757" t="s">
        <v>2348</v>
      </c>
      <c r="C757" t="s">
        <v>2349</v>
      </c>
      <c r="D757" t="s">
        <v>62</v>
      </c>
      <c r="E757" t="str">
        <f t="shared" si="11"/>
        <v>Midfielder</v>
      </c>
      <c r="F757" t="s">
        <v>2350</v>
      </c>
      <c r="G757" t="s">
        <v>2351</v>
      </c>
      <c r="H757" t="s">
        <v>62</v>
      </c>
    </row>
    <row r="758" spans="1:8" x14ac:dyDescent="0.25">
      <c r="A758" t="s">
        <v>577</v>
      </c>
      <c r="B758" t="s">
        <v>2352</v>
      </c>
      <c r="C758" t="s">
        <v>2353</v>
      </c>
      <c r="D758" t="s">
        <v>62</v>
      </c>
      <c r="E758" t="str">
        <f t="shared" si="11"/>
        <v>Midfielder</v>
      </c>
      <c r="F758" t="s">
        <v>2354</v>
      </c>
      <c r="G758" t="s">
        <v>2355</v>
      </c>
      <c r="H758" t="s">
        <v>62</v>
      </c>
    </row>
    <row r="759" spans="1:8" x14ac:dyDescent="0.25">
      <c r="A759" t="s">
        <v>577</v>
      </c>
      <c r="B759" t="s">
        <v>2356</v>
      </c>
      <c r="C759" t="s">
        <v>2357</v>
      </c>
      <c r="D759" t="s">
        <v>62</v>
      </c>
      <c r="E759" t="str">
        <f t="shared" si="11"/>
        <v>Midfielder</v>
      </c>
    </row>
    <row r="760" spans="1:8" x14ac:dyDescent="0.25">
      <c r="A760" t="s">
        <v>592</v>
      </c>
      <c r="E760" t="str">
        <f t="shared" si="11"/>
        <v>Forward</v>
      </c>
    </row>
    <row r="761" spans="1:8" x14ac:dyDescent="0.25">
      <c r="A761" t="s">
        <v>592</v>
      </c>
      <c r="B761" t="s">
        <v>2358</v>
      </c>
      <c r="C761" t="s">
        <v>503</v>
      </c>
      <c r="D761" t="s">
        <v>62</v>
      </c>
      <c r="E761" t="str">
        <f t="shared" si="11"/>
        <v>Forward</v>
      </c>
      <c r="F761" t="s">
        <v>2359</v>
      </c>
      <c r="G761" t="s">
        <v>392</v>
      </c>
      <c r="H761" t="s">
        <v>62</v>
      </c>
    </row>
    <row r="762" spans="1:8" x14ac:dyDescent="0.25">
      <c r="A762" t="s">
        <v>592</v>
      </c>
      <c r="B762" t="s">
        <v>2360</v>
      </c>
      <c r="C762" t="s">
        <v>2361</v>
      </c>
      <c r="D762" t="s">
        <v>62</v>
      </c>
      <c r="E762" t="str">
        <f t="shared" si="11"/>
        <v>Forward</v>
      </c>
      <c r="F762" t="s">
        <v>2362</v>
      </c>
      <c r="G762" t="s">
        <v>2363</v>
      </c>
      <c r="H762" t="s">
        <v>62</v>
      </c>
    </row>
    <row r="763" spans="1:8" x14ac:dyDescent="0.25">
      <c r="A763" t="s">
        <v>592</v>
      </c>
      <c r="B763" t="s">
        <v>2364</v>
      </c>
      <c r="C763" t="s">
        <v>2365</v>
      </c>
      <c r="D763" t="s">
        <v>62</v>
      </c>
      <c r="E763" t="str">
        <f t="shared" si="11"/>
        <v>Forward</v>
      </c>
      <c r="F763" t="s">
        <v>2366</v>
      </c>
      <c r="G763" t="s">
        <v>2367</v>
      </c>
      <c r="H763" t="s">
        <v>62</v>
      </c>
    </row>
    <row r="764" spans="1:8" x14ac:dyDescent="0.25">
      <c r="A764" t="s">
        <v>551</v>
      </c>
      <c r="E764" t="str">
        <f t="shared" si="11"/>
        <v>Goalkeeper</v>
      </c>
    </row>
    <row r="765" spans="1:8" x14ac:dyDescent="0.25">
      <c r="A765" t="s">
        <v>551</v>
      </c>
      <c r="B765" t="s">
        <v>2368</v>
      </c>
      <c r="C765" t="s">
        <v>507</v>
      </c>
      <c r="D765" t="s">
        <v>165</v>
      </c>
      <c r="E765" t="str">
        <f t="shared" si="11"/>
        <v>Goalkeeper</v>
      </c>
      <c r="F765" t="s">
        <v>2369</v>
      </c>
      <c r="G765" t="s">
        <v>2370</v>
      </c>
      <c r="H765" t="s">
        <v>165</v>
      </c>
    </row>
    <row r="766" spans="1:8" x14ac:dyDescent="0.25">
      <c r="A766" t="s">
        <v>551</v>
      </c>
      <c r="B766" t="s">
        <v>2371</v>
      </c>
      <c r="C766" t="s">
        <v>2372</v>
      </c>
      <c r="D766" t="s">
        <v>165</v>
      </c>
      <c r="E766" t="str">
        <f t="shared" si="11"/>
        <v>Goalkeeper</v>
      </c>
    </row>
    <row r="767" spans="1:8" x14ac:dyDescent="0.25">
      <c r="A767" t="s">
        <v>558</v>
      </c>
      <c r="E767" t="str">
        <f t="shared" si="11"/>
        <v>Defender</v>
      </c>
    </row>
    <row r="768" spans="1:8" x14ac:dyDescent="0.25">
      <c r="A768" t="s">
        <v>558</v>
      </c>
      <c r="B768" t="s">
        <v>2373</v>
      </c>
      <c r="C768" t="s">
        <v>2374</v>
      </c>
      <c r="D768" t="s">
        <v>165</v>
      </c>
      <c r="E768" t="str">
        <f t="shared" si="11"/>
        <v>Defender</v>
      </c>
      <c r="F768" t="s">
        <v>2375</v>
      </c>
      <c r="G768" t="s">
        <v>2376</v>
      </c>
      <c r="H768" t="s">
        <v>165</v>
      </c>
    </row>
    <row r="769" spans="1:8" x14ac:dyDescent="0.25">
      <c r="A769" t="s">
        <v>558</v>
      </c>
      <c r="B769" t="s">
        <v>2377</v>
      </c>
      <c r="C769" t="s">
        <v>2378</v>
      </c>
      <c r="D769" t="s">
        <v>165</v>
      </c>
      <c r="E769" t="str">
        <f t="shared" si="11"/>
        <v>Defender</v>
      </c>
      <c r="F769" t="s">
        <v>2379</v>
      </c>
      <c r="G769" t="s">
        <v>2380</v>
      </c>
      <c r="H769" t="s">
        <v>165</v>
      </c>
    </row>
    <row r="770" spans="1:8" x14ac:dyDescent="0.25">
      <c r="A770" t="s">
        <v>558</v>
      </c>
      <c r="B770" t="s">
        <v>2381</v>
      </c>
      <c r="C770" t="s">
        <v>2382</v>
      </c>
      <c r="D770" t="s">
        <v>165</v>
      </c>
      <c r="E770" t="str">
        <f t="shared" si="11"/>
        <v>Defender</v>
      </c>
      <c r="F770" t="s">
        <v>2383</v>
      </c>
      <c r="G770" t="s">
        <v>2384</v>
      </c>
      <c r="H770" t="s">
        <v>165</v>
      </c>
    </row>
    <row r="771" spans="1:8" x14ac:dyDescent="0.25">
      <c r="A771" t="s">
        <v>558</v>
      </c>
      <c r="B771" t="s">
        <v>2385</v>
      </c>
      <c r="C771" t="s">
        <v>2386</v>
      </c>
      <c r="D771" t="s">
        <v>165</v>
      </c>
      <c r="E771" t="str">
        <f t="shared" ref="E771:E834" si="12">A771</f>
        <v>Defender</v>
      </c>
      <c r="F771" t="s">
        <v>2387</v>
      </c>
      <c r="G771" t="s">
        <v>2388</v>
      </c>
      <c r="H771" t="s">
        <v>165</v>
      </c>
    </row>
    <row r="772" spans="1:8" x14ac:dyDescent="0.25">
      <c r="A772" t="s">
        <v>577</v>
      </c>
      <c r="E772" t="str">
        <f t="shared" si="12"/>
        <v>Midfielder</v>
      </c>
    </row>
    <row r="773" spans="1:8" x14ac:dyDescent="0.25">
      <c r="A773" t="s">
        <v>577</v>
      </c>
      <c r="B773" t="s">
        <v>2389</v>
      </c>
      <c r="C773" t="s">
        <v>2390</v>
      </c>
      <c r="D773" t="s">
        <v>165</v>
      </c>
      <c r="E773" t="str">
        <f t="shared" si="12"/>
        <v>Midfielder</v>
      </c>
      <c r="F773" t="s">
        <v>2391</v>
      </c>
      <c r="G773" t="s">
        <v>2392</v>
      </c>
      <c r="H773" t="s">
        <v>165</v>
      </c>
    </row>
    <row r="774" spans="1:8" x14ac:dyDescent="0.25">
      <c r="A774" t="s">
        <v>577</v>
      </c>
      <c r="B774" t="s">
        <v>2393</v>
      </c>
      <c r="C774" t="s">
        <v>2394</v>
      </c>
      <c r="D774" t="s">
        <v>165</v>
      </c>
      <c r="E774" t="str">
        <f t="shared" si="12"/>
        <v>Midfielder</v>
      </c>
      <c r="F774" t="s">
        <v>2395</v>
      </c>
      <c r="G774" t="s">
        <v>2396</v>
      </c>
      <c r="H774" t="s">
        <v>165</v>
      </c>
    </row>
    <row r="775" spans="1:8" x14ac:dyDescent="0.25">
      <c r="A775" t="s">
        <v>577</v>
      </c>
      <c r="B775" t="s">
        <v>2397</v>
      </c>
      <c r="C775" t="s">
        <v>541</v>
      </c>
      <c r="D775" t="s">
        <v>165</v>
      </c>
      <c r="E775" t="str">
        <f t="shared" si="12"/>
        <v>Midfielder</v>
      </c>
      <c r="F775" t="s">
        <v>2398</v>
      </c>
      <c r="G775" t="s">
        <v>549</v>
      </c>
      <c r="H775" t="s">
        <v>165</v>
      </c>
    </row>
    <row r="776" spans="1:8" x14ac:dyDescent="0.25">
      <c r="A776" t="s">
        <v>577</v>
      </c>
      <c r="B776" t="s">
        <v>2399</v>
      </c>
      <c r="C776" t="s">
        <v>2400</v>
      </c>
      <c r="D776" t="s">
        <v>165</v>
      </c>
      <c r="E776" t="str">
        <f t="shared" si="12"/>
        <v>Midfielder</v>
      </c>
      <c r="F776" t="s">
        <v>2401</v>
      </c>
      <c r="G776" t="s">
        <v>2402</v>
      </c>
      <c r="H776" t="s">
        <v>165</v>
      </c>
    </row>
    <row r="777" spans="1:8" x14ac:dyDescent="0.25">
      <c r="A777" t="s">
        <v>577</v>
      </c>
      <c r="B777" t="s">
        <v>2403</v>
      </c>
      <c r="C777" t="s">
        <v>2404</v>
      </c>
      <c r="D777" t="s">
        <v>165</v>
      </c>
      <c r="E777" t="str">
        <f t="shared" si="12"/>
        <v>Midfielder</v>
      </c>
      <c r="F777" t="s">
        <v>2405</v>
      </c>
      <c r="G777" t="s">
        <v>2406</v>
      </c>
      <c r="H777" t="s">
        <v>165</v>
      </c>
    </row>
    <row r="778" spans="1:8" x14ac:dyDescent="0.25">
      <c r="A778" t="s">
        <v>592</v>
      </c>
      <c r="E778" t="str">
        <f t="shared" si="12"/>
        <v>Forward</v>
      </c>
    </row>
    <row r="779" spans="1:8" x14ac:dyDescent="0.25">
      <c r="A779" t="s">
        <v>592</v>
      </c>
      <c r="B779" t="s">
        <v>2407</v>
      </c>
      <c r="C779" t="s">
        <v>2408</v>
      </c>
      <c r="D779" t="s">
        <v>165</v>
      </c>
      <c r="E779" t="str">
        <f t="shared" si="12"/>
        <v>Forward</v>
      </c>
      <c r="F779" t="s">
        <v>2409</v>
      </c>
      <c r="G779" t="s">
        <v>2410</v>
      </c>
      <c r="H779" t="s">
        <v>165</v>
      </c>
    </row>
    <row r="780" spans="1:8" x14ac:dyDescent="0.25">
      <c r="A780" t="s">
        <v>592</v>
      </c>
      <c r="B780" t="s">
        <v>2411</v>
      </c>
      <c r="C780" t="s">
        <v>438</v>
      </c>
      <c r="D780" t="s">
        <v>165</v>
      </c>
      <c r="E780" t="str">
        <f t="shared" si="12"/>
        <v>Forward</v>
      </c>
      <c r="F780" t="s">
        <v>2412</v>
      </c>
      <c r="G780" t="s">
        <v>2413</v>
      </c>
      <c r="H780" t="s">
        <v>165</v>
      </c>
    </row>
    <row r="781" spans="1:8" x14ac:dyDescent="0.25">
      <c r="A781" t="s">
        <v>592</v>
      </c>
      <c r="B781" t="s">
        <v>2414</v>
      </c>
      <c r="C781" t="s">
        <v>2415</v>
      </c>
      <c r="D781" t="s">
        <v>165</v>
      </c>
      <c r="E781" t="str">
        <f t="shared" si="12"/>
        <v>Forward</v>
      </c>
    </row>
    <row r="782" spans="1:8" x14ac:dyDescent="0.25">
      <c r="A782" t="s">
        <v>551</v>
      </c>
      <c r="E782" t="str">
        <f t="shared" si="12"/>
        <v>Goalkeeper</v>
      </c>
    </row>
    <row r="783" spans="1:8" x14ac:dyDescent="0.25">
      <c r="A783" t="s">
        <v>551</v>
      </c>
      <c r="B783" t="s">
        <v>2416</v>
      </c>
      <c r="C783" t="s">
        <v>2417</v>
      </c>
      <c r="D783" t="s">
        <v>139</v>
      </c>
      <c r="E783" t="str">
        <f t="shared" si="12"/>
        <v>Goalkeeper</v>
      </c>
      <c r="F783" t="s">
        <v>2418</v>
      </c>
      <c r="G783" t="s">
        <v>2419</v>
      </c>
      <c r="H783" t="s">
        <v>139</v>
      </c>
    </row>
    <row r="784" spans="1:8" x14ac:dyDescent="0.25">
      <c r="A784" t="s">
        <v>551</v>
      </c>
      <c r="B784" t="s">
        <v>2420</v>
      </c>
      <c r="C784" t="s">
        <v>2421</v>
      </c>
      <c r="D784" t="s">
        <v>139</v>
      </c>
      <c r="E784" t="str">
        <f t="shared" si="12"/>
        <v>Goalkeeper</v>
      </c>
    </row>
    <row r="785" spans="1:8" x14ac:dyDescent="0.25">
      <c r="A785" t="s">
        <v>558</v>
      </c>
      <c r="E785" t="str">
        <f t="shared" si="12"/>
        <v>Defender</v>
      </c>
    </row>
    <row r="786" spans="1:8" x14ac:dyDescent="0.25">
      <c r="A786" t="s">
        <v>558</v>
      </c>
      <c r="B786" t="s">
        <v>2422</v>
      </c>
      <c r="C786" t="s">
        <v>2423</v>
      </c>
      <c r="D786" t="s">
        <v>139</v>
      </c>
      <c r="E786" t="str">
        <f t="shared" si="12"/>
        <v>Defender</v>
      </c>
      <c r="F786" t="s">
        <v>2424</v>
      </c>
      <c r="G786" t="s">
        <v>2425</v>
      </c>
      <c r="H786" t="s">
        <v>139</v>
      </c>
    </row>
    <row r="787" spans="1:8" x14ac:dyDescent="0.25">
      <c r="A787" t="s">
        <v>558</v>
      </c>
      <c r="B787" t="s">
        <v>2426</v>
      </c>
      <c r="C787" t="s">
        <v>2427</v>
      </c>
      <c r="D787" t="s">
        <v>139</v>
      </c>
      <c r="E787" t="str">
        <f t="shared" si="12"/>
        <v>Defender</v>
      </c>
      <c r="F787" t="s">
        <v>2428</v>
      </c>
      <c r="G787" t="s">
        <v>2429</v>
      </c>
      <c r="H787" t="s">
        <v>139</v>
      </c>
    </row>
    <row r="788" spans="1:8" x14ac:dyDescent="0.25">
      <c r="A788" t="s">
        <v>558</v>
      </c>
      <c r="B788" t="s">
        <v>2430</v>
      </c>
      <c r="C788" t="s">
        <v>2431</v>
      </c>
      <c r="D788" t="s">
        <v>139</v>
      </c>
      <c r="E788" t="str">
        <f t="shared" si="12"/>
        <v>Defender</v>
      </c>
      <c r="F788" t="s">
        <v>2432</v>
      </c>
      <c r="G788" t="s">
        <v>2433</v>
      </c>
      <c r="H788" t="s">
        <v>139</v>
      </c>
    </row>
    <row r="789" spans="1:8" x14ac:dyDescent="0.25">
      <c r="A789" t="s">
        <v>558</v>
      </c>
      <c r="B789" t="s">
        <v>2434</v>
      </c>
      <c r="C789" t="s">
        <v>2435</v>
      </c>
      <c r="D789" t="s">
        <v>139</v>
      </c>
      <c r="E789" t="str">
        <f t="shared" si="12"/>
        <v>Defender</v>
      </c>
      <c r="F789" t="s">
        <v>2436</v>
      </c>
      <c r="G789" t="s">
        <v>2437</v>
      </c>
      <c r="H789" t="s">
        <v>139</v>
      </c>
    </row>
    <row r="790" spans="1:8" x14ac:dyDescent="0.25">
      <c r="A790" t="s">
        <v>558</v>
      </c>
      <c r="B790" t="s">
        <v>2438</v>
      </c>
      <c r="C790" t="s">
        <v>2439</v>
      </c>
      <c r="D790" t="s">
        <v>139</v>
      </c>
      <c r="E790" t="str">
        <f t="shared" si="12"/>
        <v>Defender</v>
      </c>
    </row>
    <row r="791" spans="1:8" x14ac:dyDescent="0.25">
      <c r="A791" t="s">
        <v>577</v>
      </c>
      <c r="E791" t="str">
        <f t="shared" si="12"/>
        <v>Midfielder</v>
      </c>
    </row>
    <row r="792" spans="1:8" x14ac:dyDescent="0.25">
      <c r="A792" t="s">
        <v>577</v>
      </c>
      <c r="B792" t="s">
        <v>2440</v>
      </c>
      <c r="C792" t="s">
        <v>2441</v>
      </c>
      <c r="D792" t="s">
        <v>139</v>
      </c>
      <c r="E792" t="str">
        <f t="shared" si="12"/>
        <v>Midfielder</v>
      </c>
      <c r="F792" t="s">
        <v>2442</v>
      </c>
      <c r="G792" t="s">
        <v>2443</v>
      </c>
      <c r="H792" t="s">
        <v>139</v>
      </c>
    </row>
    <row r="793" spans="1:8" x14ac:dyDescent="0.25">
      <c r="A793" t="s">
        <v>577</v>
      </c>
      <c r="B793" t="s">
        <v>2444</v>
      </c>
      <c r="C793" t="s">
        <v>2445</v>
      </c>
      <c r="D793" t="s">
        <v>139</v>
      </c>
      <c r="E793" t="str">
        <f t="shared" si="12"/>
        <v>Midfielder</v>
      </c>
      <c r="F793" t="s">
        <v>2446</v>
      </c>
      <c r="G793" t="s">
        <v>2447</v>
      </c>
      <c r="H793" t="s">
        <v>139</v>
      </c>
    </row>
    <row r="794" spans="1:8" x14ac:dyDescent="0.25">
      <c r="A794" t="s">
        <v>577</v>
      </c>
      <c r="B794" t="s">
        <v>2448</v>
      </c>
      <c r="C794" t="s">
        <v>2449</v>
      </c>
      <c r="D794" t="s">
        <v>139</v>
      </c>
      <c r="E794" t="str">
        <f t="shared" si="12"/>
        <v>Midfielder</v>
      </c>
      <c r="F794" t="s">
        <v>2450</v>
      </c>
      <c r="G794" t="s">
        <v>2451</v>
      </c>
      <c r="H794" t="s">
        <v>139</v>
      </c>
    </row>
    <row r="795" spans="1:8" x14ac:dyDescent="0.25">
      <c r="A795" t="s">
        <v>577</v>
      </c>
      <c r="B795" t="s">
        <v>2452</v>
      </c>
      <c r="C795" t="s">
        <v>2453</v>
      </c>
      <c r="D795" t="s">
        <v>139</v>
      </c>
      <c r="E795" t="str">
        <f t="shared" si="12"/>
        <v>Midfielder</v>
      </c>
    </row>
    <row r="796" spans="1:8" x14ac:dyDescent="0.25">
      <c r="A796" t="s">
        <v>592</v>
      </c>
      <c r="E796" t="str">
        <f t="shared" si="12"/>
        <v>Forward</v>
      </c>
    </row>
    <row r="797" spans="1:8" x14ac:dyDescent="0.25">
      <c r="A797" t="s">
        <v>592</v>
      </c>
      <c r="B797" t="s">
        <v>2454</v>
      </c>
      <c r="C797" t="s">
        <v>2455</v>
      </c>
      <c r="D797" t="s">
        <v>139</v>
      </c>
      <c r="E797" t="str">
        <f t="shared" si="12"/>
        <v>Forward</v>
      </c>
      <c r="F797" t="s">
        <v>2456</v>
      </c>
      <c r="G797" t="s">
        <v>2457</v>
      </c>
      <c r="H797" t="s">
        <v>139</v>
      </c>
    </row>
    <row r="798" spans="1:8" x14ac:dyDescent="0.25">
      <c r="A798" t="s">
        <v>592</v>
      </c>
      <c r="B798" t="s">
        <v>2458</v>
      </c>
      <c r="C798" t="s">
        <v>2459</v>
      </c>
      <c r="D798" t="s">
        <v>139</v>
      </c>
      <c r="E798" t="str">
        <f t="shared" si="12"/>
        <v>Forward</v>
      </c>
      <c r="F798" t="s">
        <v>2460</v>
      </c>
      <c r="G798" t="s">
        <v>2461</v>
      </c>
      <c r="H798" t="s">
        <v>139</v>
      </c>
    </row>
    <row r="799" spans="1:8" x14ac:dyDescent="0.25">
      <c r="A799" t="s">
        <v>592</v>
      </c>
      <c r="B799" t="s">
        <v>2462</v>
      </c>
      <c r="C799" t="s">
        <v>2463</v>
      </c>
      <c r="D799" t="s">
        <v>139</v>
      </c>
      <c r="E799" t="str">
        <f t="shared" si="12"/>
        <v>Forward</v>
      </c>
      <c r="F799" t="s">
        <v>2464</v>
      </c>
      <c r="G799" t="s">
        <v>2465</v>
      </c>
      <c r="H799" t="s">
        <v>139</v>
      </c>
    </row>
    <row r="800" spans="1:8" x14ac:dyDescent="0.25">
      <c r="A800" t="s">
        <v>592</v>
      </c>
      <c r="B800" t="s">
        <v>2466</v>
      </c>
      <c r="C800" t="s">
        <v>2467</v>
      </c>
      <c r="D800" t="s">
        <v>139</v>
      </c>
      <c r="E800" t="str">
        <f t="shared" si="12"/>
        <v>Forward</v>
      </c>
    </row>
    <row r="801" spans="1:8" x14ac:dyDescent="0.25">
      <c r="A801" t="s">
        <v>551</v>
      </c>
      <c r="E801" t="str">
        <f t="shared" si="12"/>
        <v>Goalkeeper</v>
      </c>
    </row>
    <row r="802" spans="1:8" x14ac:dyDescent="0.25">
      <c r="A802" t="s">
        <v>551</v>
      </c>
      <c r="B802" t="s">
        <v>2468</v>
      </c>
      <c r="C802" t="s">
        <v>2469</v>
      </c>
      <c r="D802" t="s">
        <v>2470</v>
      </c>
      <c r="E802" t="str">
        <f t="shared" si="12"/>
        <v>Goalkeeper</v>
      </c>
      <c r="F802" t="s">
        <v>2471</v>
      </c>
      <c r="G802" t="s">
        <v>2472</v>
      </c>
      <c r="H802" t="s">
        <v>2470</v>
      </c>
    </row>
    <row r="803" spans="1:8" x14ac:dyDescent="0.25">
      <c r="A803" t="s">
        <v>551</v>
      </c>
      <c r="B803" t="s">
        <v>2473</v>
      </c>
      <c r="C803" t="s">
        <v>2474</v>
      </c>
      <c r="D803" t="s">
        <v>2470</v>
      </c>
      <c r="E803" t="str">
        <f t="shared" si="12"/>
        <v>Goalkeeper</v>
      </c>
    </row>
    <row r="804" spans="1:8" x14ac:dyDescent="0.25">
      <c r="A804" t="s">
        <v>558</v>
      </c>
      <c r="E804" t="str">
        <f t="shared" si="12"/>
        <v>Defender</v>
      </c>
    </row>
    <row r="805" spans="1:8" x14ac:dyDescent="0.25">
      <c r="A805" t="s">
        <v>558</v>
      </c>
      <c r="B805" t="s">
        <v>2475</v>
      </c>
      <c r="C805" t="s">
        <v>2476</v>
      </c>
      <c r="D805" t="s">
        <v>2470</v>
      </c>
      <c r="E805" t="str">
        <f t="shared" si="12"/>
        <v>Defender</v>
      </c>
      <c r="F805" t="s">
        <v>2477</v>
      </c>
      <c r="G805" t="s">
        <v>2478</v>
      </c>
      <c r="H805" t="s">
        <v>2470</v>
      </c>
    </row>
    <row r="806" spans="1:8" x14ac:dyDescent="0.25">
      <c r="A806" t="s">
        <v>558</v>
      </c>
      <c r="B806" t="s">
        <v>2479</v>
      </c>
      <c r="C806" t="s">
        <v>2480</v>
      </c>
      <c r="D806" t="s">
        <v>2470</v>
      </c>
      <c r="E806" t="str">
        <f t="shared" si="12"/>
        <v>Defender</v>
      </c>
      <c r="F806" t="s">
        <v>2481</v>
      </c>
      <c r="G806" t="s">
        <v>2482</v>
      </c>
      <c r="H806" t="s">
        <v>2470</v>
      </c>
    </row>
    <row r="807" spans="1:8" x14ac:dyDescent="0.25">
      <c r="A807" t="s">
        <v>558</v>
      </c>
      <c r="B807" t="s">
        <v>2483</v>
      </c>
      <c r="C807" t="s">
        <v>2484</v>
      </c>
      <c r="D807" t="s">
        <v>2470</v>
      </c>
      <c r="E807" t="str">
        <f t="shared" si="12"/>
        <v>Defender</v>
      </c>
      <c r="F807" t="s">
        <v>2485</v>
      </c>
      <c r="G807" t="s">
        <v>2486</v>
      </c>
      <c r="H807" t="s">
        <v>2470</v>
      </c>
    </row>
    <row r="808" spans="1:8" x14ac:dyDescent="0.25">
      <c r="A808" t="s">
        <v>558</v>
      </c>
      <c r="B808" t="s">
        <v>2487</v>
      </c>
      <c r="C808" t="s">
        <v>2488</v>
      </c>
      <c r="D808" t="s">
        <v>2470</v>
      </c>
      <c r="E808" t="str">
        <f t="shared" si="12"/>
        <v>Defender</v>
      </c>
      <c r="F808" t="s">
        <v>2489</v>
      </c>
      <c r="G808" t="s">
        <v>2490</v>
      </c>
      <c r="H808" t="s">
        <v>2470</v>
      </c>
    </row>
    <row r="809" spans="1:8" x14ac:dyDescent="0.25">
      <c r="A809" t="s">
        <v>558</v>
      </c>
      <c r="B809" t="s">
        <v>2491</v>
      </c>
      <c r="C809" t="s">
        <v>2492</v>
      </c>
      <c r="D809" t="s">
        <v>2470</v>
      </c>
      <c r="E809" t="str">
        <f t="shared" si="12"/>
        <v>Defender</v>
      </c>
      <c r="F809" t="s">
        <v>2493</v>
      </c>
      <c r="G809" t="s">
        <v>2494</v>
      </c>
      <c r="H809" t="s">
        <v>2470</v>
      </c>
    </row>
    <row r="810" spans="1:8" x14ac:dyDescent="0.25">
      <c r="A810" t="s">
        <v>577</v>
      </c>
      <c r="E810" t="str">
        <f t="shared" si="12"/>
        <v>Midfielder</v>
      </c>
    </row>
    <row r="811" spans="1:8" x14ac:dyDescent="0.25">
      <c r="A811" t="s">
        <v>577</v>
      </c>
      <c r="B811" t="s">
        <v>2495</v>
      </c>
      <c r="C811" t="s">
        <v>2496</v>
      </c>
      <c r="D811" t="s">
        <v>2470</v>
      </c>
      <c r="E811" t="str">
        <f t="shared" si="12"/>
        <v>Midfielder</v>
      </c>
      <c r="F811" t="s">
        <v>2497</v>
      </c>
      <c r="G811" t="s">
        <v>2498</v>
      </c>
      <c r="H811" t="s">
        <v>2470</v>
      </c>
    </row>
    <row r="812" spans="1:8" x14ac:dyDescent="0.25">
      <c r="A812" t="s">
        <v>577</v>
      </c>
      <c r="B812" t="s">
        <v>2499</v>
      </c>
      <c r="C812" t="s">
        <v>2500</v>
      </c>
      <c r="D812" t="s">
        <v>2470</v>
      </c>
      <c r="E812" t="str">
        <f t="shared" si="12"/>
        <v>Midfielder</v>
      </c>
      <c r="F812" t="s">
        <v>2501</v>
      </c>
      <c r="G812" t="s">
        <v>2502</v>
      </c>
      <c r="H812" t="s">
        <v>2470</v>
      </c>
    </row>
    <row r="813" spans="1:8" x14ac:dyDescent="0.25">
      <c r="A813" t="s">
        <v>577</v>
      </c>
      <c r="B813" t="s">
        <v>2503</v>
      </c>
      <c r="C813" t="s">
        <v>434</v>
      </c>
      <c r="D813" t="s">
        <v>2470</v>
      </c>
      <c r="E813" t="str">
        <f t="shared" si="12"/>
        <v>Midfielder</v>
      </c>
      <c r="F813" t="s">
        <v>2504</v>
      </c>
      <c r="G813" t="s">
        <v>2505</v>
      </c>
      <c r="H813" t="s">
        <v>2470</v>
      </c>
    </row>
    <row r="814" spans="1:8" x14ac:dyDescent="0.25">
      <c r="A814" t="s">
        <v>577</v>
      </c>
      <c r="B814" t="s">
        <v>2506</v>
      </c>
      <c r="C814" t="s">
        <v>2507</v>
      </c>
      <c r="D814" t="s">
        <v>2470</v>
      </c>
      <c r="E814" t="str">
        <f t="shared" si="12"/>
        <v>Midfielder</v>
      </c>
    </row>
    <row r="815" spans="1:8" x14ac:dyDescent="0.25">
      <c r="A815" t="s">
        <v>592</v>
      </c>
      <c r="E815" t="str">
        <f t="shared" si="12"/>
        <v>Forward</v>
      </c>
    </row>
    <row r="816" spans="1:8" x14ac:dyDescent="0.25">
      <c r="A816" t="s">
        <v>592</v>
      </c>
      <c r="B816" t="s">
        <v>2508</v>
      </c>
      <c r="C816" t="s">
        <v>2509</v>
      </c>
      <c r="D816" t="s">
        <v>2470</v>
      </c>
      <c r="E816" t="str">
        <f t="shared" si="12"/>
        <v>Forward</v>
      </c>
      <c r="F816" t="s">
        <v>2510</v>
      </c>
      <c r="G816" t="s">
        <v>2511</v>
      </c>
      <c r="H816" t="s">
        <v>2470</v>
      </c>
    </row>
    <row r="817" spans="1:8" x14ac:dyDescent="0.25">
      <c r="A817" t="s">
        <v>592</v>
      </c>
      <c r="B817" t="s">
        <v>2512</v>
      </c>
      <c r="C817" t="s">
        <v>2513</v>
      </c>
      <c r="D817" t="s">
        <v>2470</v>
      </c>
      <c r="E817" t="str">
        <f t="shared" si="12"/>
        <v>Forward</v>
      </c>
      <c r="F817" t="s">
        <v>2514</v>
      </c>
      <c r="G817" t="s">
        <v>2515</v>
      </c>
      <c r="H817" t="s">
        <v>2470</v>
      </c>
    </row>
    <row r="818" spans="1:8" x14ac:dyDescent="0.25">
      <c r="A818" t="s">
        <v>592</v>
      </c>
      <c r="B818" t="s">
        <v>2516</v>
      </c>
      <c r="C818" t="s">
        <v>2517</v>
      </c>
      <c r="D818" t="s">
        <v>2470</v>
      </c>
      <c r="E818" t="str">
        <f t="shared" si="12"/>
        <v>Forward</v>
      </c>
      <c r="F818" t="s">
        <v>2518</v>
      </c>
      <c r="G818" t="s">
        <v>2519</v>
      </c>
      <c r="H818" t="s">
        <v>2470</v>
      </c>
    </row>
    <row r="819" spans="1:8" x14ac:dyDescent="0.25">
      <c r="A819" t="s">
        <v>551</v>
      </c>
      <c r="E819" t="str">
        <f t="shared" si="12"/>
        <v>Goalkeeper</v>
      </c>
    </row>
    <row r="820" spans="1:8" x14ac:dyDescent="0.25">
      <c r="A820" t="s">
        <v>551</v>
      </c>
      <c r="B820" t="s">
        <v>2520</v>
      </c>
      <c r="C820" t="s">
        <v>2521</v>
      </c>
      <c r="D820" t="s">
        <v>2522</v>
      </c>
      <c r="E820" t="str">
        <f t="shared" si="12"/>
        <v>Goalkeeper</v>
      </c>
      <c r="F820" t="s">
        <v>2523</v>
      </c>
      <c r="G820" t="s">
        <v>2524</v>
      </c>
      <c r="H820" t="s">
        <v>2522</v>
      </c>
    </row>
    <row r="821" spans="1:8" x14ac:dyDescent="0.25">
      <c r="A821" t="s">
        <v>551</v>
      </c>
      <c r="B821" t="s">
        <v>2525</v>
      </c>
      <c r="C821" t="s">
        <v>513</v>
      </c>
      <c r="D821" t="s">
        <v>2522</v>
      </c>
      <c r="E821" t="str">
        <f t="shared" si="12"/>
        <v>Goalkeeper</v>
      </c>
    </row>
    <row r="822" spans="1:8" x14ac:dyDescent="0.25">
      <c r="A822" t="s">
        <v>558</v>
      </c>
      <c r="E822" t="str">
        <f t="shared" si="12"/>
        <v>Defender</v>
      </c>
    </row>
    <row r="823" spans="1:8" x14ac:dyDescent="0.25">
      <c r="A823" t="s">
        <v>558</v>
      </c>
      <c r="B823" t="s">
        <v>2526</v>
      </c>
      <c r="C823" t="s">
        <v>543</v>
      </c>
      <c r="D823" t="s">
        <v>2522</v>
      </c>
      <c r="E823" t="str">
        <f t="shared" si="12"/>
        <v>Defender</v>
      </c>
      <c r="F823" t="s">
        <v>2527</v>
      </c>
      <c r="G823" t="s">
        <v>2528</v>
      </c>
      <c r="H823" t="s">
        <v>2522</v>
      </c>
    </row>
    <row r="824" spans="1:8" x14ac:dyDescent="0.25">
      <c r="A824" t="s">
        <v>558</v>
      </c>
      <c r="B824" t="s">
        <v>2529</v>
      </c>
      <c r="C824" t="s">
        <v>2530</v>
      </c>
      <c r="D824" t="s">
        <v>2522</v>
      </c>
      <c r="E824" t="str">
        <f t="shared" si="12"/>
        <v>Defender</v>
      </c>
      <c r="F824" t="s">
        <v>2531</v>
      </c>
      <c r="G824" t="s">
        <v>2532</v>
      </c>
      <c r="H824" t="s">
        <v>2522</v>
      </c>
    </row>
    <row r="825" spans="1:8" x14ac:dyDescent="0.25">
      <c r="A825" t="s">
        <v>558</v>
      </c>
      <c r="B825" t="s">
        <v>2533</v>
      </c>
      <c r="C825" t="s">
        <v>456</v>
      </c>
      <c r="D825" t="s">
        <v>2522</v>
      </c>
      <c r="E825" t="str">
        <f t="shared" si="12"/>
        <v>Defender</v>
      </c>
      <c r="F825" t="s">
        <v>2534</v>
      </c>
      <c r="G825" t="s">
        <v>2535</v>
      </c>
      <c r="H825" t="s">
        <v>2522</v>
      </c>
    </row>
    <row r="826" spans="1:8" x14ac:dyDescent="0.25">
      <c r="A826" t="s">
        <v>558</v>
      </c>
      <c r="B826" t="s">
        <v>2536</v>
      </c>
      <c r="C826" t="s">
        <v>2537</v>
      </c>
      <c r="D826" t="s">
        <v>2522</v>
      </c>
      <c r="E826" t="str">
        <f t="shared" si="12"/>
        <v>Defender</v>
      </c>
      <c r="F826" t="s">
        <v>2538</v>
      </c>
      <c r="G826" t="s">
        <v>2539</v>
      </c>
      <c r="H826" t="s">
        <v>2522</v>
      </c>
    </row>
    <row r="827" spans="1:8" x14ac:dyDescent="0.25">
      <c r="A827" t="s">
        <v>558</v>
      </c>
      <c r="B827" t="s">
        <v>2540</v>
      </c>
      <c r="C827" t="s">
        <v>2541</v>
      </c>
      <c r="D827" t="s">
        <v>2522</v>
      </c>
      <c r="E827" t="str">
        <f t="shared" si="12"/>
        <v>Defender</v>
      </c>
    </row>
    <row r="828" spans="1:8" x14ac:dyDescent="0.25">
      <c r="A828" t="s">
        <v>577</v>
      </c>
      <c r="E828" t="str">
        <f t="shared" si="12"/>
        <v>Midfielder</v>
      </c>
    </row>
    <row r="829" spans="1:8" x14ac:dyDescent="0.25">
      <c r="A829" t="s">
        <v>577</v>
      </c>
      <c r="B829" t="s">
        <v>2542</v>
      </c>
      <c r="C829" t="s">
        <v>2543</v>
      </c>
      <c r="D829" t="s">
        <v>2522</v>
      </c>
      <c r="E829" t="str">
        <f t="shared" si="12"/>
        <v>Midfielder</v>
      </c>
      <c r="F829" t="s">
        <v>2544</v>
      </c>
      <c r="G829" t="s">
        <v>2545</v>
      </c>
      <c r="H829" t="s">
        <v>2522</v>
      </c>
    </row>
    <row r="830" spans="1:8" x14ac:dyDescent="0.25">
      <c r="A830" t="s">
        <v>577</v>
      </c>
      <c r="B830" t="s">
        <v>2546</v>
      </c>
      <c r="C830" t="s">
        <v>2547</v>
      </c>
      <c r="D830" t="s">
        <v>2522</v>
      </c>
      <c r="E830" t="str">
        <f t="shared" si="12"/>
        <v>Midfielder</v>
      </c>
      <c r="F830" t="s">
        <v>2548</v>
      </c>
      <c r="G830" t="s">
        <v>2549</v>
      </c>
      <c r="H830" t="s">
        <v>2522</v>
      </c>
    </row>
    <row r="831" spans="1:8" x14ac:dyDescent="0.25">
      <c r="A831" t="s">
        <v>577</v>
      </c>
      <c r="B831" t="s">
        <v>2550</v>
      </c>
      <c r="C831" t="s">
        <v>2551</v>
      </c>
      <c r="D831" t="s">
        <v>2522</v>
      </c>
      <c r="E831" t="str">
        <f t="shared" si="12"/>
        <v>Midfielder</v>
      </c>
      <c r="F831" t="s">
        <v>2552</v>
      </c>
      <c r="G831" t="s">
        <v>2553</v>
      </c>
      <c r="H831" t="s">
        <v>2522</v>
      </c>
    </row>
    <row r="832" spans="1:8" x14ac:dyDescent="0.25">
      <c r="A832" t="s">
        <v>577</v>
      </c>
      <c r="B832" t="s">
        <v>2554</v>
      </c>
      <c r="C832" t="s">
        <v>386</v>
      </c>
      <c r="D832" t="s">
        <v>2522</v>
      </c>
      <c r="E832" t="str">
        <f t="shared" si="12"/>
        <v>Midfielder</v>
      </c>
      <c r="F832" t="s">
        <v>2555</v>
      </c>
      <c r="G832" t="s">
        <v>2556</v>
      </c>
      <c r="H832" t="s">
        <v>2522</v>
      </c>
    </row>
    <row r="833" spans="1:8" x14ac:dyDescent="0.25">
      <c r="A833" t="s">
        <v>577</v>
      </c>
      <c r="B833" t="s">
        <v>2557</v>
      </c>
      <c r="C833" t="s">
        <v>2558</v>
      </c>
      <c r="D833" t="s">
        <v>2522</v>
      </c>
      <c r="E833" t="str">
        <f t="shared" si="12"/>
        <v>Midfielder</v>
      </c>
    </row>
    <row r="834" spans="1:8" x14ac:dyDescent="0.25">
      <c r="A834" t="s">
        <v>592</v>
      </c>
      <c r="E834" t="str">
        <f t="shared" si="12"/>
        <v>Forward</v>
      </c>
    </row>
    <row r="835" spans="1:8" x14ac:dyDescent="0.25">
      <c r="A835" t="s">
        <v>592</v>
      </c>
      <c r="B835" t="s">
        <v>2559</v>
      </c>
      <c r="C835" t="s">
        <v>2560</v>
      </c>
      <c r="D835" t="s">
        <v>2522</v>
      </c>
      <c r="E835" t="str">
        <f t="shared" ref="E835:E874" si="13">A835</f>
        <v>Forward</v>
      </c>
      <c r="F835" t="s">
        <v>2561</v>
      </c>
      <c r="G835" t="s">
        <v>2562</v>
      </c>
      <c r="H835" t="s">
        <v>2522</v>
      </c>
    </row>
    <row r="836" spans="1:8" x14ac:dyDescent="0.25">
      <c r="A836" t="s">
        <v>592</v>
      </c>
      <c r="B836" t="s">
        <v>2563</v>
      </c>
      <c r="C836" t="s">
        <v>2564</v>
      </c>
      <c r="D836" t="s">
        <v>2522</v>
      </c>
      <c r="E836" t="str">
        <f t="shared" si="13"/>
        <v>Forward</v>
      </c>
      <c r="F836" t="s">
        <v>2565</v>
      </c>
      <c r="G836" t="s">
        <v>2566</v>
      </c>
      <c r="H836" t="s">
        <v>2522</v>
      </c>
    </row>
    <row r="837" spans="1:8" x14ac:dyDescent="0.25">
      <c r="A837" t="s">
        <v>592</v>
      </c>
      <c r="B837" t="s">
        <v>2567</v>
      </c>
      <c r="C837" t="s">
        <v>2568</v>
      </c>
      <c r="D837" t="s">
        <v>2522</v>
      </c>
      <c r="E837" t="str">
        <f t="shared" si="13"/>
        <v>Forward</v>
      </c>
    </row>
    <row r="838" spans="1:8" x14ac:dyDescent="0.25">
      <c r="A838" t="s">
        <v>551</v>
      </c>
      <c r="E838" t="str">
        <f t="shared" si="13"/>
        <v>Goalkeeper</v>
      </c>
    </row>
    <row r="839" spans="1:8" x14ac:dyDescent="0.25">
      <c r="A839" t="s">
        <v>551</v>
      </c>
      <c r="B839" t="s">
        <v>2569</v>
      </c>
      <c r="C839" t="s">
        <v>2570</v>
      </c>
      <c r="D839" t="s">
        <v>122</v>
      </c>
      <c r="E839" t="str">
        <f t="shared" si="13"/>
        <v>Goalkeeper</v>
      </c>
      <c r="F839" t="s">
        <v>2571</v>
      </c>
      <c r="G839" t="s">
        <v>2572</v>
      </c>
      <c r="H839" t="s">
        <v>122</v>
      </c>
    </row>
    <row r="840" spans="1:8" x14ac:dyDescent="0.25">
      <c r="A840" t="s">
        <v>551</v>
      </c>
      <c r="B840" t="s">
        <v>2573</v>
      </c>
      <c r="C840" t="s">
        <v>2574</v>
      </c>
      <c r="D840" t="s">
        <v>122</v>
      </c>
      <c r="E840" t="str">
        <f t="shared" si="13"/>
        <v>Goalkeeper</v>
      </c>
    </row>
    <row r="841" spans="1:8" x14ac:dyDescent="0.25">
      <c r="A841" t="s">
        <v>558</v>
      </c>
      <c r="E841" t="str">
        <f t="shared" si="13"/>
        <v>Defender</v>
      </c>
    </row>
    <row r="842" spans="1:8" x14ac:dyDescent="0.25">
      <c r="A842" t="s">
        <v>558</v>
      </c>
      <c r="B842" t="s">
        <v>2575</v>
      </c>
      <c r="C842" t="s">
        <v>2576</v>
      </c>
      <c r="D842" t="s">
        <v>122</v>
      </c>
      <c r="E842" t="str">
        <f t="shared" si="13"/>
        <v>Defender</v>
      </c>
      <c r="F842" t="s">
        <v>2577</v>
      </c>
      <c r="G842" t="s">
        <v>2578</v>
      </c>
      <c r="H842" t="s">
        <v>122</v>
      </c>
    </row>
    <row r="843" spans="1:8" x14ac:dyDescent="0.25">
      <c r="A843" t="s">
        <v>558</v>
      </c>
      <c r="B843" t="s">
        <v>2579</v>
      </c>
      <c r="C843" t="s">
        <v>2580</v>
      </c>
      <c r="D843" t="s">
        <v>122</v>
      </c>
      <c r="E843" t="str">
        <f t="shared" si="13"/>
        <v>Defender</v>
      </c>
      <c r="F843" t="s">
        <v>2581</v>
      </c>
      <c r="G843" t="s">
        <v>2582</v>
      </c>
      <c r="H843" t="s">
        <v>122</v>
      </c>
    </row>
    <row r="844" spans="1:8" x14ac:dyDescent="0.25">
      <c r="A844" t="s">
        <v>558</v>
      </c>
      <c r="B844" t="s">
        <v>2583</v>
      </c>
      <c r="C844" t="s">
        <v>2584</v>
      </c>
      <c r="D844" t="s">
        <v>122</v>
      </c>
      <c r="E844" t="str">
        <f t="shared" si="13"/>
        <v>Defender</v>
      </c>
      <c r="F844" t="s">
        <v>2585</v>
      </c>
      <c r="G844" t="s">
        <v>2586</v>
      </c>
      <c r="H844" t="s">
        <v>122</v>
      </c>
    </row>
    <row r="845" spans="1:8" x14ac:dyDescent="0.25">
      <c r="A845" t="s">
        <v>558</v>
      </c>
      <c r="B845" t="s">
        <v>2587</v>
      </c>
      <c r="C845" t="s">
        <v>2588</v>
      </c>
      <c r="D845" t="s">
        <v>122</v>
      </c>
      <c r="E845" t="str">
        <f t="shared" si="13"/>
        <v>Defender</v>
      </c>
      <c r="F845" t="s">
        <v>2589</v>
      </c>
      <c r="G845" t="s">
        <v>2590</v>
      </c>
      <c r="H845" t="s">
        <v>122</v>
      </c>
    </row>
    <row r="846" spans="1:8" x14ac:dyDescent="0.25">
      <c r="A846" t="s">
        <v>577</v>
      </c>
      <c r="E846" t="str">
        <f t="shared" si="13"/>
        <v>Midfielder</v>
      </c>
    </row>
    <row r="847" spans="1:8" x14ac:dyDescent="0.25">
      <c r="A847" t="s">
        <v>577</v>
      </c>
      <c r="B847" t="s">
        <v>2591</v>
      </c>
      <c r="C847" t="s">
        <v>2592</v>
      </c>
      <c r="D847" t="s">
        <v>122</v>
      </c>
      <c r="E847" t="str">
        <f t="shared" si="13"/>
        <v>Midfielder</v>
      </c>
      <c r="F847" t="s">
        <v>2593</v>
      </c>
      <c r="G847" t="s">
        <v>2594</v>
      </c>
      <c r="H847" t="s">
        <v>122</v>
      </c>
    </row>
    <row r="848" spans="1:8" x14ac:dyDescent="0.25">
      <c r="A848" t="s">
        <v>577</v>
      </c>
      <c r="B848" t="s">
        <v>2595</v>
      </c>
      <c r="C848" t="s">
        <v>2596</v>
      </c>
      <c r="D848" t="s">
        <v>122</v>
      </c>
      <c r="E848" t="str">
        <f t="shared" si="13"/>
        <v>Midfielder</v>
      </c>
      <c r="F848" t="s">
        <v>2597</v>
      </c>
      <c r="G848" t="s">
        <v>340</v>
      </c>
      <c r="H848" t="s">
        <v>122</v>
      </c>
    </row>
    <row r="849" spans="1:8" x14ac:dyDescent="0.25">
      <c r="A849" t="s">
        <v>577</v>
      </c>
      <c r="B849" t="s">
        <v>2598</v>
      </c>
      <c r="C849" t="s">
        <v>2599</v>
      </c>
      <c r="D849" t="s">
        <v>122</v>
      </c>
      <c r="E849" t="str">
        <f t="shared" si="13"/>
        <v>Midfielder</v>
      </c>
      <c r="F849" t="s">
        <v>2600</v>
      </c>
      <c r="G849" t="s">
        <v>2601</v>
      </c>
      <c r="H849" t="s">
        <v>122</v>
      </c>
    </row>
    <row r="850" spans="1:8" x14ac:dyDescent="0.25">
      <c r="A850" t="s">
        <v>577</v>
      </c>
      <c r="B850" t="s">
        <v>2602</v>
      </c>
      <c r="C850" t="s">
        <v>388</v>
      </c>
      <c r="D850" t="s">
        <v>122</v>
      </c>
      <c r="E850" t="str">
        <f t="shared" si="13"/>
        <v>Midfielder</v>
      </c>
      <c r="F850" t="s">
        <v>2603</v>
      </c>
      <c r="G850" t="s">
        <v>2604</v>
      </c>
      <c r="H850" t="s">
        <v>122</v>
      </c>
    </row>
    <row r="851" spans="1:8" x14ac:dyDescent="0.25">
      <c r="A851" t="s">
        <v>577</v>
      </c>
      <c r="B851" t="s">
        <v>2605</v>
      </c>
      <c r="C851" t="s">
        <v>2606</v>
      </c>
      <c r="D851" t="s">
        <v>122</v>
      </c>
      <c r="E851" t="str">
        <f t="shared" si="13"/>
        <v>Midfielder</v>
      </c>
      <c r="F851" t="s">
        <v>2607</v>
      </c>
      <c r="G851" t="s">
        <v>2608</v>
      </c>
      <c r="H851" t="s">
        <v>122</v>
      </c>
    </row>
    <row r="852" spans="1:8" x14ac:dyDescent="0.25">
      <c r="A852" t="s">
        <v>592</v>
      </c>
      <c r="E852" t="str">
        <f t="shared" si="13"/>
        <v>Forward</v>
      </c>
    </row>
    <row r="853" spans="1:8" x14ac:dyDescent="0.25">
      <c r="A853" t="s">
        <v>592</v>
      </c>
      <c r="B853" t="s">
        <v>2609</v>
      </c>
      <c r="C853" t="s">
        <v>414</v>
      </c>
      <c r="D853" t="s">
        <v>122</v>
      </c>
      <c r="E853" t="str">
        <f t="shared" si="13"/>
        <v>Forward</v>
      </c>
      <c r="F853" t="s">
        <v>2610</v>
      </c>
      <c r="G853" t="s">
        <v>2611</v>
      </c>
      <c r="H853" t="s">
        <v>122</v>
      </c>
    </row>
    <row r="854" spans="1:8" x14ac:dyDescent="0.25">
      <c r="A854" t="s">
        <v>592</v>
      </c>
      <c r="B854" t="s">
        <v>2612</v>
      </c>
      <c r="C854" t="s">
        <v>2613</v>
      </c>
      <c r="D854" t="s">
        <v>122</v>
      </c>
      <c r="E854" t="str">
        <f t="shared" si="13"/>
        <v>Forward</v>
      </c>
      <c r="F854" t="s">
        <v>2614</v>
      </c>
      <c r="G854" t="s">
        <v>2615</v>
      </c>
      <c r="H854" t="s">
        <v>122</v>
      </c>
    </row>
    <row r="855" spans="1:8" x14ac:dyDescent="0.25">
      <c r="A855" t="s">
        <v>592</v>
      </c>
      <c r="B855" t="s">
        <v>2616</v>
      </c>
      <c r="C855" t="s">
        <v>2617</v>
      </c>
      <c r="D855" t="s">
        <v>122</v>
      </c>
      <c r="E855" t="str">
        <f t="shared" si="13"/>
        <v>Forward</v>
      </c>
    </row>
    <row r="856" spans="1:8" x14ac:dyDescent="0.25">
      <c r="A856" t="s">
        <v>551</v>
      </c>
      <c r="E856" t="str">
        <f t="shared" si="13"/>
        <v>Goalkeeper</v>
      </c>
    </row>
    <row r="857" spans="1:8" x14ac:dyDescent="0.25">
      <c r="A857" t="s">
        <v>551</v>
      </c>
      <c r="B857" t="s">
        <v>2618</v>
      </c>
      <c r="C857" t="s">
        <v>2619</v>
      </c>
      <c r="D857" t="s">
        <v>97</v>
      </c>
      <c r="E857" t="str">
        <f t="shared" si="13"/>
        <v>Goalkeeper</v>
      </c>
      <c r="F857" t="s">
        <v>2620</v>
      </c>
      <c r="G857" t="s">
        <v>2621</v>
      </c>
      <c r="H857" t="s">
        <v>97</v>
      </c>
    </row>
    <row r="858" spans="1:8" x14ac:dyDescent="0.25">
      <c r="A858" t="s">
        <v>551</v>
      </c>
      <c r="B858" t="s">
        <v>2622</v>
      </c>
      <c r="C858" t="s">
        <v>2623</v>
      </c>
      <c r="D858" t="s">
        <v>97</v>
      </c>
      <c r="E858" t="str">
        <f t="shared" si="13"/>
        <v>Goalkeeper</v>
      </c>
    </row>
    <row r="859" spans="1:8" x14ac:dyDescent="0.25">
      <c r="A859" t="s">
        <v>558</v>
      </c>
      <c r="E859" t="str">
        <f t="shared" si="13"/>
        <v>Defender</v>
      </c>
    </row>
    <row r="860" spans="1:8" x14ac:dyDescent="0.25">
      <c r="A860" t="s">
        <v>558</v>
      </c>
      <c r="B860" t="s">
        <v>2624</v>
      </c>
      <c r="C860" t="s">
        <v>2625</v>
      </c>
      <c r="D860" t="s">
        <v>97</v>
      </c>
      <c r="E860" t="str">
        <f t="shared" si="13"/>
        <v>Defender</v>
      </c>
      <c r="F860" t="s">
        <v>2626</v>
      </c>
      <c r="G860" t="s">
        <v>2627</v>
      </c>
      <c r="H860" t="s">
        <v>97</v>
      </c>
    </row>
    <row r="861" spans="1:8" x14ac:dyDescent="0.25">
      <c r="A861" t="s">
        <v>558</v>
      </c>
      <c r="B861" t="s">
        <v>2628</v>
      </c>
      <c r="C861" t="s">
        <v>2629</v>
      </c>
      <c r="D861" t="s">
        <v>97</v>
      </c>
      <c r="E861" t="str">
        <f t="shared" si="13"/>
        <v>Defender</v>
      </c>
      <c r="F861" t="s">
        <v>2630</v>
      </c>
      <c r="G861" t="s">
        <v>2631</v>
      </c>
      <c r="H861" t="s">
        <v>97</v>
      </c>
    </row>
    <row r="862" spans="1:8" x14ac:dyDescent="0.25">
      <c r="A862" t="s">
        <v>558</v>
      </c>
      <c r="B862" t="s">
        <v>2632</v>
      </c>
      <c r="C862" t="s">
        <v>2633</v>
      </c>
      <c r="D862" t="s">
        <v>97</v>
      </c>
      <c r="E862" t="str">
        <f t="shared" si="13"/>
        <v>Defender</v>
      </c>
      <c r="F862" t="s">
        <v>2634</v>
      </c>
      <c r="G862" t="s">
        <v>2635</v>
      </c>
      <c r="H862" t="s">
        <v>97</v>
      </c>
    </row>
    <row r="863" spans="1:8" x14ac:dyDescent="0.25">
      <c r="A863" t="s">
        <v>558</v>
      </c>
      <c r="B863" t="s">
        <v>2636</v>
      </c>
      <c r="C863" t="s">
        <v>2637</v>
      </c>
      <c r="D863" t="s">
        <v>97</v>
      </c>
      <c r="E863" t="str">
        <f t="shared" si="13"/>
        <v>Defender</v>
      </c>
      <c r="F863" t="s">
        <v>2638</v>
      </c>
      <c r="G863" t="s">
        <v>2639</v>
      </c>
      <c r="H863" t="s">
        <v>97</v>
      </c>
    </row>
    <row r="864" spans="1:8" x14ac:dyDescent="0.25">
      <c r="A864" t="s">
        <v>558</v>
      </c>
      <c r="B864" t="s">
        <v>2640</v>
      </c>
      <c r="C864" t="s">
        <v>2641</v>
      </c>
      <c r="D864" t="s">
        <v>97</v>
      </c>
      <c r="E864" t="str">
        <f t="shared" si="13"/>
        <v>Defender</v>
      </c>
    </row>
    <row r="865" spans="1:8" x14ac:dyDescent="0.25">
      <c r="A865" t="s">
        <v>577</v>
      </c>
      <c r="E865" t="str">
        <f t="shared" si="13"/>
        <v>Midfielder</v>
      </c>
    </row>
    <row r="866" spans="1:8" x14ac:dyDescent="0.25">
      <c r="A866" t="s">
        <v>577</v>
      </c>
      <c r="B866" t="s">
        <v>2642</v>
      </c>
      <c r="C866" t="s">
        <v>2643</v>
      </c>
      <c r="D866" t="s">
        <v>97</v>
      </c>
      <c r="E866" t="str">
        <f t="shared" si="13"/>
        <v>Midfielder</v>
      </c>
      <c r="F866" t="s">
        <v>2644</v>
      </c>
      <c r="G866" t="s">
        <v>2645</v>
      </c>
      <c r="H866" t="s">
        <v>97</v>
      </c>
    </row>
    <row r="867" spans="1:8" x14ac:dyDescent="0.25">
      <c r="A867" t="s">
        <v>577</v>
      </c>
      <c r="B867" t="s">
        <v>2646</v>
      </c>
      <c r="C867" t="s">
        <v>2647</v>
      </c>
      <c r="D867" t="s">
        <v>97</v>
      </c>
      <c r="E867" t="str">
        <f t="shared" si="13"/>
        <v>Midfielder</v>
      </c>
      <c r="F867" t="s">
        <v>2648</v>
      </c>
      <c r="G867" t="s">
        <v>2649</v>
      </c>
      <c r="H867" t="s">
        <v>97</v>
      </c>
    </row>
    <row r="868" spans="1:8" x14ac:dyDescent="0.25">
      <c r="A868" t="s">
        <v>577</v>
      </c>
      <c r="B868" t="s">
        <v>2650</v>
      </c>
      <c r="C868" t="s">
        <v>2651</v>
      </c>
      <c r="D868" t="s">
        <v>97</v>
      </c>
      <c r="E868" t="str">
        <f t="shared" si="13"/>
        <v>Midfielder</v>
      </c>
      <c r="F868" t="s">
        <v>2652</v>
      </c>
      <c r="G868" t="s">
        <v>2653</v>
      </c>
      <c r="H868" t="s">
        <v>97</v>
      </c>
    </row>
    <row r="869" spans="1:8" x14ac:dyDescent="0.25">
      <c r="A869" t="s">
        <v>577</v>
      </c>
      <c r="B869" t="s">
        <v>2654</v>
      </c>
      <c r="C869" t="s">
        <v>2655</v>
      </c>
      <c r="D869" t="s">
        <v>97</v>
      </c>
      <c r="E869" t="str">
        <f t="shared" si="13"/>
        <v>Midfielder</v>
      </c>
      <c r="F869" t="s">
        <v>2656</v>
      </c>
      <c r="G869" t="s">
        <v>2657</v>
      </c>
      <c r="H869" t="s">
        <v>97</v>
      </c>
    </row>
    <row r="870" spans="1:8" x14ac:dyDescent="0.25">
      <c r="A870" t="s">
        <v>577</v>
      </c>
      <c r="B870" t="s">
        <v>2658</v>
      </c>
      <c r="C870" t="s">
        <v>2659</v>
      </c>
      <c r="D870" t="s">
        <v>97</v>
      </c>
      <c r="E870" t="str">
        <f t="shared" si="13"/>
        <v>Midfielder</v>
      </c>
      <c r="F870" t="s">
        <v>2660</v>
      </c>
      <c r="G870" t="s">
        <v>2661</v>
      </c>
      <c r="H870" t="s">
        <v>97</v>
      </c>
    </row>
    <row r="871" spans="1:8" x14ac:dyDescent="0.25">
      <c r="A871" t="s">
        <v>577</v>
      </c>
      <c r="B871" t="s">
        <v>2662</v>
      </c>
      <c r="C871" t="s">
        <v>2663</v>
      </c>
      <c r="D871" t="s">
        <v>97</v>
      </c>
      <c r="E871" t="str">
        <f t="shared" si="13"/>
        <v>Midfielder</v>
      </c>
    </row>
    <row r="872" spans="1:8" x14ac:dyDescent="0.25">
      <c r="A872" t="s">
        <v>592</v>
      </c>
      <c r="E872" t="str">
        <f t="shared" si="13"/>
        <v>Forward</v>
      </c>
    </row>
    <row r="873" spans="1:8" x14ac:dyDescent="0.25">
      <c r="A873" t="s">
        <v>592</v>
      </c>
      <c r="B873" t="s">
        <v>2664</v>
      </c>
      <c r="C873" t="s">
        <v>2665</v>
      </c>
      <c r="D873" t="s">
        <v>97</v>
      </c>
      <c r="E873" t="str">
        <f t="shared" si="13"/>
        <v>Forward</v>
      </c>
      <c r="F873" t="s">
        <v>2666</v>
      </c>
      <c r="G873" t="s">
        <v>2667</v>
      </c>
      <c r="H873" t="s">
        <v>97</v>
      </c>
    </row>
    <row r="874" spans="1:8" x14ac:dyDescent="0.25">
      <c r="A874" t="s">
        <v>592</v>
      </c>
      <c r="B874" t="s">
        <v>2668</v>
      </c>
      <c r="C874" t="s">
        <v>2669</v>
      </c>
      <c r="D874" t="s">
        <v>97</v>
      </c>
      <c r="E874" t="str">
        <f t="shared" si="13"/>
        <v>Forward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1F43-B82D-4807-8BA4-4DFB5CFF5B1E}">
  <dimension ref="B1:P50"/>
  <sheetViews>
    <sheetView topLeftCell="A2" workbookViewId="0">
      <selection activeCell="Q2" sqref="Q2"/>
    </sheetView>
  </sheetViews>
  <sheetFormatPr defaultColWidth="9.140625" defaultRowHeight="15" x14ac:dyDescent="0.25"/>
  <cols>
    <col min="1" max="1" width="1.140625" style="3" customWidth="1"/>
    <col min="2" max="2" width="15.5703125" style="3" customWidth="1"/>
    <col min="3" max="3" width="5" style="3" customWidth="1"/>
    <col min="4" max="4" width="10.7109375" style="3" bestFit="1" customWidth="1"/>
    <col min="5" max="5" width="1.28515625" style="3" customWidth="1"/>
    <col min="6" max="6" width="15.5703125" style="3" customWidth="1"/>
    <col min="7" max="7" width="5" style="3" customWidth="1"/>
    <col min="8" max="8" width="10.7109375" style="3" bestFit="1" customWidth="1"/>
    <col min="9" max="9" width="1.28515625" style="3" customWidth="1"/>
    <col min="10" max="10" width="15.5703125" style="3" customWidth="1"/>
    <col min="11" max="11" width="5" style="3" customWidth="1"/>
    <col min="12" max="12" width="10.7109375" style="3" bestFit="1" customWidth="1"/>
    <col min="13" max="13" width="1.28515625" style="3" customWidth="1"/>
    <col min="14" max="14" width="15.5703125" style="3" customWidth="1"/>
    <col min="15" max="15" width="5" style="3" customWidth="1"/>
    <col min="16" max="16" width="10.7109375" style="3" bestFit="1" customWidth="1"/>
    <col min="17" max="17" width="1.28515625" style="3" customWidth="1"/>
    <col min="18" max="18" width="15.5703125" style="3" customWidth="1"/>
    <col min="19" max="19" width="5" style="3" customWidth="1"/>
    <col min="20" max="20" width="10.7109375" style="3" bestFit="1" customWidth="1"/>
    <col min="21" max="21" width="1.28515625" style="3" customWidth="1"/>
    <col min="22" max="22" width="15.5703125" style="3" customWidth="1"/>
    <col min="23" max="23" width="5" style="3" customWidth="1"/>
    <col min="24" max="24" width="10.7109375" style="3" bestFit="1" customWidth="1"/>
    <col min="25" max="25" width="1.28515625" style="3" customWidth="1"/>
    <col min="26" max="26" width="15.5703125" style="3" customWidth="1"/>
    <col min="27" max="27" width="5" style="3" customWidth="1"/>
    <col min="28" max="28" width="10.7109375" style="3" bestFit="1" customWidth="1"/>
    <col min="29" max="29" width="1.28515625" style="3" customWidth="1"/>
    <col min="30" max="30" width="15.5703125" style="3" customWidth="1"/>
    <col min="31" max="31" width="5" style="3" customWidth="1"/>
    <col min="32" max="32" width="10.7109375" style="3" bestFit="1" customWidth="1"/>
    <col min="33" max="16384" width="9.140625" style="3"/>
  </cols>
  <sheetData>
    <row r="1" spans="2:16" ht="8.25" hidden="1" customHeight="1" thickBot="1" x14ac:dyDescent="0.3"/>
    <row r="2" spans="2:16" s="14" customFormat="1" ht="12" customHeight="1" thickBot="1" x14ac:dyDescent="0.3">
      <c r="B2" s="64" t="s">
        <v>274</v>
      </c>
      <c r="C2" s="65"/>
      <c r="D2" s="66"/>
      <c r="F2" s="64" t="s">
        <v>277</v>
      </c>
      <c r="G2" s="65"/>
      <c r="H2" s="66"/>
      <c r="J2" s="64" t="s">
        <v>280</v>
      </c>
      <c r="K2" s="65"/>
      <c r="L2" s="66"/>
      <c r="N2" s="64" t="s">
        <v>283</v>
      </c>
      <c r="O2" s="65"/>
      <c r="P2" s="66"/>
    </row>
    <row r="3" spans="2:16" ht="13.5" customHeight="1" thickBot="1" x14ac:dyDescent="0.3">
      <c r="B3" s="5" t="s">
        <v>268</v>
      </c>
      <c r="C3" s="6" t="s">
        <v>2670</v>
      </c>
      <c r="D3" s="7" t="s">
        <v>2671</v>
      </c>
      <c r="F3" s="5" t="s">
        <v>268</v>
      </c>
      <c r="G3" s="6" t="s">
        <v>2670</v>
      </c>
      <c r="H3" s="7" t="s">
        <v>2671</v>
      </c>
      <c r="J3" s="5" t="s">
        <v>268</v>
      </c>
      <c r="K3" s="6" t="s">
        <v>2670</v>
      </c>
      <c r="L3" s="7" t="s">
        <v>2671</v>
      </c>
      <c r="N3" s="5" t="s">
        <v>268</v>
      </c>
      <c r="O3" s="6" t="s">
        <v>2670</v>
      </c>
      <c r="P3" s="7" t="s">
        <v>2671</v>
      </c>
    </row>
    <row r="4" spans="2:16" ht="13.5" customHeight="1" x14ac:dyDescent="0.25">
      <c r="B4" s="8" t="s">
        <v>275</v>
      </c>
      <c r="C4" s="9" t="str">
        <f>VLOOKUP(B4,PickedPlayers!D:G,4,FALSE)</f>
        <v>FWD</v>
      </c>
      <c r="D4" s="10" t="str">
        <f>VLOOKUP(B4,PickedPlayers!D:G,3,FALSE)</f>
        <v>France</v>
      </c>
      <c r="F4" s="8" t="s">
        <v>278</v>
      </c>
      <c r="G4" s="9" t="str">
        <f>VLOOKUP(F4,PickedPlayers!D:G,4,FALSE)</f>
        <v>FWD</v>
      </c>
      <c r="H4" s="10" t="str">
        <f>VLOOKUP(F4,PickedPlayers!D:G,3,FALSE)</f>
        <v>England</v>
      </c>
      <c r="J4" s="8" t="s">
        <v>281</v>
      </c>
      <c r="K4" s="9" t="str">
        <f>VLOOKUP(J4,PickedPlayers!D:G,4,FALSE)</f>
        <v>FWD</v>
      </c>
      <c r="L4" s="10" t="str">
        <f>VLOOKUP(J4,PickedPlayers!D:G,3,FALSE)</f>
        <v>Spain</v>
      </c>
      <c r="N4" s="8" t="s">
        <v>284</v>
      </c>
      <c r="O4" s="9" t="str">
        <f>VLOOKUP(N4,PickedPlayers!D:G,4,FALSE)</f>
        <v>FWD</v>
      </c>
      <c r="P4" s="10" t="str">
        <f>VLOOKUP(N4,PickedPlayers!D:G,3,FALSE)</f>
        <v>Spain</v>
      </c>
    </row>
    <row r="5" spans="2:16" ht="13.5" customHeight="1" x14ac:dyDescent="0.25">
      <c r="B5" s="8" t="s">
        <v>312</v>
      </c>
      <c r="C5" s="9" t="str">
        <f>VLOOKUP(B5,PickedPlayers!D:G,4,FALSE)</f>
        <v>MID</v>
      </c>
      <c r="D5" s="10" t="str">
        <f>VLOOKUP(B5,PickedPlayers!D:G,3,FALSE)</f>
        <v>England</v>
      </c>
      <c r="F5" s="8" t="s">
        <v>310</v>
      </c>
      <c r="G5" s="9" t="str">
        <f>VLOOKUP(F5,PickedPlayers!D:G,4,FALSE)</f>
        <v>MID</v>
      </c>
      <c r="H5" s="10" t="str">
        <f>VLOOKUP(F5,PickedPlayers!D:G,3,FALSE)</f>
        <v>Scotland</v>
      </c>
      <c r="J5" s="8" t="s">
        <v>308</v>
      </c>
      <c r="K5" s="9" t="str">
        <f>VLOOKUP(J5,PickedPlayers!D:G,4,FALSE)</f>
        <v>MID</v>
      </c>
      <c r="L5" s="10" t="str">
        <f>VLOOKUP(J5,PickedPlayers!D:G,3,FALSE)</f>
        <v>France</v>
      </c>
      <c r="N5" s="8" t="s">
        <v>306</v>
      </c>
      <c r="O5" s="9" t="str">
        <f>VLOOKUP(N5,PickedPlayers!D:G,4,FALSE)</f>
        <v>FWD</v>
      </c>
      <c r="P5" s="10" t="str">
        <f>VLOOKUP(N5,PickedPlayers!D:G,3,FALSE)</f>
        <v>Norway</v>
      </c>
    </row>
    <row r="6" spans="2:16" ht="13.5" customHeight="1" x14ac:dyDescent="0.25">
      <c r="B6" s="8" t="s">
        <v>322</v>
      </c>
      <c r="C6" s="9" t="str">
        <f>VLOOKUP(B6,PickedPlayers!D:G,4,FALSE)</f>
        <v>MID</v>
      </c>
      <c r="D6" s="10" t="str">
        <f>VLOOKUP(B6,PickedPlayers!D:G,3,FALSE)</f>
        <v>Belgium</v>
      </c>
      <c r="F6" s="8" t="s">
        <v>324</v>
      </c>
      <c r="G6" s="9" t="str">
        <f>VLOOKUP(F6,PickedPlayers!D:G,4,FALSE)</f>
        <v>FWD</v>
      </c>
      <c r="H6" s="10" t="str">
        <f>VLOOKUP(F6,PickedPlayers!D:G,3,FALSE)</f>
        <v>Belgium</v>
      </c>
      <c r="J6" s="8" t="s">
        <v>326</v>
      </c>
      <c r="K6" s="9" t="str">
        <f>VLOOKUP(J6,PickedPlayers!D:G,4,FALSE)</f>
        <v>MID</v>
      </c>
      <c r="L6" s="10" t="str">
        <f>VLOOKUP(J6,PickedPlayers!D:G,3,FALSE)</f>
        <v>Germany</v>
      </c>
      <c r="N6" s="8" t="s">
        <v>328</v>
      </c>
      <c r="O6" s="9" t="str">
        <f>VLOOKUP(N6,PickedPlayers!D:G,4,FALSE)</f>
        <v>MID</v>
      </c>
      <c r="P6" s="10" t="str">
        <f>VLOOKUP(N6,PickedPlayers!D:G,3,FALSE)</f>
        <v>Argentina</v>
      </c>
    </row>
    <row r="7" spans="2:16" ht="13.5" customHeight="1" x14ac:dyDescent="0.25">
      <c r="B7" s="8" t="s">
        <v>336</v>
      </c>
      <c r="C7" s="9" t="str">
        <f>VLOOKUP(B7,PickedPlayers!D:G,4,FALSE)</f>
        <v>DEF</v>
      </c>
      <c r="D7" s="10" t="str">
        <f>VLOOKUP(B7,PickedPlayers!D:G,3,FALSE)</f>
        <v>France</v>
      </c>
      <c r="F7" s="8" t="s">
        <v>334</v>
      </c>
      <c r="G7" s="9" t="str">
        <f>VLOOKUP(F7,PickedPlayers!D:G,4,FALSE)</f>
        <v>GK</v>
      </c>
      <c r="H7" s="10" t="str">
        <f>VLOOKUP(F7,PickedPlayers!D:G,3,FALSE)</f>
        <v>England</v>
      </c>
      <c r="J7" s="8" t="s">
        <v>332</v>
      </c>
      <c r="K7" s="9" t="str">
        <f>VLOOKUP(J7,PickedPlayers!D:G,4,FALSE)</f>
        <v>DEF</v>
      </c>
      <c r="L7" s="10" t="str">
        <f>VLOOKUP(J7,PickedPlayers!D:G,3,FALSE)</f>
        <v>Morocco</v>
      </c>
      <c r="N7" s="8" t="s">
        <v>330</v>
      </c>
      <c r="O7" s="9" t="str">
        <f>VLOOKUP(N7,PickedPlayers!D:G,4,FALSE)</f>
        <v>MID</v>
      </c>
      <c r="P7" s="10" t="str">
        <f>VLOOKUP(N7,PickedPlayers!D:G,3,FALSE)</f>
        <v>Spain</v>
      </c>
    </row>
    <row r="8" spans="2:16" ht="13.5" customHeight="1" x14ac:dyDescent="0.25">
      <c r="B8" s="8" t="s">
        <v>348</v>
      </c>
      <c r="C8" s="9" t="str">
        <f>VLOOKUP(B8,PickedPlayers!D:G,4,FALSE)</f>
        <v>DEF</v>
      </c>
      <c r="D8" s="10" t="str">
        <f>VLOOKUP(B8,PickedPlayers!D:G,3,FALSE)</f>
        <v>Portugal</v>
      </c>
      <c r="F8" s="8" t="s">
        <v>346</v>
      </c>
      <c r="G8" s="9" t="str">
        <f>VLOOKUP(F8,PickedPlayers!D:G,4,FALSE)</f>
        <v>FWD</v>
      </c>
      <c r="H8" s="10" t="str">
        <f>VLOOKUP(F8,PickedPlayers!D:G,3,FALSE)</f>
        <v>Spain</v>
      </c>
      <c r="J8" s="8" t="s">
        <v>352</v>
      </c>
      <c r="K8" s="9" t="str">
        <f>VLOOKUP(J8,PickedPlayers!D:G,4,FALSE)</f>
        <v>GK</v>
      </c>
      <c r="L8" s="10" t="str">
        <f>VLOOKUP(J8,PickedPlayers!D:G,3,FALSE)</f>
        <v>Spain</v>
      </c>
      <c r="N8" s="8" t="s">
        <v>350</v>
      </c>
      <c r="O8" s="9" t="str">
        <f>VLOOKUP(N8,PickedPlayers!D:G,4,FALSE)</f>
        <v>DEF</v>
      </c>
      <c r="P8" s="10" t="str">
        <f>VLOOKUP(N8,PickedPlayers!D:G,3,FALSE)</f>
        <v>England</v>
      </c>
    </row>
    <row r="9" spans="2:16" ht="13.5" customHeight="1" x14ac:dyDescent="0.25">
      <c r="B9" s="8" t="s">
        <v>374</v>
      </c>
      <c r="C9" s="9" t="str">
        <f>VLOOKUP(B9,PickedPlayers!D:G,4,FALSE)</f>
        <v>FWD</v>
      </c>
      <c r="D9" s="10" t="str">
        <f>VLOOKUP(B9,PickedPlayers!D:G,3,FALSE)</f>
        <v>Argentina</v>
      </c>
      <c r="F9" s="8" t="s">
        <v>376</v>
      </c>
      <c r="G9" s="9" t="str">
        <f>VLOOKUP(F9,PickedPlayers!D:G,4,FALSE)</f>
        <v>DEF</v>
      </c>
      <c r="H9" s="10" t="str">
        <f>VLOOKUP(F9,PickedPlayers!D:G,3,FALSE)</f>
        <v>France</v>
      </c>
      <c r="J9" s="8" t="s">
        <v>370</v>
      </c>
      <c r="K9" s="9" t="str">
        <f>VLOOKUP(J9,PickedPlayers!D:G,4,FALSE)</f>
        <v>DEF</v>
      </c>
      <c r="L9" s="10" t="str">
        <f>VLOOKUP(J9,PickedPlayers!D:G,3,FALSE)</f>
        <v>Spain</v>
      </c>
      <c r="N9" s="8" t="s">
        <v>372</v>
      </c>
      <c r="O9" s="9" t="str">
        <f>VLOOKUP(N9,PickedPlayers!D:G,4,FALSE)</f>
        <v>GK</v>
      </c>
      <c r="P9" s="10" t="str">
        <f>VLOOKUP(N9,PickedPlayers!D:G,3,FALSE)</f>
        <v>Brazil</v>
      </c>
    </row>
    <row r="10" spans="2:16" ht="13.5" customHeight="1" x14ac:dyDescent="0.25">
      <c r="B10" s="8" t="s">
        <v>388</v>
      </c>
      <c r="C10" s="9" t="str">
        <f>VLOOKUP(B10,PickedPlayers!D:G,4,FALSE)</f>
        <v>MID</v>
      </c>
      <c r="D10" s="10" t="str">
        <f>VLOOKUP(B10,PickedPlayers!D:G,3,FALSE)</f>
        <v>Uruguay</v>
      </c>
      <c r="F10" s="8" t="s">
        <v>386</v>
      </c>
      <c r="G10" s="9" t="str">
        <f>VLOOKUP(F10,PickedPlayers!D:G,4,FALSE)</f>
        <v>MID</v>
      </c>
      <c r="H10" s="10" t="str">
        <f>VLOOKUP(F10,PickedPlayers!D:G,3,FALSE)</f>
        <v>USA</v>
      </c>
      <c r="J10" s="8" t="s">
        <v>392</v>
      </c>
      <c r="K10" s="9" t="str">
        <f>VLOOKUP(J10,PickedPlayers!D:G,4,FALSE)</f>
        <v>FWD</v>
      </c>
      <c r="L10" s="10" t="str">
        <f>VLOOKUP(J10,PickedPlayers!D:G,3,FALSE)</f>
        <v>Sweden</v>
      </c>
      <c r="N10" s="8" t="s">
        <v>390</v>
      </c>
      <c r="O10" s="9" t="str">
        <f>VLOOKUP(N10,PickedPlayers!D:G,4,FALSE)</f>
        <v>DEF</v>
      </c>
      <c r="P10" s="10" t="str">
        <f>VLOOKUP(N10,PickedPlayers!D:G,3,FALSE)</f>
        <v>Germany</v>
      </c>
    </row>
    <row r="11" spans="2:16" ht="13.5" customHeight="1" x14ac:dyDescent="0.25">
      <c r="B11" s="8" t="s">
        <v>398</v>
      </c>
      <c r="C11" s="9" t="str">
        <f>VLOOKUP(B11,PickedPlayers!D:G,4,FALSE)</f>
        <v>DEF</v>
      </c>
      <c r="D11" s="10" t="str">
        <f>VLOOKUP(B11,PickedPlayers!D:G,3,FALSE)</f>
        <v>Spain</v>
      </c>
      <c r="F11" s="8" t="s">
        <v>400</v>
      </c>
      <c r="G11" s="9" t="str">
        <f>VLOOKUP(F11,PickedPlayers!D:G,4,FALSE)</f>
        <v>FWD</v>
      </c>
      <c r="H11" s="10" t="str">
        <f>VLOOKUP(F11,PickedPlayers!D:G,3,FALSE)</f>
        <v>Brazil</v>
      </c>
      <c r="J11" s="8" t="s">
        <v>394</v>
      </c>
      <c r="K11" s="9" t="str">
        <f>VLOOKUP(J11,PickedPlayers!D:G,4,FALSE)</f>
        <v>DEF</v>
      </c>
      <c r="L11" s="10" t="str">
        <f>VLOOKUP(J11,PickedPlayers!D:G,3,FALSE)</f>
        <v>Croatia</v>
      </c>
      <c r="N11" s="8" t="s">
        <v>396</v>
      </c>
      <c r="O11" s="9" t="str">
        <f>VLOOKUP(N11,PickedPlayers!D:G,4,FALSE)</f>
        <v>MID</v>
      </c>
      <c r="P11" s="10" t="str">
        <f>VLOOKUP(N11,PickedPlayers!D:G,3,FALSE)</f>
        <v>England</v>
      </c>
    </row>
    <row r="12" spans="2:16" ht="13.5" customHeight="1" x14ac:dyDescent="0.25">
      <c r="B12" s="8" t="s">
        <v>414</v>
      </c>
      <c r="C12" s="9" t="str">
        <f>VLOOKUP(B12,PickedPlayers!D:G,4,FALSE)</f>
        <v>FWD</v>
      </c>
      <c r="D12" s="10" t="str">
        <f>VLOOKUP(B12,PickedPlayers!D:G,3,FALSE)</f>
        <v>Uruguay</v>
      </c>
      <c r="F12" s="8" t="s">
        <v>416</v>
      </c>
      <c r="G12" s="9" t="str">
        <f>VLOOKUP(F12,PickedPlayers!D:G,4,FALSE)</f>
        <v>MID</v>
      </c>
      <c r="H12" s="10" t="str">
        <f>VLOOKUP(F12,PickedPlayers!D:G,3,FALSE)</f>
        <v>Norway</v>
      </c>
      <c r="J12" s="8" t="s">
        <v>410</v>
      </c>
      <c r="K12" s="9" t="str">
        <f>VLOOKUP(J12,PickedPlayers!D:G,4,FALSE)</f>
        <v>MID</v>
      </c>
      <c r="L12" s="10" t="str">
        <f>VLOOKUP(J12,PickedPlayers!D:G,3,FALSE)</f>
        <v>Portugal</v>
      </c>
      <c r="N12" s="8" t="s">
        <v>412</v>
      </c>
      <c r="O12" s="9" t="str">
        <f>VLOOKUP(N12,PickedPlayers!D:G,4,FALSE)</f>
        <v>MID</v>
      </c>
      <c r="P12" s="10" t="str">
        <f>VLOOKUP(N12,PickedPlayers!D:G,3,FALSE)</f>
        <v>France</v>
      </c>
    </row>
    <row r="13" spans="2:16" ht="13.5" customHeight="1" x14ac:dyDescent="0.25">
      <c r="B13" s="8" t="s">
        <v>436</v>
      </c>
      <c r="C13" s="9" t="str">
        <f>VLOOKUP(B13,PickedPlayers!D:G,4,FALSE)</f>
        <v>DEF</v>
      </c>
      <c r="D13" s="10" t="str">
        <f>VLOOKUP(B13,PickedPlayers!D:G,3,FALSE)</f>
        <v>Germany</v>
      </c>
      <c r="F13" s="8" t="s">
        <v>434</v>
      </c>
      <c r="G13" s="9" t="str">
        <f>VLOOKUP(F13,PickedPlayers!D:G,4,FALSE)</f>
        <v>MID</v>
      </c>
      <c r="H13" s="10" t="str">
        <f>VLOOKUP(F13,PickedPlayers!D:G,3,FALSE)</f>
        <v>Turkey</v>
      </c>
      <c r="J13" s="8" t="s">
        <v>440</v>
      </c>
      <c r="K13" s="9" t="str">
        <f>VLOOKUP(J13,PickedPlayers!D:G,4,FALSE)</f>
        <v>FWD</v>
      </c>
      <c r="L13" s="10" t="str">
        <f>VLOOKUP(J13,PickedPlayers!D:G,3,FALSE)</f>
        <v>South Korea</v>
      </c>
      <c r="N13" s="8" t="s">
        <v>438</v>
      </c>
      <c r="O13" s="9" t="str">
        <f>VLOOKUP(N13,PickedPlayers!D:G,4,FALSE)</f>
        <v>FWD</v>
      </c>
      <c r="P13" s="10" t="str">
        <f>VLOOKUP(N13,PickedPlayers!D:G,3,FALSE)</f>
        <v>Switzerland</v>
      </c>
    </row>
    <row r="14" spans="2:16" ht="13.5" customHeight="1" x14ac:dyDescent="0.25">
      <c r="B14" s="8" t="s">
        <v>454</v>
      </c>
      <c r="C14" s="9" t="str">
        <f>VLOOKUP(B14,PickedPlayers!D:G,4,FALSE)</f>
        <v>DEF</v>
      </c>
      <c r="D14" s="10" t="str">
        <f>VLOOKUP(B14,PickedPlayers!D:G,3,FALSE)</f>
        <v>England</v>
      </c>
      <c r="F14" s="8" t="s">
        <v>456</v>
      </c>
      <c r="G14" s="9" t="str">
        <f>VLOOKUP(F14,PickedPlayers!D:G,4,FALSE)</f>
        <v>DEF</v>
      </c>
      <c r="H14" s="10" t="str">
        <f>VLOOKUP(F14,PickedPlayers!D:G,3,FALSE)</f>
        <v>USA</v>
      </c>
      <c r="J14" s="8" t="s">
        <v>450</v>
      </c>
      <c r="K14" s="9" t="str">
        <f>VLOOKUP(J14,PickedPlayers!D:G,4,FALSE)</f>
        <v>DEF</v>
      </c>
      <c r="L14" s="10" t="str">
        <f>VLOOKUP(J14,PickedPlayers!D:G,3,FALSE)</f>
        <v>England</v>
      </c>
      <c r="N14" s="8" t="s">
        <v>452</v>
      </c>
      <c r="O14" s="9" t="str">
        <f>VLOOKUP(N14,PickedPlayers!D:G,4,FALSE)</f>
        <v>DEF</v>
      </c>
      <c r="P14" s="10" t="str">
        <f>VLOOKUP(N14,PickedPlayers!D:G,3,FALSE)</f>
        <v>Brazil</v>
      </c>
    </row>
    <row r="15" spans="2:16" ht="13.5" customHeight="1" x14ac:dyDescent="0.25">
      <c r="B15" s="8" t="s">
        <v>460</v>
      </c>
      <c r="C15" s="9" t="str">
        <f>VLOOKUP(B15,PickedPlayers!D:G,4,FALSE)</f>
        <v>FWD</v>
      </c>
      <c r="D15" s="10" t="str">
        <f>VLOOKUP(B15,PickedPlayers!D:G,3,FALSE)</f>
        <v>Belgium</v>
      </c>
      <c r="F15" s="8" t="s">
        <v>458</v>
      </c>
      <c r="G15" s="9" t="str">
        <f>VLOOKUP(F15,PickedPlayers!D:G,4,FALSE)</f>
        <v>DEF</v>
      </c>
      <c r="H15" s="10" t="str">
        <f>VLOOKUP(F15,PickedPlayers!D:G,3,FALSE)</f>
        <v>Croatia</v>
      </c>
      <c r="J15" s="8" t="s">
        <v>464</v>
      </c>
      <c r="K15" s="9" t="str">
        <f>VLOOKUP(J15,PickedPlayers!D:G,4,FALSE)</f>
        <v>DEF</v>
      </c>
      <c r="L15" s="10" t="str">
        <f>VLOOKUP(J15,PickedPlayers!D:G,3,FALSE)</f>
        <v>Netherlands</v>
      </c>
      <c r="N15" s="8" t="s">
        <v>462</v>
      </c>
      <c r="O15" s="9" t="str">
        <f>VLOOKUP(N15,PickedPlayers!D:G,4,FALSE)</f>
        <v>DEF</v>
      </c>
      <c r="P15" s="10" t="str">
        <f>VLOOKUP(N15,PickedPlayers!D:G,3,FALSE)</f>
        <v>Portugal</v>
      </c>
    </row>
    <row r="16" spans="2:16" ht="13.5" customHeight="1" x14ac:dyDescent="0.25">
      <c r="B16" s="8" t="s">
        <v>479</v>
      </c>
      <c r="C16" s="9" t="str">
        <f>VLOOKUP(B16,PickedPlayers!D:G,4,FALSE)</f>
        <v>FWD</v>
      </c>
      <c r="D16" s="10" t="str">
        <f>VLOOKUP(B16,PickedPlayers!D:G,3,FALSE)</f>
        <v>France</v>
      </c>
      <c r="F16" s="8" t="s">
        <v>477</v>
      </c>
      <c r="G16" s="9" t="str">
        <f>VLOOKUP(F16,PickedPlayers!D:G,4,FALSE)</f>
        <v>DEF</v>
      </c>
      <c r="H16" s="10" t="str">
        <f>VLOOKUP(F16,PickedPlayers!D:G,3,FALSE)</f>
        <v>Argentina</v>
      </c>
      <c r="J16" s="8" t="s">
        <v>475</v>
      </c>
      <c r="K16" s="9" t="str">
        <f>VLOOKUP(J16,PickedPlayers!D:G,4,FALSE)</f>
        <v>MID</v>
      </c>
      <c r="L16" s="10" t="str">
        <f>VLOOKUP(J16,PickedPlayers!D:G,3,FALSE)</f>
        <v>Netherlands</v>
      </c>
      <c r="N16" s="8" t="s">
        <v>473</v>
      </c>
      <c r="O16" s="9" t="str">
        <f>VLOOKUP(N16,PickedPlayers!D:G,4,FALSE)</f>
        <v>DEF</v>
      </c>
      <c r="P16" s="10" t="str">
        <f>VLOOKUP(N16,PickedPlayers!D:G,3,FALSE)</f>
        <v>South Korea</v>
      </c>
    </row>
    <row r="17" spans="2:16" ht="13.5" customHeight="1" x14ac:dyDescent="0.25">
      <c r="B17" s="8" t="s">
        <v>497</v>
      </c>
      <c r="C17" s="9" t="str">
        <f>VLOOKUP(B17,PickedPlayers!D:G,4,FALSE)</f>
        <v>GK</v>
      </c>
      <c r="D17" s="10" t="str">
        <f>VLOOKUP(B17,PickedPlayers!D:G,3,FALSE)</f>
        <v>Brazil</v>
      </c>
      <c r="F17" s="8" t="s">
        <v>499</v>
      </c>
      <c r="G17" s="9" t="str">
        <f>VLOOKUP(F17,PickedPlayers!D:G,4,FALSE)</f>
        <v>FWD</v>
      </c>
      <c r="H17" s="10" t="str">
        <f>VLOOKUP(F17,PickedPlayers!D:G,3,FALSE)</f>
        <v>England</v>
      </c>
      <c r="J17" s="8" t="s">
        <v>501</v>
      </c>
      <c r="K17" s="9" t="str">
        <f>VLOOKUP(J17,PickedPlayers!D:G,4,FALSE)</f>
        <v>MID</v>
      </c>
      <c r="L17" s="10" t="str">
        <f>VLOOKUP(J17,PickedPlayers!D:G,3,FALSE)</f>
        <v>Norway</v>
      </c>
      <c r="N17" s="8" t="s">
        <v>503</v>
      </c>
      <c r="O17" s="9" t="str">
        <f>VLOOKUP(N17,PickedPlayers!D:G,4,FALSE)</f>
        <v>FWD</v>
      </c>
      <c r="P17" s="10" t="str">
        <f>VLOOKUP(N17,PickedPlayers!D:G,3,FALSE)</f>
        <v>Sweden</v>
      </c>
    </row>
    <row r="18" spans="2:16" ht="13.5" customHeight="1" x14ac:dyDescent="0.25">
      <c r="B18" s="8" t="s">
        <v>519</v>
      </c>
      <c r="C18" s="9" t="str">
        <f>VLOOKUP(B18,PickedPlayers!D:G,4,FALSE)</f>
        <v>MID</v>
      </c>
      <c r="D18" s="10" t="str">
        <f>VLOOKUP(B18,PickedPlayers!D:G,3,FALSE)</f>
        <v>Spain</v>
      </c>
      <c r="F18" s="8" t="s">
        <v>517</v>
      </c>
      <c r="G18" s="9" t="str">
        <f>VLOOKUP(F18,PickedPlayers!D:G,4,FALSE)</f>
        <v>GK</v>
      </c>
      <c r="H18" s="10" t="str">
        <f>VLOOKUP(F18,PickedPlayers!D:G,3,FALSE)</f>
        <v>Japan</v>
      </c>
      <c r="J18" s="8" t="s">
        <v>515</v>
      </c>
      <c r="K18" s="9" t="str">
        <f>VLOOKUP(J18,PickedPlayers!D:G,4,FALSE)</f>
        <v>FWD</v>
      </c>
      <c r="L18" s="10" t="str">
        <f>VLOOKUP(J18,PickedPlayers!D:G,3,FALSE)</f>
        <v>England</v>
      </c>
      <c r="N18" s="8" t="s">
        <v>513</v>
      </c>
      <c r="O18" s="9" t="str">
        <f>VLOOKUP(N18,PickedPlayers!D:G,4,FALSE)</f>
        <v>GK</v>
      </c>
      <c r="P18" s="10" t="str">
        <f>VLOOKUP(N18,PickedPlayers!D:G,3,FALSE)</f>
        <v>USA</v>
      </c>
    </row>
    <row r="19" spans="2:16" ht="13.5" customHeight="1" thickBot="1" x14ac:dyDescent="0.3">
      <c r="B19" s="11" t="s">
        <v>521</v>
      </c>
      <c r="C19" s="12" t="str">
        <f>VLOOKUP(B19,PickedPlayers!D:G,4,FALSE)</f>
        <v>GK</v>
      </c>
      <c r="D19" s="13" t="str">
        <f>VLOOKUP(B19,PickedPlayers!D:G,3,FALSE)</f>
        <v>Morocco</v>
      </c>
      <c r="F19" s="11" t="s">
        <v>523</v>
      </c>
      <c r="G19" s="12" t="str">
        <f>VLOOKUP(F19,PickedPlayers!D:G,4,FALSE)</f>
        <v>DEF</v>
      </c>
      <c r="H19" s="13" t="str">
        <f>VLOOKUP(F19,PickedPlayers!D:G,3,FALSE)</f>
        <v>Colombia</v>
      </c>
      <c r="J19" s="11" t="s">
        <v>525</v>
      </c>
      <c r="K19" s="12" t="str">
        <f>VLOOKUP(J19,PickedPlayers!D:G,4,FALSE)</f>
        <v>GK</v>
      </c>
      <c r="L19" s="13" t="str">
        <f>VLOOKUP(J19,PickedPlayers!D:G,3,FALSE)</f>
        <v>Croatia</v>
      </c>
      <c r="N19" s="11" t="s">
        <v>527</v>
      </c>
      <c r="O19" s="12" t="str">
        <f>VLOOKUP(N19,PickedPlayers!D:G,4,FALSE)</f>
        <v>FWD</v>
      </c>
      <c r="P19" s="13" t="str">
        <f>VLOOKUP(N19,PickedPlayers!D:G,3,FALSE)</f>
        <v>South Africa</v>
      </c>
    </row>
    <row r="20" spans="2:16" ht="5.25" customHeight="1" x14ac:dyDescent="0.25"/>
    <row r="21" spans="2:16" s="15" customFormat="1" ht="8.25" customHeight="1" x14ac:dyDescent="0.2">
      <c r="C21" s="15" t="s">
        <v>272</v>
      </c>
      <c r="D21" s="15" t="s">
        <v>2672</v>
      </c>
      <c r="G21" s="15" t="s">
        <v>272</v>
      </c>
      <c r="H21" s="15" t="s">
        <v>2672</v>
      </c>
      <c r="K21" s="15" t="s">
        <v>272</v>
      </c>
      <c r="L21" s="15" t="s">
        <v>2672</v>
      </c>
      <c r="O21" s="15" t="s">
        <v>272</v>
      </c>
      <c r="P21" s="15" t="s">
        <v>2672</v>
      </c>
    </row>
    <row r="22" spans="2:16" s="15" customFormat="1" ht="12" x14ac:dyDescent="0.2">
      <c r="B22" s="15" t="s">
        <v>2673</v>
      </c>
      <c r="C22" s="15">
        <f>COUNTIF(C4:C19,"GK")</f>
        <v>2</v>
      </c>
      <c r="D22" s="15">
        <v>2</v>
      </c>
      <c r="F22" s="15" t="s">
        <v>2673</v>
      </c>
      <c r="G22" s="15">
        <f>COUNTIF(G4:G19,"GK")</f>
        <v>2</v>
      </c>
      <c r="H22" s="15">
        <v>2</v>
      </c>
      <c r="J22" s="15" t="s">
        <v>2673</v>
      </c>
      <c r="K22" s="15">
        <f>COUNTIF(K4:K19,"GK")</f>
        <v>2</v>
      </c>
      <c r="L22" s="15">
        <v>2</v>
      </c>
      <c r="N22" s="15" t="s">
        <v>2673</v>
      </c>
      <c r="O22" s="15">
        <f>COUNTIF(O4:O19,"GK")</f>
        <v>2</v>
      </c>
      <c r="P22" s="15">
        <v>2</v>
      </c>
    </row>
    <row r="23" spans="2:16" s="15" customFormat="1" ht="12" x14ac:dyDescent="0.2">
      <c r="B23" s="15" t="s">
        <v>2674</v>
      </c>
      <c r="C23" s="15">
        <f>COUNTIF(C4:C19,"DEF")</f>
        <v>5</v>
      </c>
      <c r="D23" s="15">
        <v>5</v>
      </c>
      <c r="F23" s="15" t="s">
        <v>2674</v>
      </c>
      <c r="G23" s="15">
        <f>COUNTIF(G4:G19,"DEF")</f>
        <v>5</v>
      </c>
      <c r="H23" s="15">
        <v>5</v>
      </c>
      <c r="J23" s="15" t="s">
        <v>2674</v>
      </c>
      <c r="K23" s="15">
        <f>COUNTIF(K4:K19,"DEF")</f>
        <v>5</v>
      </c>
      <c r="L23" s="15">
        <v>5</v>
      </c>
      <c r="N23" s="15" t="s">
        <v>2674</v>
      </c>
      <c r="O23" s="15">
        <f>COUNTIF(O4:O19,"DEF")</f>
        <v>5</v>
      </c>
      <c r="P23" s="15">
        <v>5</v>
      </c>
    </row>
    <row r="24" spans="2:16" s="15" customFormat="1" ht="12" x14ac:dyDescent="0.2">
      <c r="B24" s="15" t="s">
        <v>2675</v>
      </c>
      <c r="C24" s="15">
        <f>COUNTIF(C4:C19,"MID")</f>
        <v>4</v>
      </c>
      <c r="D24" s="16" t="s">
        <v>2676</v>
      </c>
      <c r="F24" s="15" t="s">
        <v>2675</v>
      </c>
      <c r="G24" s="15">
        <f>COUNTIF(G4:G19,"MID")</f>
        <v>4</v>
      </c>
      <c r="H24" s="16" t="s">
        <v>2676</v>
      </c>
      <c r="J24" s="15" t="s">
        <v>2675</v>
      </c>
      <c r="K24" s="15">
        <f>COUNTIF(K4:K19,"MID")</f>
        <v>5</v>
      </c>
      <c r="L24" s="16" t="s">
        <v>2676</v>
      </c>
      <c r="N24" s="15" t="s">
        <v>2675</v>
      </c>
      <c r="O24" s="15">
        <f>COUNTIF(O4:O19,"MID")</f>
        <v>4</v>
      </c>
      <c r="P24" s="16" t="s">
        <v>2676</v>
      </c>
    </row>
    <row r="25" spans="2:16" s="15" customFormat="1" ht="12" x14ac:dyDescent="0.2">
      <c r="B25" s="15" t="s">
        <v>2677</v>
      </c>
      <c r="C25" s="15">
        <f>COUNTIF(C4:C19,"FWD")</f>
        <v>5</v>
      </c>
      <c r="D25" s="16" t="s">
        <v>2676</v>
      </c>
      <c r="F25" s="15" t="s">
        <v>2677</v>
      </c>
      <c r="G25" s="15">
        <f>COUNTIF(G4:G19,"FWD")</f>
        <v>5</v>
      </c>
      <c r="H25" s="16" t="s">
        <v>2676</v>
      </c>
      <c r="J25" s="15" t="s">
        <v>2677</v>
      </c>
      <c r="K25" s="15">
        <f>COUNTIF(K4:K19,"FWD")</f>
        <v>4</v>
      </c>
      <c r="L25" s="16" t="s">
        <v>2676</v>
      </c>
      <c r="N25" s="15" t="s">
        <v>2677</v>
      </c>
      <c r="O25" s="15">
        <f>COUNTIF(O4:O19,"FWD")</f>
        <v>5</v>
      </c>
      <c r="P25" s="16" t="s">
        <v>2676</v>
      </c>
    </row>
    <row r="26" spans="2:16" ht="6.75" customHeight="1" thickBot="1" x14ac:dyDescent="0.3"/>
    <row r="27" spans="2:16" s="15" customFormat="1" ht="12.75" thickBot="1" x14ac:dyDescent="0.25">
      <c r="B27" s="61" t="s">
        <v>286</v>
      </c>
      <c r="C27" s="62"/>
      <c r="D27" s="63"/>
      <c r="E27" s="17"/>
      <c r="F27" s="61" t="s">
        <v>289</v>
      </c>
      <c r="G27" s="62"/>
      <c r="H27" s="63"/>
      <c r="I27" s="17"/>
      <c r="J27" s="61" t="s">
        <v>292</v>
      </c>
      <c r="K27" s="62"/>
      <c r="L27" s="63"/>
      <c r="M27" s="17"/>
      <c r="N27" s="61" t="s">
        <v>295</v>
      </c>
      <c r="O27" s="62"/>
      <c r="P27" s="63"/>
    </row>
    <row r="28" spans="2:16" ht="11.25" customHeight="1" thickBot="1" x14ac:dyDescent="0.3">
      <c r="B28" s="5" t="s">
        <v>268</v>
      </c>
      <c r="C28" s="6" t="s">
        <v>2670</v>
      </c>
      <c r="D28" s="7" t="s">
        <v>2671</v>
      </c>
      <c r="F28" s="5" t="s">
        <v>268</v>
      </c>
      <c r="G28" s="6" t="s">
        <v>2670</v>
      </c>
      <c r="H28" s="7" t="s">
        <v>2671</v>
      </c>
      <c r="J28" s="5" t="s">
        <v>268</v>
      </c>
      <c r="K28" s="6" t="s">
        <v>2670</v>
      </c>
      <c r="L28" s="7" t="s">
        <v>2671</v>
      </c>
      <c r="N28" s="5" t="s">
        <v>268</v>
      </c>
      <c r="O28" s="6" t="s">
        <v>2670</v>
      </c>
      <c r="P28" s="7" t="s">
        <v>2671</v>
      </c>
    </row>
    <row r="29" spans="2:16" ht="11.25" customHeight="1" x14ac:dyDescent="0.25">
      <c r="B29" s="8" t="s">
        <v>287</v>
      </c>
      <c r="C29" s="9" t="str">
        <f>VLOOKUP(B29,PickedPlayers!D:G,4,FALSE)</f>
        <v>FWD</v>
      </c>
      <c r="D29" s="10" t="str">
        <f>VLOOKUP(B29,PickedPlayers!D:G,3,FALSE)</f>
        <v>France</v>
      </c>
      <c r="F29" s="8" t="s">
        <v>290</v>
      </c>
      <c r="G29" s="9" t="str">
        <f>VLOOKUP(F29,PickedPlayers!D:G,4,FALSE)</f>
        <v>FWD</v>
      </c>
      <c r="H29" s="10" t="str">
        <f>VLOOKUP(F29,PickedPlayers!D:G,3,FALSE)</f>
        <v>Argentina</v>
      </c>
      <c r="J29" s="8" t="s">
        <v>293</v>
      </c>
      <c r="K29" s="9" t="str">
        <f>VLOOKUP(J29,PickedPlayers!D:G,4,FALSE)</f>
        <v>MID</v>
      </c>
      <c r="L29" s="10" t="str">
        <f>VLOOKUP(J29,PickedPlayers!D:G,3,FALSE)</f>
        <v>Portugal</v>
      </c>
      <c r="N29" s="8" t="s">
        <v>296</v>
      </c>
      <c r="O29" s="9" t="str">
        <f>VLOOKUP(N29,PickedPlayers!D:G,4,FALSE)</f>
        <v>FWD</v>
      </c>
      <c r="P29" s="10" t="str">
        <f>VLOOKUP(N29,PickedPlayers!D:G,3,FALSE)</f>
        <v>Portugal</v>
      </c>
    </row>
    <row r="30" spans="2:16" ht="11.25" customHeight="1" x14ac:dyDescent="0.25">
      <c r="B30" s="8" t="s">
        <v>304</v>
      </c>
      <c r="C30" s="9" t="str">
        <f>VLOOKUP(B30,PickedPlayers!D:G,4,FALSE)</f>
        <v>FWD</v>
      </c>
      <c r="D30" s="10" t="str">
        <f>VLOOKUP(B30,PickedPlayers!D:G,3,FALSE)</f>
        <v>Brazil</v>
      </c>
      <c r="F30" s="8" t="s">
        <v>302</v>
      </c>
      <c r="G30" s="9" t="str">
        <f>VLOOKUP(F30,PickedPlayers!D:G,4,FALSE)</f>
        <v>FWD</v>
      </c>
      <c r="H30" s="10" t="str">
        <f>VLOOKUP(F30,PickedPlayers!D:G,3,FALSE)</f>
        <v>Brazil</v>
      </c>
      <c r="J30" s="8" t="s">
        <v>300</v>
      </c>
      <c r="K30" s="9" t="str">
        <f>VLOOKUP(J30,PickedPlayers!D:G,4,FALSE)</f>
        <v>FWD</v>
      </c>
      <c r="L30" s="10" t="str">
        <f>VLOOKUP(J30,PickedPlayers!D:G,3,FALSE)</f>
        <v>Argentina</v>
      </c>
      <c r="N30" s="8" t="s">
        <v>298</v>
      </c>
      <c r="O30" s="9" t="str">
        <f>VLOOKUP(N30,PickedPlayers!D:G,4,FALSE)</f>
        <v>FWD</v>
      </c>
      <c r="P30" s="10" t="str">
        <f>VLOOKUP(N30,PickedPlayers!D:G,3,FALSE)</f>
        <v>Germany</v>
      </c>
    </row>
    <row r="31" spans="2:16" ht="11.25" customHeight="1" x14ac:dyDescent="0.25">
      <c r="B31" s="8" t="s">
        <v>314</v>
      </c>
      <c r="C31" s="9" t="str">
        <f>VLOOKUP(B31,PickedPlayers!D:G,4,FALSE)</f>
        <v>DEF</v>
      </c>
      <c r="D31" s="10" t="str">
        <f>VLOOKUP(B31,PickedPlayers!D:G,3,FALSE)</f>
        <v>Brazil</v>
      </c>
      <c r="F31" s="8" t="s">
        <v>316</v>
      </c>
      <c r="G31" s="9" t="str">
        <f>VLOOKUP(F31,PickedPlayers!D:G,4,FALSE)</f>
        <v>FWD</v>
      </c>
      <c r="H31" s="10" t="str">
        <f>VLOOKUP(F31,PickedPlayers!D:G,3,FALSE)</f>
        <v>Germany</v>
      </c>
      <c r="J31" s="8" t="s">
        <v>318</v>
      </c>
      <c r="K31" s="9" t="str">
        <f>VLOOKUP(J31,PickedPlayers!D:G,4,FALSE)</f>
        <v>FWD</v>
      </c>
      <c r="L31" s="10" t="str">
        <f>VLOOKUP(J31,PickedPlayers!D:G,3,FALSE)</f>
        <v>England</v>
      </c>
      <c r="N31" s="8" t="s">
        <v>320</v>
      </c>
      <c r="O31" s="9" t="str">
        <f>VLOOKUP(N31,PickedPlayers!D:G,4,FALSE)</f>
        <v>MID</v>
      </c>
      <c r="P31" s="10" t="str">
        <f>VLOOKUP(N31,PickedPlayers!D:G,3,FALSE)</f>
        <v>Germany</v>
      </c>
    </row>
    <row r="32" spans="2:16" ht="11.25" customHeight="1" x14ac:dyDescent="0.25">
      <c r="B32" s="8" t="s">
        <v>344</v>
      </c>
      <c r="C32" s="9" t="str">
        <f>VLOOKUP(B32,PickedPlayers!D:G,4,FALSE)</f>
        <v>GK</v>
      </c>
      <c r="D32" s="10" t="str">
        <f>VLOOKUP(B32,PickedPlayers!D:G,3,FALSE)</f>
        <v>Belgium</v>
      </c>
      <c r="F32" s="8" t="s">
        <v>342</v>
      </c>
      <c r="G32" s="9" t="str">
        <f>VLOOKUP(F32,PickedPlayers!D:G,4,FALSE)</f>
        <v>MID</v>
      </c>
      <c r="H32" s="10" t="str">
        <f>VLOOKUP(F32,PickedPlayers!D:G,3,FALSE)</f>
        <v>Germany</v>
      </c>
      <c r="J32" s="8" t="s">
        <v>340</v>
      </c>
      <c r="K32" s="9" t="str">
        <f>VLOOKUP(J32,PickedPlayers!D:G,4,FALSE)</f>
        <v>GK</v>
      </c>
      <c r="L32" s="10" t="str">
        <f>VLOOKUP(J32,PickedPlayers!D:G,3,FALSE)</f>
        <v>Argentina</v>
      </c>
      <c r="N32" s="8" t="s">
        <v>338</v>
      </c>
      <c r="O32" s="9" t="str">
        <f>VLOOKUP(N32,PickedPlayers!D:G,4,FALSE)</f>
        <v>MID</v>
      </c>
      <c r="P32" s="10" t="str">
        <f>VLOOKUP(N32,PickedPlayers!D:G,3,FALSE)</f>
        <v>France</v>
      </c>
    </row>
    <row r="33" spans="2:16" ht="11.25" customHeight="1" x14ac:dyDescent="0.25">
      <c r="B33" s="8" t="s">
        <v>356</v>
      </c>
      <c r="C33" s="9" t="str">
        <f>VLOOKUP(B33,PickedPlayers!D:G,4,FALSE)</f>
        <v>DEF</v>
      </c>
      <c r="D33" s="10" t="str">
        <f>VLOOKUP(B33,PickedPlayers!D:G,3,FALSE)</f>
        <v>England</v>
      </c>
      <c r="F33" s="8" t="s">
        <v>354</v>
      </c>
      <c r="G33" s="9" t="str">
        <f>VLOOKUP(F33,PickedPlayers!D:G,4,FALSE)</f>
        <v>FWD</v>
      </c>
      <c r="H33" s="10" t="str">
        <f>VLOOKUP(F33,PickedPlayers!D:G,3,FALSE)</f>
        <v>France</v>
      </c>
      <c r="J33" s="8" t="s">
        <v>360</v>
      </c>
      <c r="K33" s="9" t="str">
        <f>VLOOKUP(J33,PickedPlayers!D:G,4,FALSE)</f>
        <v>FWD</v>
      </c>
      <c r="L33" s="10" t="str">
        <f>VLOOKUP(J33,PickedPlayers!D:G,3,FALSE)</f>
        <v>Colombia</v>
      </c>
      <c r="N33" s="8" t="s">
        <v>358</v>
      </c>
      <c r="O33" s="9" t="str">
        <f>VLOOKUP(N33,PickedPlayers!D:G,4,FALSE)</f>
        <v>DEF</v>
      </c>
      <c r="P33" s="10" t="str">
        <f>VLOOKUP(N33,PickedPlayers!D:G,3,FALSE)</f>
        <v>France</v>
      </c>
    </row>
    <row r="34" spans="2:16" ht="11.25" customHeight="1" x14ac:dyDescent="0.25">
      <c r="B34" s="8" t="s">
        <v>366</v>
      </c>
      <c r="C34" s="9" t="str">
        <f>VLOOKUP(B34,PickedPlayers!D:G,4,FALSE)</f>
        <v>FWD</v>
      </c>
      <c r="D34" s="10" t="str">
        <f>VLOOKUP(B34,PickedPlayers!D:G,3,FALSE)</f>
        <v>Portugal</v>
      </c>
      <c r="F34" s="8" t="s">
        <v>368</v>
      </c>
      <c r="G34" s="9" t="str">
        <f>VLOOKUP(F34,PickedPlayers!D:G,4,FALSE)</f>
        <v>GK</v>
      </c>
      <c r="H34" s="10" t="str">
        <f>VLOOKUP(F34,PickedPlayers!D:G,3,FALSE)</f>
        <v>France</v>
      </c>
      <c r="J34" s="8" t="s">
        <v>362</v>
      </c>
      <c r="K34" s="9" t="str">
        <f>VLOOKUP(J34,PickedPlayers!D:G,4,FALSE)</f>
        <v>DEF</v>
      </c>
      <c r="L34" s="10" t="str">
        <f>VLOOKUP(J34,PickedPlayers!D:G,3,FALSE)</f>
        <v>Netherlands</v>
      </c>
      <c r="N34" s="8" t="s">
        <v>364</v>
      </c>
      <c r="O34" s="9" t="str">
        <f>VLOOKUP(N34,PickedPlayers!D:G,4,FALSE)</f>
        <v>DEF</v>
      </c>
      <c r="P34" s="10" t="str">
        <f>VLOOKUP(N34,PickedPlayers!D:G,3,FALSE)</f>
        <v>Portugal</v>
      </c>
    </row>
    <row r="35" spans="2:16" ht="11.25" customHeight="1" x14ac:dyDescent="0.25">
      <c r="B35" s="8" t="s">
        <v>380</v>
      </c>
      <c r="C35" s="9" t="str">
        <f>VLOOKUP(B35,PickedPlayers!D:G,4,FALSE)</f>
        <v>MID</v>
      </c>
      <c r="D35" s="10" t="str">
        <f>VLOOKUP(B35,PickedPlayers!D:G,3,FALSE)</f>
        <v>England</v>
      </c>
      <c r="F35" s="8" t="s">
        <v>378</v>
      </c>
      <c r="G35" s="9" t="str">
        <f>VLOOKUP(F35,PickedPlayers!D:G,4,FALSE)</f>
        <v>DEF</v>
      </c>
      <c r="H35" s="10" t="str">
        <f>VLOOKUP(F35,PickedPlayers!D:G,3,FALSE)</f>
        <v>Spain</v>
      </c>
      <c r="J35" s="8" t="s">
        <v>384</v>
      </c>
      <c r="K35" s="9" t="str">
        <f>VLOOKUP(J35,PickedPlayers!D:G,4,FALSE)</f>
        <v>MID</v>
      </c>
      <c r="L35" s="10" t="str">
        <f>VLOOKUP(J35,PickedPlayers!D:G,3,FALSE)</f>
        <v>Spain</v>
      </c>
      <c r="N35" s="8" t="s">
        <v>382</v>
      </c>
      <c r="O35" s="9" t="str">
        <f>VLOOKUP(N35,PickedPlayers!D:G,4,FALSE)</f>
        <v>GK</v>
      </c>
      <c r="P35" s="10" t="str">
        <f>VLOOKUP(N35,PickedPlayers!D:G,3,FALSE)</f>
        <v>Germany</v>
      </c>
    </row>
    <row r="36" spans="2:16" ht="11.25" customHeight="1" x14ac:dyDescent="0.25">
      <c r="B36" s="8" t="s">
        <v>406</v>
      </c>
      <c r="C36" s="9" t="str">
        <f>VLOOKUP(B36,PickedPlayers!D:G,4,FALSE)</f>
        <v>MID</v>
      </c>
      <c r="D36" s="10" t="str">
        <f>VLOOKUP(B36,PickedPlayers!D:G,3,FALSE)</f>
        <v>Spain</v>
      </c>
      <c r="F36" s="8" t="s">
        <v>408</v>
      </c>
      <c r="G36" s="9" t="str">
        <f>VLOOKUP(F36,PickedPlayers!D:G,4,FALSE)</f>
        <v>MID</v>
      </c>
      <c r="H36" s="10" t="str">
        <f>VLOOKUP(F36,PickedPlayers!D:G,3,FALSE)</f>
        <v>Brazil</v>
      </c>
      <c r="J36" s="8" t="s">
        <v>402</v>
      </c>
      <c r="K36" s="9" t="str">
        <f>VLOOKUP(J36,PickedPlayers!D:G,4,FALSE)</f>
        <v>DEF</v>
      </c>
      <c r="L36" s="10" t="str">
        <f>VLOOKUP(J36,PickedPlayers!D:G,3,FALSE)</f>
        <v>Spain</v>
      </c>
      <c r="N36" s="8" t="s">
        <v>404</v>
      </c>
      <c r="O36" s="9" t="str">
        <f>VLOOKUP(N36,PickedPlayers!D:G,4,FALSE)</f>
        <v>FWD</v>
      </c>
      <c r="P36" s="10" t="str">
        <f>VLOOKUP(N36,PickedPlayers!D:G,3,FALSE)</f>
        <v>Netherlands</v>
      </c>
    </row>
    <row r="37" spans="2:16" ht="11.25" customHeight="1" x14ac:dyDescent="0.25">
      <c r="B37" s="8" t="s">
        <v>422</v>
      </c>
      <c r="C37" s="9" t="str">
        <f>VLOOKUP(B37,PickedPlayers!D:G,4,FALSE)</f>
        <v>DEF</v>
      </c>
      <c r="D37" s="10" t="str">
        <f>VLOOKUP(B37,PickedPlayers!D:G,3,FALSE)</f>
        <v>Brazil</v>
      </c>
      <c r="F37" s="8" t="s">
        <v>424</v>
      </c>
      <c r="G37" s="9" t="str">
        <f>VLOOKUP(F37,PickedPlayers!D:G,4,FALSE)</f>
        <v>DEF</v>
      </c>
      <c r="H37" s="10" t="str">
        <f>VLOOKUP(F37,PickedPlayers!D:G,3,FALSE)</f>
        <v>Argentina</v>
      </c>
      <c r="J37" s="8" t="s">
        <v>418</v>
      </c>
      <c r="K37" s="9" t="str">
        <f>VLOOKUP(J37,PickedPlayers!D:G,4,FALSE)</f>
        <v>FWD</v>
      </c>
      <c r="L37" s="10" t="str">
        <f>VLOOKUP(J37,PickedPlayers!D:G,3,FALSE)</f>
        <v>Egypt</v>
      </c>
      <c r="N37" s="8" t="s">
        <v>420</v>
      </c>
      <c r="O37" s="9" t="str">
        <f>VLOOKUP(N37,PickedPlayers!D:G,4,FALSE)</f>
        <v>MID</v>
      </c>
      <c r="P37" s="10" t="str">
        <f>VLOOKUP(N37,PickedPlayers!D:G,3,FALSE)</f>
        <v>Argentina</v>
      </c>
    </row>
    <row r="38" spans="2:16" ht="11.25" customHeight="1" x14ac:dyDescent="0.25">
      <c r="B38" s="8" t="s">
        <v>428</v>
      </c>
      <c r="C38" s="9" t="str">
        <f>VLOOKUP(B38,PickedPlayers!D:G,4,FALSE)</f>
        <v>MID</v>
      </c>
      <c r="D38" s="10" t="str">
        <f>VLOOKUP(B38,PickedPlayers!D:G,3,FALSE)</f>
        <v>Morocco</v>
      </c>
      <c r="F38" s="8" t="s">
        <v>426</v>
      </c>
      <c r="G38" s="9" t="str">
        <f>VLOOKUP(F38,PickedPlayers!D:G,4,FALSE)</f>
        <v>MID</v>
      </c>
      <c r="H38" s="10" t="str">
        <f>VLOOKUP(F38,PickedPlayers!D:G,3,FALSE)</f>
        <v>Portugal</v>
      </c>
      <c r="J38" s="8" t="s">
        <v>432</v>
      </c>
      <c r="K38" s="9" t="str">
        <f>VLOOKUP(J38,PickedPlayers!D:G,4,FALSE)</f>
        <v>DEF</v>
      </c>
      <c r="L38" s="10" t="str">
        <f>VLOOKUP(J38,PickedPlayers!D:G,3,FALSE)</f>
        <v>Belgium</v>
      </c>
      <c r="N38" s="8" t="s">
        <v>430</v>
      </c>
      <c r="O38" s="9" t="str">
        <f>VLOOKUP(N38,PickedPlayers!D:G,4,FALSE)</f>
        <v>DEF</v>
      </c>
      <c r="P38" s="10" t="str">
        <f>VLOOKUP(N38,PickedPlayers!D:G,3,FALSE)</f>
        <v>Netherlands</v>
      </c>
    </row>
    <row r="39" spans="2:16" ht="11.25" customHeight="1" x14ac:dyDescent="0.25">
      <c r="B39" s="8" t="s">
        <v>446</v>
      </c>
      <c r="C39" s="9" t="str">
        <f>VLOOKUP(B39,PickedPlayers!D:G,4,FALSE)</f>
        <v>FWD</v>
      </c>
      <c r="D39" s="10" t="str">
        <f>VLOOKUP(B39,PickedPlayers!D:G,3,FALSE)</f>
        <v>Senegal</v>
      </c>
      <c r="F39" s="8" t="s">
        <v>448</v>
      </c>
      <c r="G39" s="9" t="str">
        <f>VLOOKUP(F39,PickedPlayers!D:G,4,FALSE)</f>
        <v>MID</v>
      </c>
      <c r="H39" s="10" t="str">
        <f>VLOOKUP(F39,PickedPlayers!D:G,3,FALSE)</f>
        <v>Belgium</v>
      </c>
      <c r="J39" s="8" t="s">
        <v>442</v>
      </c>
      <c r="K39" s="9" t="str">
        <f>VLOOKUP(J39,PickedPlayers!D:G,4,FALSE)</f>
        <v>DEF</v>
      </c>
      <c r="L39" s="10" t="str">
        <f>VLOOKUP(J39,PickedPlayers!D:G,3,FALSE)</f>
        <v>England</v>
      </c>
      <c r="N39" s="8" t="s">
        <v>444</v>
      </c>
      <c r="O39" s="9" t="str">
        <f>VLOOKUP(N39,PickedPlayers!D:G,4,FALSE)</f>
        <v>DEF</v>
      </c>
      <c r="P39" s="10" t="str">
        <f>VLOOKUP(N39,PickedPlayers!D:G,3,FALSE)</f>
        <v>Argentina</v>
      </c>
    </row>
    <row r="40" spans="2:16" ht="11.25" customHeight="1" x14ac:dyDescent="0.25">
      <c r="B40" s="8" t="s">
        <v>467</v>
      </c>
      <c r="C40" s="9" t="str">
        <f>VLOOKUP(B40,PickedPlayers!D:G,4,FALSE)</f>
        <v>DEF</v>
      </c>
      <c r="D40" s="10" t="str">
        <f>VLOOKUP(B40,PickedPlayers!D:G,3,FALSE)</f>
        <v>France</v>
      </c>
      <c r="F40" s="8" t="s">
        <v>465</v>
      </c>
      <c r="G40" s="9" t="str">
        <f>VLOOKUP(F40,PickedPlayers!D:G,4,FALSE)</f>
        <v>GK</v>
      </c>
      <c r="H40" s="10" t="str">
        <f>VLOOKUP(F40,PickedPlayers!D:G,3,FALSE)</f>
        <v>Portugal</v>
      </c>
      <c r="J40" s="8" t="s">
        <v>471</v>
      </c>
      <c r="K40" s="9" t="str">
        <f>VLOOKUP(J40,PickedPlayers!D:G,4,FALSE)</f>
        <v>MID</v>
      </c>
      <c r="L40" s="10" t="str">
        <f>VLOOKUP(J40,PickedPlayers!D:G,3,FALSE)</f>
        <v>Netherlands</v>
      </c>
      <c r="N40" s="8" t="s">
        <v>469</v>
      </c>
      <c r="O40" s="9" t="str">
        <f>VLOOKUP(N40,PickedPlayers!D:G,4,FALSE)</f>
        <v>DEF</v>
      </c>
      <c r="P40" s="10" t="str">
        <f>VLOOKUP(N40,PickedPlayers!D:G,3,FALSE)</f>
        <v>Spain</v>
      </c>
    </row>
    <row r="41" spans="2:16" ht="11.25" customHeight="1" x14ac:dyDescent="0.25">
      <c r="B41" s="8" t="s">
        <v>487</v>
      </c>
      <c r="C41" s="9" t="str">
        <f>VLOOKUP(B41,PickedPlayers!D:G,4,FALSE)</f>
        <v>DEF</v>
      </c>
      <c r="D41" s="10" t="str">
        <f>VLOOKUP(B41,PickedPlayers!D:G,3,FALSE)</f>
        <v>Canada</v>
      </c>
      <c r="F41" s="8" t="s">
        <v>485</v>
      </c>
      <c r="G41" s="9" t="str">
        <f>VLOOKUP(F41,PickedPlayers!D:G,4,FALSE)</f>
        <v>DEF</v>
      </c>
      <c r="H41" s="10" t="str">
        <f>VLOOKUP(F41,PickedPlayers!D:G,3,FALSE)</f>
        <v>Germany</v>
      </c>
      <c r="J41" s="8" t="s">
        <v>483</v>
      </c>
      <c r="K41" s="9" t="str">
        <f>VLOOKUP(J41,PickedPlayers!D:G,4,FALSE)</f>
        <v>FWD</v>
      </c>
      <c r="L41" s="10" t="str">
        <f>VLOOKUP(J41,PickedPlayers!D:G,3,FALSE)</f>
        <v>Netherlands</v>
      </c>
      <c r="N41" s="8" t="s">
        <v>481</v>
      </c>
      <c r="O41" s="9" t="str">
        <f>VLOOKUP(N41,PickedPlayers!D:G,4,FALSE)</f>
        <v>MID</v>
      </c>
      <c r="P41" s="10" t="str">
        <f>VLOOKUP(N41,PickedPlayers!D:G,3,FALSE)</f>
        <v>Spain</v>
      </c>
    </row>
    <row r="42" spans="2:16" ht="11.25" customHeight="1" x14ac:dyDescent="0.25">
      <c r="B42" s="8" t="s">
        <v>489</v>
      </c>
      <c r="C42" s="9" t="str">
        <f>VLOOKUP(B42,PickedPlayers!D:G,4,FALSE)</f>
        <v>FWD</v>
      </c>
      <c r="D42" s="10" t="str">
        <f>VLOOKUP(B42,PickedPlayers!D:G,3,FALSE)</f>
        <v>Mexico</v>
      </c>
      <c r="F42" s="8" t="s">
        <v>491</v>
      </c>
      <c r="G42" s="9" t="str">
        <f>VLOOKUP(F42,PickedPlayers!D:G,4,FALSE)</f>
        <v>FWD</v>
      </c>
      <c r="H42" s="10" t="str">
        <f>VLOOKUP(F42,PickedPlayers!D:G,3,FALSE)</f>
        <v>Spain</v>
      </c>
      <c r="J42" s="8" t="s">
        <v>493</v>
      </c>
      <c r="K42" s="9" t="str">
        <f>VLOOKUP(J42,PickedPlayers!D:G,4,FALSE)</f>
        <v>DEF</v>
      </c>
      <c r="L42" s="10" t="str">
        <f>VLOOKUP(J42,PickedPlayers!D:G,3,FALSE)</f>
        <v>Germany</v>
      </c>
      <c r="N42" s="8" t="s">
        <v>495</v>
      </c>
      <c r="O42" s="9" t="str">
        <f>VLOOKUP(N42,PickedPlayers!D:G,4,FALSE)</f>
        <v>FWD</v>
      </c>
      <c r="P42" s="10" t="str">
        <f>VLOOKUP(N42,PickedPlayers!D:G,3,FALSE)</f>
        <v>England</v>
      </c>
    </row>
    <row r="43" spans="2:16" ht="11.25" customHeight="1" x14ac:dyDescent="0.25">
      <c r="B43" s="8" t="s">
        <v>511</v>
      </c>
      <c r="C43" s="9" t="str">
        <f>VLOOKUP(B43,PickedPlayers!D:G,4,FALSE)</f>
        <v>MID</v>
      </c>
      <c r="D43" s="10" t="str">
        <f>VLOOKUP(B43,PickedPlayers!D:G,3,FALSE)</f>
        <v>Germany</v>
      </c>
      <c r="F43" s="8" t="s">
        <v>509</v>
      </c>
      <c r="G43" s="9" t="str">
        <f>VLOOKUP(F43,PickedPlayers!D:G,4,FALSE)</f>
        <v>DEF</v>
      </c>
      <c r="H43" s="10" t="str">
        <f>VLOOKUP(F43,PickedPlayers!D:G,3,FALSE)</f>
        <v>Argentina</v>
      </c>
      <c r="J43" s="8" t="s">
        <v>507</v>
      </c>
      <c r="K43" s="9" t="str">
        <f>VLOOKUP(J43,PickedPlayers!D:G,4,FALSE)</f>
        <v>GK</v>
      </c>
      <c r="L43" s="10" t="str">
        <f>VLOOKUP(J43,PickedPlayers!D:G,3,FALSE)</f>
        <v>Switzerland</v>
      </c>
      <c r="N43" s="8" t="s">
        <v>505</v>
      </c>
      <c r="O43" s="9" t="str">
        <f>VLOOKUP(N43,PickedPlayers!D:G,4,FALSE)</f>
        <v>GK</v>
      </c>
      <c r="P43" s="10" t="str">
        <f>VLOOKUP(N43,PickedPlayers!D:G,3,FALSE)</f>
        <v>Netherlands</v>
      </c>
    </row>
    <row r="44" spans="2:16" ht="11.25" customHeight="1" thickBot="1" x14ac:dyDescent="0.3">
      <c r="B44" s="11" t="s">
        <v>529</v>
      </c>
      <c r="C44" s="12" t="str">
        <f>VLOOKUP(B44,PickedPlayers!D:G,4,FALSE)</f>
        <v>GK</v>
      </c>
      <c r="D44" s="13" t="str">
        <f>VLOOKUP(B44,PickedPlayers!D:G,3,FALSE)</f>
        <v>Spain</v>
      </c>
      <c r="F44" s="11" t="s">
        <v>531</v>
      </c>
      <c r="G44" s="12" t="str">
        <f>VLOOKUP(F44,PickedPlayers!D:G,4,FALSE)</f>
        <v>DEF</v>
      </c>
      <c r="H44" s="13" t="str">
        <f>VLOOKUP(F44,PickedPlayers!D:G,3,FALSE)</f>
        <v>Brazil</v>
      </c>
      <c r="J44" s="11" t="s">
        <v>533</v>
      </c>
      <c r="K44" s="12" t="str">
        <f>VLOOKUP(J44,PickedPlayers!D:G,4,FALSE)</f>
        <v>MID</v>
      </c>
      <c r="L44" s="13" t="str">
        <f>VLOOKUP(J44,PickedPlayers!D:G,3,FALSE)</f>
        <v>Ivory Coast</v>
      </c>
      <c r="N44" s="11" t="s">
        <v>535</v>
      </c>
      <c r="O44" s="12" t="str">
        <f>VLOOKUP(N44,PickedPlayers!D:G,4,FALSE)</f>
        <v>FWD</v>
      </c>
      <c r="P44" s="13" t="str">
        <f>VLOOKUP(N44,PickedPlayers!D:G,3,FALSE)</f>
        <v>Belgium</v>
      </c>
    </row>
    <row r="45" spans="2:16" ht="6" customHeight="1" x14ac:dyDescent="0.25"/>
    <row r="46" spans="2:16" ht="7.5" customHeight="1" x14ac:dyDescent="0.25">
      <c r="B46" s="15"/>
      <c r="C46" s="15" t="s">
        <v>272</v>
      </c>
      <c r="D46" s="15" t="s">
        <v>2672</v>
      </c>
      <c r="E46" s="15"/>
      <c r="F46" s="15"/>
      <c r="G46" s="15" t="s">
        <v>272</v>
      </c>
      <c r="H46" s="15" t="s">
        <v>2672</v>
      </c>
      <c r="I46" s="15"/>
      <c r="J46" s="15"/>
      <c r="K46" s="15" t="s">
        <v>272</v>
      </c>
      <c r="L46" s="15" t="s">
        <v>2672</v>
      </c>
      <c r="M46" s="15"/>
      <c r="N46" s="15"/>
      <c r="O46" s="15" t="s">
        <v>272</v>
      </c>
      <c r="P46" s="15" t="s">
        <v>2672</v>
      </c>
    </row>
    <row r="47" spans="2:16" x14ac:dyDescent="0.25">
      <c r="B47" s="15" t="s">
        <v>2673</v>
      </c>
      <c r="C47" s="15">
        <f>COUNTIF(C29:C44,"GK")</f>
        <v>2</v>
      </c>
      <c r="D47" s="15">
        <v>2</v>
      </c>
      <c r="E47" s="15"/>
      <c r="F47" s="15" t="s">
        <v>2673</v>
      </c>
      <c r="G47" s="15">
        <f>COUNTIF(G29:G44,"GK")</f>
        <v>2</v>
      </c>
      <c r="H47" s="15">
        <v>2</v>
      </c>
      <c r="I47" s="15"/>
      <c r="J47" s="15" t="s">
        <v>2673</v>
      </c>
      <c r="K47" s="15">
        <f>COUNTIF(K29:K44,"GK")</f>
        <v>2</v>
      </c>
      <c r="L47" s="15">
        <v>2</v>
      </c>
      <c r="M47" s="15"/>
      <c r="N47" s="15" t="s">
        <v>2673</v>
      </c>
      <c r="O47" s="15">
        <f>COUNTIF(O29:O44,"GK")</f>
        <v>2</v>
      </c>
      <c r="P47" s="15">
        <v>2</v>
      </c>
    </row>
    <row r="48" spans="2:16" x14ac:dyDescent="0.25">
      <c r="B48" s="15" t="s">
        <v>2674</v>
      </c>
      <c r="C48" s="15">
        <f>COUNTIF(C29:C44,"DEF")</f>
        <v>5</v>
      </c>
      <c r="D48" s="15">
        <v>5</v>
      </c>
      <c r="E48" s="15"/>
      <c r="F48" s="15" t="s">
        <v>2674</v>
      </c>
      <c r="G48" s="15">
        <f>COUNTIF(G29:G44,"DEF")</f>
        <v>5</v>
      </c>
      <c r="H48" s="15">
        <v>5</v>
      </c>
      <c r="I48" s="15"/>
      <c r="J48" s="15" t="s">
        <v>2674</v>
      </c>
      <c r="K48" s="15">
        <f>COUNTIF(K29:K44,"DEF")</f>
        <v>5</v>
      </c>
      <c r="L48" s="15">
        <v>5</v>
      </c>
      <c r="M48" s="15"/>
      <c r="N48" s="15" t="s">
        <v>2674</v>
      </c>
      <c r="O48" s="15">
        <f>COUNTIF(O29:O44,"DEF")</f>
        <v>5</v>
      </c>
      <c r="P48" s="15">
        <v>5</v>
      </c>
    </row>
    <row r="49" spans="2:16" x14ac:dyDescent="0.25">
      <c r="B49" s="15" t="s">
        <v>2675</v>
      </c>
      <c r="C49" s="15">
        <f>COUNTIF(C29:C44,"MID")</f>
        <v>4</v>
      </c>
      <c r="D49" s="16" t="s">
        <v>2676</v>
      </c>
      <c r="E49" s="15"/>
      <c r="F49" s="15" t="s">
        <v>2675</v>
      </c>
      <c r="G49" s="15">
        <f>COUNTIF(G29:G44,"MID")</f>
        <v>4</v>
      </c>
      <c r="H49" s="16" t="s">
        <v>2676</v>
      </c>
      <c r="I49" s="15"/>
      <c r="J49" s="15" t="s">
        <v>2675</v>
      </c>
      <c r="K49" s="15">
        <f>COUNTIF(K29:K44,"MID")</f>
        <v>4</v>
      </c>
      <c r="L49" s="16" t="s">
        <v>2676</v>
      </c>
      <c r="M49" s="15"/>
      <c r="N49" s="15" t="s">
        <v>2675</v>
      </c>
      <c r="O49" s="15">
        <f>COUNTIF(O29:O44,"MID")</f>
        <v>4</v>
      </c>
      <c r="P49" s="16" t="s">
        <v>2676</v>
      </c>
    </row>
    <row r="50" spans="2:16" x14ac:dyDescent="0.25">
      <c r="B50" s="15" t="s">
        <v>2677</v>
      </c>
      <c r="C50" s="15">
        <f>COUNTIF(C29:C44,"FWD")</f>
        <v>5</v>
      </c>
      <c r="D50" s="16" t="s">
        <v>2676</v>
      </c>
      <c r="E50" s="15"/>
      <c r="F50" s="15" t="s">
        <v>2677</v>
      </c>
      <c r="G50" s="15">
        <f>COUNTIF(G29:G44,"FWD")</f>
        <v>5</v>
      </c>
      <c r="H50" s="16" t="s">
        <v>2676</v>
      </c>
      <c r="I50" s="15"/>
      <c r="J50" s="15" t="s">
        <v>2677</v>
      </c>
      <c r="K50" s="15">
        <f>COUNTIF(K29:K44,"FWD")</f>
        <v>5</v>
      </c>
      <c r="L50" s="16" t="s">
        <v>2676</v>
      </c>
      <c r="M50" s="15"/>
      <c r="N50" s="15" t="s">
        <v>2677</v>
      </c>
      <c r="O50" s="15">
        <f>COUNTIF(O29:O44,"FWD")</f>
        <v>5</v>
      </c>
      <c r="P50" s="16" t="s">
        <v>2676</v>
      </c>
    </row>
  </sheetData>
  <mergeCells count="8">
    <mergeCell ref="F27:H27"/>
    <mergeCell ref="J27:L27"/>
    <mergeCell ref="N27:P27"/>
    <mergeCell ref="B2:D2"/>
    <mergeCell ref="F2:H2"/>
    <mergeCell ref="J2:L2"/>
    <mergeCell ref="N2:P2"/>
    <mergeCell ref="B27:D27"/>
  </mergeCells>
  <conditionalFormatting sqref="C48:C50 C23:C25 D23 G23:G25 H23 K23:K25 L23 O23:O25 P23 D48 G48:G50 H48 K48:K50 L48 O48:O50 P4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:D47 C22:D22 G22:H22 K22:L22 O22:P22 G47:H47 K47:L47 O47:P4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0C9301-8DB5-4E08-880B-CEF7DCE9E953}">
          <x14:formula1>
            <xm:f>PickedPlayers!$D$2:$D$145</xm:f>
          </x14:formula1>
          <xm:sqref>B4:B19 F4:F19 J4:J19 N4:N19 B29:B44 F29:F44 J29:J44 N29:N44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4F0A-E2DD-4313-BCFB-1F3AA69A98F9}">
  <dimension ref="A1:AA22"/>
  <sheetViews>
    <sheetView workbookViewId="0">
      <selection activeCell="M12" sqref="M12:AA12"/>
    </sheetView>
  </sheetViews>
  <sheetFormatPr defaultColWidth="9.140625" defaultRowHeight="15" customHeight="1" zeroHeight="1" x14ac:dyDescent="0.25"/>
  <cols>
    <col min="1" max="1" width="9.140625" style="54"/>
    <col min="2" max="2" width="17.140625" style="54" bestFit="1" customWidth="1"/>
    <col min="3" max="3" width="11.5703125" style="54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73" t="s">
        <v>2678</v>
      </c>
      <c r="B1" s="74"/>
      <c r="C1" s="75"/>
      <c r="D1" s="76" t="s">
        <v>2679</v>
      </c>
      <c r="E1" s="77"/>
      <c r="F1" s="78"/>
      <c r="G1" s="79" t="s">
        <v>2680</v>
      </c>
      <c r="H1" s="80"/>
      <c r="I1" s="81"/>
      <c r="J1" s="79" t="s">
        <v>2681</v>
      </c>
      <c r="K1" s="80"/>
      <c r="L1" s="81"/>
      <c r="M1" s="79" t="s">
        <v>36</v>
      </c>
      <c r="N1" s="80"/>
      <c r="O1" s="81"/>
      <c r="P1" s="79" t="s">
        <v>23</v>
      </c>
      <c r="Q1" s="80"/>
      <c r="R1" s="81"/>
      <c r="S1" s="79" t="s">
        <v>17</v>
      </c>
      <c r="T1" s="80"/>
      <c r="U1" s="81"/>
      <c r="V1" s="79" t="s">
        <v>13</v>
      </c>
      <c r="W1" s="80"/>
      <c r="X1" s="81"/>
      <c r="Y1" s="79" t="s">
        <v>9</v>
      </c>
      <c r="Z1" s="80"/>
      <c r="AA1" s="81"/>
    </row>
    <row r="2" spans="1:27" x14ac:dyDescent="0.25">
      <c r="A2" s="22" t="s">
        <v>271</v>
      </c>
      <c r="B2" s="23" t="s">
        <v>268</v>
      </c>
      <c r="C2" s="24" t="s">
        <v>2671</v>
      </c>
      <c r="D2" s="25" t="s">
        <v>2682</v>
      </c>
      <c r="E2" s="26" t="s">
        <v>2683</v>
      </c>
      <c r="F2" s="27" t="s">
        <v>2684</v>
      </c>
      <c r="G2" s="25" t="s">
        <v>2682</v>
      </c>
      <c r="H2" s="26" t="s">
        <v>2683</v>
      </c>
      <c r="I2" s="27" t="s">
        <v>2684</v>
      </c>
      <c r="J2" s="25" t="s">
        <v>2682</v>
      </c>
      <c r="K2" s="26" t="s">
        <v>2683</v>
      </c>
      <c r="L2" s="27" t="s">
        <v>2684</v>
      </c>
      <c r="M2" s="25" t="s">
        <v>2682</v>
      </c>
      <c r="N2" s="26" t="s">
        <v>2683</v>
      </c>
      <c r="O2" s="27" t="s">
        <v>2684</v>
      </c>
      <c r="P2" s="25" t="s">
        <v>2682</v>
      </c>
      <c r="Q2" s="26" t="s">
        <v>2683</v>
      </c>
      <c r="R2" s="27" t="s">
        <v>2684</v>
      </c>
      <c r="S2" s="25" t="s">
        <v>2682</v>
      </c>
      <c r="T2" s="26" t="s">
        <v>2683</v>
      </c>
      <c r="U2" s="27" t="s">
        <v>2684</v>
      </c>
      <c r="V2" s="25" t="s">
        <v>2682</v>
      </c>
      <c r="W2" s="26" t="s">
        <v>2683</v>
      </c>
      <c r="X2" s="27" t="s">
        <v>2684</v>
      </c>
      <c r="Y2" s="25" t="s">
        <v>2682</v>
      </c>
      <c r="Z2" s="26" t="s">
        <v>2683</v>
      </c>
      <c r="AA2" s="27" t="s">
        <v>2684</v>
      </c>
    </row>
    <row r="3" spans="1:27" x14ac:dyDescent="0.25">
      <c r="A3" s="28" t="s">
        <v>2673</v>
      </c>
      <c r="B3" s="19" t="s">
        <v>497</v>
      </c>
      <c r="C3" s="29" t="s">
        <v>78</v>
      </c>
      <c r="D3" s="30" t="str">
        <f>VLOOKUP($C3,Fixtures!A:I,2,FALSE)</f>
        <v>MOR</v>
      </c>
      <c r="E3" s="20" t="s">
        <v>2685</v>
      </c>
      <c r="F3" s="31">
        <f>VLOOKUP($B3,PickedPlayers!D:Q,7,FALSE)</f>
        <v>0</v>
      </c>
      <c r="G3" s="30" t="str">
        <f>VLOOKUP($C3,Fixtures!A:I,3,FALSE)</f>
        <v>HAI</v>
      </c>
      <c r="H3" s="20" t="s">
        <v>2686</v>
      </c>
      <c r="I3" s="31">
        <f>VLOOKUP($B3,PickedPlayers!D:Q,8,FALSE)</f>
        <v>0</v>
      </c>
      <c r="J3" s="30" t="str">
        <f>VLOOKUP($C3,Fixtures!A:I,4,FALSE)</f>
        <v>SCO</v>
      </c>
      <c r="K3" s="20" t="s">
        <v>2686</v>
      </c>
      <c r="L3" s="31">
        <f>VLOOKUP($B3,PickedPlayers!D:Q,9,FALSE)</f>
        <v>0</v>
      </c>
      <c r="M3" s="30" t="str">
        <f>VLOOKUP($C3,Fixtures!A:I,5,FALSE)</f>
        <v>JAP</v>
      </c>
      <c r="N3" s="20" t="s">
        <v>2686</v>
      </c>
      <c r="O3" s="31">
        <f>VLOOKUP($B3,PickedPlayers!D:Q,10,FALSE)</f>
        <v>0</v>
      </c>
      <c r="P3" s="30" t="str">
        <f>VLOOKUP($C3,Fixtures!A:I,6,FALSE)</f>
        <v>NOR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2673</v>
      </c>
      <c r="B4" s="19" t="s">
        <v>521</v>
      </c>
      <c r="C4" s="29" t="s">
        <v>70</v>
      </c>
      <c r="D4" s="30" t="str">
        <f>VLOOKUP($C4,Fixtures!A:I,2,FALSE)</f>
        <v>BRA</v>
      </c>
      <c r="E4" s="20" t="s">
        <v>2687</v>
      </c>
      <c r="F4" s="31">
        <f>VLOOKUP($B4,PickedPlayers!D:Q,7,FALSE)</f>
        <v>0</v>
      </c>
      <c r="G4" s="30" t="str">
        <f>VLOOKUP($C4,Fixtures!A:I,3,FALSE)</f>
        <v>SCO</v>
      </c>
      <c r="H4" s="20" t="s">
        <v>2687</v>
      </c>
      <c r="I4" s="31">
        <f>VLOOKUP($B4,PickedPlayers!D:Q,8,FALSE)</f>
        <v>0</v>
      </c>
      <c r="J4" s="30" t="str">
        <f>VLOOKUP($C4,Fixtures!A:I,4,FALSE)</f>
        <v>HAI</v>
      </c>
      <c r="K4" s="20" t="s">
        <v>2687</v>
      </c>
      <c r="L4" s="31">
        <f>VLOOKUP($B4,PickedPlayers!D:Q,9,FALSE)</f>
        <v>0</v>
      </c>
      <c r="M4" s="30" t="str">
        <f>VLOOKUP($C4,Fixtures!A:I,5,FALSE)</f>
        <v>NED</v>
      </c>
      <c r="N4" s="20" t="s">
        <v>2687</v>
      </c>
      <c r="O4" s="31">
        <f>VLOOKUP($B4,PickedPlayers!D:Q,10,FALSE)</f>
        <v>0</v>
      </c>
      <c r="P4" s="30" t="str">
        <f>VLOOKUP($C4,Fixtures!A:I,6,FALSE)</f>
        <v>CAN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2674</v>
      </c>
      <c r="B5" s="19" t="s">
        <v>336</v>
      </c>
      <c r="C5" s="29" t="s">
        <v>61</v>
      </c>
      <c r="D5" s="30" t="str">
        <f>VLOOKUP($C5,Fixtures!A:I,2,FALSE)</f>
        <v>SEN</v>
      </c>
      <c r="E5" s="20" t="s">
        <v>2687</v>
      </c>
      <c r="F5" s="31">
        <f>VLOOKUP($B5,PickedPlayers!D:Q,7,FALSE)</f>
        <v>0</v>
      </c>
      <c r="G5" s="30" t="str">
        <f>VLOOKUP($C5,Fixtures!A:I,3,FALSE)</f>
        <v>IRQ</v>
      </c>
      <c r="H5" s="20" t="s">
        <v>2687</v>
      </c>
      <c r="I5" s="31">
        <f>VLOOKUP($B5,PickedPlayers!D:Q,8,FALSE)</f>
        <v>0</v>
      </c>
      <c r="J5" s="30" t="str">
        <f>VLOOKUP($C5,Fixtures!A:I,4,FALSE)</f>
        <v>NOR</v>
      </c>
      <c r="K5" s="20" t="s">
        <v>2687</v>
      </c>
      <c r="L5" s="31">
        <f>VLOOKUP($B5,PickedPlayers!D:Q,9,FALSE)</f>
        <v>0</v>
      </c>
      <c r="M5" s="30" t="str">
        <f>VLOOKUP($C5,Fixtures!A:I,5,FALSE)</f>
        <v>SWE</v>
      </c>
      <c r="N5" s="20" t="s">
        <v>2687</v>
      </c>
      <c r="O5" s="31">
        <f>VLOOKUP($B5,PickedPlayers!D:Q,10,FALSE)</f>
        <v>0</v>
      </c>
      <c r="P5" s="30" t="str">
        <f>VLOOKUP($C5,Fixtures!A:I,6,FALSE)</f>
        <v>PAR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2674</v>
      </c>
      <c r="B6" s="19" t="s">
        <v>348</v>
      </c>
      <c r="C6" s="29" t="s">
        <v>101</v>
      </c>
      <c r="D6" s="30" t="str">
        <f>VLOOKUP($C6,Fixtures!A:I,2,FALSE)</f>
        <v>CON</v>
      </c>
      <c r="E6" s="20" t="s">
        <v>2687</v>
      </c>
      <c r="F6" s="31">
        <f>VLOOKUP($B6,PickedPlayers!D:Q,7,FALSE)</f>
        <v>0</v>
      </c>
      <c r="G6" s="30" t="str">
        <f>VLOOKUP($C6,Fixtures!A:I,3,FALSE)</f>
        <v>UZB</v>
      </c>
      <c r="H6" s="20" t="s">
        <v>2687</v>
      </c>
      <c r="I6" s="31">
        <f>VLOOKUP($B6,PickedPlayers!D:Q,8,FALSE)</f>
        <v>0</v>
      </c>
      <c r="J6" s="30" t="str">
        <f>VLOOKUP($C6,Fixtures!A:I,4,FALSE)</f>
        <v>COL</v>
      </c>
      <c r="K6" s="20" t="s">
        <v>2687</v>
      </c>
      <c r="L6" s="31">
        <f>VLOOKUP($B6,PickedPlayers!D:Q,9,FALSE)</f>
        <v>0</v>
      </c>
      <c r="M6" s="30" t="str">
        <f>VLOOKUP($C6,Fixtures!A:I,5,FALSE)</f>
        <v>CRO</v>
      </c>
      <c r="N6" s="20" t="s">
        <v>2687</v>
      </c>
      <c r="O6" s="31">
        <f>VLOOKUP($B6,PickedPlayers!D:Q,10,FALSE)</f>
        <v>0</v>
      </c>
      <c r="P6" s="30" t="str">
        <f>VLOOKUP($C6,Fixtures!A:I,6,FALSE)</f>
        <v>SPA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2674</v>
      </c>
      <c r="B7" s="19" t="s">
        <v>398</v>
      </c>
      <c r="C7" s="29" t="s">
        <v>123</v>
      </c>
      <c r="D7" s="30" t="str">
        <f>VLOOKUP($C7,Fixtures!A:I,2,FALSE)</f>
        <v>CAP</v>
      </c>
      <c r="E7" s="20" t="s">
        <v>2685</v>
      </c>
      <c r="F7" s="31">
        <f>VLOOKUP($B7,PickedPlayers!D:Q,7,FALSE)</f>
        <v>0</v>
      </c>
      <c r="G7" s="30" t="str">
        <f>VLOOKUP($C7,Fixtures!A:I,3,FALSE)</f>
        <v>SAU</v>
      </c>
      <c r="H7" s="20" t="s">
        <v>2688</v>
      </c>
      <c r="I7" s="31">
        <f>VLOOKUP($B7,PickedPlayers!D:Q,8,FALSE)</f>
        <v>0</v>
      </c>
      <c r="J7" s="30" t="str">
        <f>VLOOKUP($C7,Fixtures!A:I,4,FALSE)</f>
        <v>URU</v>
      </c>
      <c r="K7" s="20" t="s">
        <v>2688</v>
      </c>
      <c r="L7" s="31">
        <f>VLOOKUP($B7,PickedPlayers!D:Q,9,FALSE)</f>
        <v>0</v>
      </c>
      <c r="M7" s="30" t="str">
        <f>VLOOKUP($C7,Fixtures!A:I,5,FALSE)</f>
        <v>AUS</v>
      </c>
      <c r="N7" s="20" t="s">
        <v>2687</v>
      </c>
      <c r="O7" s="31">
        <f>VLOOKUP($B7,PickedPlayers!D:Q,10,FALSE)</f>
        <v>0</v>
      </c>
      <c r="P7" s="30" t="str">
        <f>VLOOKUP($C7,Fixtures!A:I,6,FALSE)</f>
        <v>POR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2674</v>
      </c>
      <c r="B8" s="19" t="s">
        <v>436</v>
      </c>
      <c r="C8" s="29" t="s">
        <v>74</v>
      </c>
      <c r="D8" s="30" t="str">
        <f>VLOOKUP($C8,Fixtures!A:I,2,FALSE)</f>
        <v>CUR</v>
      </c>
      <c r="E8" s="20" t="s">
        <v>2687</v>
      </c>
      <c r="F8" s="31">
        <f>VLOOKUP($B8,PickedPlayers!D:Q,7,FALSE)</f>
        <v>0</v>
      </c>
      <c r="G8" s="30" t="str">
        <f>VLOOKUP($C8,Fixtures!A:I,3,FALSE)</f>
        <v>IVO</v>
      </c>
      <c r="H8" s="20" t="s">
        <v>2687</v>
      </c>
      <c r="I8" s="31">
        <f>VLOOKUP($B8,PickedPlayers!D:Q,8,FALSE)</f>
        <v>0</v>
      </c>
      <c r="J8" s="30" t="str">
        <f>VLOOKUP($C8,Fixtures!A:I,4,FALSE)</f>
        <v>ECU</v>
      </c>
      <c r="K8" s="20" t="s">
        <v>2687</v>
      </c>
      <c r="L8" s="31">
        <f>VLOOKUP($B8,PickedPlayers!D:Q,9,FALSE)</f>
        <v>0</v>
      </c>
      <c r="M8" s="30" t="str">
        <f>VLOOKUP($C8,Fixtures!A:I,5,FALSE)</f>
        <v>PAR</v>
      </c>
      <c r="N8" s="20" t="s">
        <v>2688</v>
      </c>
      <c r="O8" s="31">
        <f>VLOOKUP($B8,PickedPlayers!D:Q,10,FALSE)</f>
        <v>0</v>
      </c>
      <c r="P8" s="30" t="str">
        <f>VLOOKUP($C8,Fixtures!A:I,6,FALSE)</f>
        <v>out</v>
      </c>
      <c r="Q8" s="20"/>
      <c r="R8" s="31">
        <f>VLOOKUP($B8,PickedPlayers!D:Q,11,FALSE)</f>
        <v>0</v>
      </c>
      <c r="S8" s="30" t="str">
        <f>VLOOKUP($C8,Fixtures!A:I,7,FALSE)</f>
        <v>out</v>
      </c>
      <c r="T8" s="20"/>
      <c r="U8" s="31">
        <f>VLOOKUP($B8,PickedPlayers!D:Q,12,FALSE)</f>
        <v>0</v>
      </c>
      <c r="V8" s="30" t="str">
        <f>VLOOKUP($C8,Fixtures!A:I,8,FALSE)</f>
        <v>out</v>
      </c>
      <c r="W8" s="20"/>
      <c r="X8" s="31">
        <f>VLOOKUP($B8,PickedPlayers!D:Q,13,FALSE)</f>
        <v>0</v>
      </c>
      <c r="Y8" s="30" t="str">
        <f>VLOOKUP($C8,Fixtures!A:I,9,FALSE)</f>
        <v>out</v>
      </c>
      <c r="Z8" s="20"/>
      <c r="AA8" s="31">
        <f>VLOOKUP($B8,PickedPlayers!D:Q,14,FALSE)</f>
        <v>0</v>
      </c>
    </row>
    <row r="9" spans="1:27" x14ac:dyDescent="0.25">
      <c r="A9" s="28" t="s">
        <v>2674</v>
      </c>
      <c r="B9" s="19" t="s">
        <v>454</v>
      </c>
      <c r="C9" s="29" t="s">
        <v>109</v>
      </c>
      <c r="D9" s="30" t="str">
        <f>VLOOKUP($C9,Fixtures!A:I,2,FALSE)</f>
        <v>CRO</v>
      </c>
      <c r="E9" s="20" t="s">
        <v>2689</v>
      </c>
      <c r="F9" s="31">
        <f>VLOOKUP($B9,PickedPlayers!D:Q,7,FALSE)</f>
        <v>0</v>
      </c>
      <c r="G9" s="30" t="str">
        <f>VLOOKUP($C9,Fixtures!A:I,3,FALSE)</f>
        <v>GHA</v>
      </c>
      <c r="H9" s="20" t="s">
        <v>2689</v>
      </c>
      <c r="I9" s="31">
        <f>VLOOKUP($B9,PickedPlayers!D:Q,8,FALSE)</f>
        <v>0</v>
      </c>
      <c r="J9" s="30" t="str">
        <f>VLOOKUP($C9,Fixtures!A:I,4,FALSE)</f>
        <v>PAN</v>
      </c>
      <c r="K9" s="20" t="s">
        <v>2689</v>
      </c>
      <c r="L9" s="31">
        <f>VLOOKUP($B9,PickedPlayers!D:Q,9,FALSE)</f>
        <v>0</v>
      </c>
      <c r="M9" s="30" t="str">
        <f>VLOOKUP($C9,Fixtures!A:I,5,FALSE)</f>
        <v>CON</v>
      </c>
      <c r="N9" s="20" t="s">
        <v>2690</v>
      </c>
      <c r="O9" s="31">
        <f>VLOOKUP($B9,PickedPlayers!D:Q,10,FALSE)</f>
        <v>0</v>
      </c>
      <c r="P9" s="30" t="str">
        <f>VLOOKUP($C9,Fixtures!A:I,6,FALSE)</f>
        <v>MEX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2675</v>
      </c>
      <c r="B10" s="19" t="s">
        <v>312</v>
      </c>
      <c r="C10" s="29" t="s">
        <v>109</v>
      </c>
      <c r="D10" s="30" t="str">
        <f>VLOOKUP($C10,Fixtures!A:I,2,FALSE)</f>
        <v>CRO</v>
      </c>
      <c r="E10" s="20" t="s">
        <v>2687</v>
      </c>
      <c r="F10" s="31">
        <f>VLOOKUP($B10,PickedPlayers!D:Q,7,FALSE)</f>
        <v>0</v>
      </c>
      <c r="G10" s="30" t="str">
        <f>VLOOKUP($C10,Fixtures!A:I,3,FALSE)</f>
        <v>GHA</v>
      </c>
      <c r="H10" s="20" t="s">
        <v>2691</v>
      </c>
      <c r="I10" s="31">
        <f>VLOOKUP($B10,PickedPlayers!D:Q,8,FALSE)</f>
        <v>0</v>
      </c>
      <c r="J10" s="30" t="str">
        <f>VLOOKUP($C10,Fixtures!A:I,4,FALSE)</f>
        <v>PAN</v>
      </c>
      <c r="K10" s="20" t="s">
        <v>2691</v>
      </c>
      <c r="L10" s="31">
        <f>VLOOKUP($B10,PickedPlayers!D:Q,9,FALSE)</f>
        <v>0</v>
      </c>
      <c r="M10" s="30" t="str">
        <f>VLOOKUP($C10,Fixtures!A:I,5,FALSE)</f>
        <v>CON</v>
      </c>
      <c r="N10" s="20" t="s">
        <v>2692</v>
      </c>
      <c r="O10" s="31">
        <f>VLOOKUP($B10,PickedPlayers!D:Q,10,FALSE)</f>
        <v>0</v>
      </c>
      <c r="P10" s="30" t="str">
        <f>VLOOKUP($C10,Fixtures!A:I,6,FALSE)</f>
        <v>MEX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2675</v>
      </c>
      <c r="B11" s="19" t="s">
        <v>322</v>
      </c>
      <c r="C11" s="29" t="s">
        <v>113</v>
      </c>
      <c r="D11" s="30" t="str">
        <f>VLOOKUP($C11,Fixtures!A:I,2,FALSE)</f>
        <v>EGY</v>
      </c>
      <c r="E11" s="20" t="s">
        <v>2692</v>
      </c>
      <c r="F11" s="31">
        <f>VLOOKUP($B11,PickedPlayers!D:Q,7,FALSE)</f>
        <v>0</v>
      </c>
      <c r="G11" s="30" t="str">
        <f>VLOOKUP($C11,Fixtures!A:I,3,FALSE)</f>
        <v>IRA</v>
      </c>
      <c r="H11" s="20" t="s">
        <v>2687</v>
      </c>
      <c r="I11" s="31">
        <f>VLOOKUP($B11,PickedPlayers!D:Q,8,FALSE)</f>
        <v>0</v>
      </c>
      <c r="J11" s="30" t="str">
        <f>VLOOKUP($C11,Fixtures!A:I,4,FALSE)</f>
        <v>NZL</v>
      </c>
      <c r="K11" s="20" t="s">
        <v>2687</v>
      </c>
      <c r="L11" s="31">
        <f>VLOOKUP($B11,PickedPlayers!D:Q,9,FALSE)</f>
        <v>0</v>
      </c>
      <c r="M11" s="30" t="str">
        <f>VLOOKUP($C11,Fixtures!A:I,5,FALSE)</f>
        <v>SEN</v>
      </c>
      <c r="N11" s="20" t="s">
        <v>2687</v>
      </c>
      <c r="O11" s="31">
        <f>VLOOKUP($B11,PickedPlayers!D:Q,10,FALSE)</f>
        <v>0</v>
      </c>
      <c r="P11" s="30" t="str">
        <f>VLOOKUP($C11,Fixtures!A:I,6,FALSE)</f>
        <v>USA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2675</v>
      </c>
      <c r="B12" s="19" t="s">
        <v>388</v>
      </c>
      <c r="C12" s="29" t="s">
        <v>122</v>
      </c>
      <c r="D12" s="30" t="str">
        <f>VLOOKUP($C12,Fixtures!A:I,2,FALSE)</f>
        <v>SAU</v>
      </c>
      <c r="E12" s="20" t="s">
        <v>2687</v>
      </c>
      <c r="F12" s="31">
        <f>VLOOKUP($B12,PickedPlayers!D:Q,7,FALSE)</f>
        <v>0</v>
      </c>
      <c r="G12" s="30" t="str">
        <f>VLOOKUP($C12,Fixtures!A:I,3,FALSE)</f>
        <v>CAP</v>
      </c>
      <c r="H12" s="20" t="s">
        <v>2687</v>
      </c>
      <c r="I12" s="31">
        <f>VLOOKUP($B12,PickedPlayers!D:Q,8,FALSE)</f>
        <v>0</v>
      </c>
      <c r="J12" s="30" t="str">
        <f>VLOOKUP($C12,Fixtures!A:I,4,FALSE)</f>
        <v>SPA</v>
      </c>
      <c r="K12" s="20" t="s">
        <v>2687</v>
      </c>
      <c r="L12" s="31">
        <f>VLOOKUP($B12,PickedPlayers!D:Q,9,FALSE)</f>
        <v>0</v>
      </c>
      <c r="M12" s="58" t="s">
        <v>2693</v>
      </c>
      <c r="N12" s="59"/>
      <c r="O12" s="60"/>
      <c r="P12" s="58" t="s">
        <v>2693</v>
      </c>
      <c r="Q12" s="59"/>
      <c r="R12" s="60"/>
      <c r="S12" s="58" t="s">
        <v>2693</v>
      </c>
      <c r="T12" s="59"/>
      <c r="U12" s="60"/>
      <c r="V12" s="58" t="s">
        <v>2693</v>
      </c>
      <c r="W12" s="59"/>
      <c r="X12" s="60"/>
      <c r="Y12" s="58" t="s">
        <v>2693</v>
      </c>
      <c r="Z12" s="59"/>
      <c r="AA12" s="60"/>
    </row>
    <row r="13" spans="1:27" x14ac:dyDescent="0.25">
      <c r="A13" s="28" t="s">
        <v>2675</v>
      </c>
      <c r="B13" s="19" t="s">
        <v>519</v>
      </c>
      <c r="C13" s="29" t="s">
        <v>123</v>
      </c>
      <c r="D13" s="30" t="str">
        <f>VLOOKUP($C13,Fixtures!A:I,2,FALSE)</f>
        <v>CAP</v>
      </c>
      <c r="E13" s="20" t="s">
        <v>2687</v>
      </c>
      <c r="F13" s="31">
        <f>VLOOKUP($B13,PickedPlayers!D:Q,7,FALSE)</f>
        <v>0</v>
      </c>
      <c r="G13" s="30" t="str">
        <f>VLOOKUP($C13,Fixtures!A:I,3,FALSE)</f>
        <v>SAU</v>
      </c>
      <c r="H13" s="20" t="s">
        <v>2687</v>
      </c>
      <c r="I13" s="31">
        <f>VLOOKUP($B13,PickedPlayers!D:Q,8,FALSE)</f>
        <v>0</v>
      </c>
      <c r="J13" s="30" t="str">
        <f>VLOOKUP($C13,Fixtures!A:I,4,FALSE)</f>
        <v>URU</v>
      </c>
      <c r="K13" s="20" t="s">
        <v>2687</v>
      </c>
      <c r="L13" s="31">
        <f>VLOOKUP($B13,PickedPlayers!D:Q,9,FALSE)</f>
        <v>0</v>
      </c>
      <c r="M13" s="30" t="str">
        <f>VLOOKUP($C13,Fixtures!A:I,5,FALSE)</f>
        <v>AUS</v>
      </c>
      <c r="N13" s="20" t="s">
        <v>2687</v>
      </c>
      <c r="O13" s="31">
        <f>VLOOKUP($B13,PickedPlayers!D:Q,10,FALSE)</f>
        <v>0</v>
      </c>
      <c r="P13" s="30" t="str">
        <f>VLOOKUP($C13,Fixtures!A:I,6,FALSE)</f>
        <v>POR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2675</v>
      </c>
      <c r="B14" s="19" t="s">
        <v>537</v>
      </c>
      <c r="C14" s="29" t="s">
        <v>74</v>
      </c>
      <c r="D14" s="30" t="s">
        <v>2694</v>
      </c>
      <c r="E14" s="20"/>
      <c r="F14" s="31"/>
      <c r="G14" s="30"/>
      <c r="H14" s="20"/>
      <c r="I14" s="31"/>
      <c r="J14" s="30"/>
      <c r="K14" s="20"/>
      <c r="L14" s="31"/>
      <c r="M14" s="30" t="str">
        <f>VLOOKUP($C14,Fixtures!A:I,5,FALSE)</f>
        <v>PAR</v>
      </c>
      <c r="N14" s="20" t="s">
        <v>2687</v>
      </c>
      <c r="O14" s="31">
        <f>VLOOKUP($B14,PickedPlayers!D:Q,10,FALSE)</f>
        <v>0</v>
      </c>
      <c r="P14" s="30" t="str">
        <f>VLOOKUP($C14,Fixtures!A:I,6,FALSE)</f>
        <v>out</v>
      </c>
      <c r="Q14" s="20"/>
      <c r="R14" s="31">
        <f>VLOOKUP($B14,PickedPlayers!D:Q,11,FALSE)</f>
        <v>0</v>
      </c>
      <c r="S14" s="30" t="str">
        <f>VLOOKUP($C14,Fixtures!A:I,7,FALSE)</f>
        <v>out</v>
      </c>
      <c r="T14" s="20"/>
      <c r="U14" s="31">
        <f>VLOOKUP($B14,PickedPlayers!D:Q,12,FALSE)</f>
        <v>0</v>
      </c>
      <c r="V14" s="30" t="str">
        <f>VLOOKUP($C14,Fixtures!A:I,8,FALSE)</f>
        <v>out</v>
      </c>
      <c r="W14" s="20"/>
      <c r="X14" s="31">
        <f>VLOOKUP($B14,PickedPlayers!D:Q,13,FALSE)</f>
        <v>0</v>
      </c>
      <c r="Y14" s="30" t="str">
        <f>VLOOKUP($C14,Fixtures!A:I,9,FALSE)</f>
        <v>out</v>
      </c>
      <c r="Z14" s="20"/>
      <c r="AA14" s="31">
        <f>VLOOKUP($B14,PickedPlayers!D:Q,14,FALSE)</f>
        <v>0</v>
      </c>
    </row>
    <row r="15" spans="1:27" x14ac:dyDescent="0.25">
      <c r="A15" s="28" t="s">
        <v>2677</v>
      </c>
      <c r="B15" s="19" t="s">
        <v>275</v>
      </c>
      <c r="C15" s="29" t="s">
        <v>61</v>
      </c>
      <c r="D15" s="30" t="str">
        <f>VLOOKUP($C15,Fixtures!A:I,2,FALSE)</f>
        <v>SEN</v>
      </c>
      <c r="E15" s="20" t="s">
        <v>2691</v>
      </c>
      <c r="F15" s="31">
        <f>VLOOKUP($B15,PickedPlayers!D:Q,7,FALSE)</f>
        <v>0</v>
      </c>
      <c r="G15" s="30" t="str">
        <f>VLOOKUP($C15,Fixtures!A:I,3,FALSE)</f>
        <v>IRQ</v>
      </c>
      <c r="H15" s="20" t="s">
        <v>2692</v>
      </c>
      <c r="I15" s="31">
        <f>VLOOKUP($B15,PickedPlayers!D:Q,8,FALSE)</f>
        <v>0</v>
      </c>
      <c r="J15" s="30" t="str">
        <f>VLOOKUP($C15,Fixtures!A:I,4,FALSE)</f>
        <v>NOR</v>
      </c>
      <c r="K15" s="20" t="s">
        <v>2692</v>
      </c>
      <c r="L15" s="31">
        <f>VLOOKUP($B15,PickedPlayers!D:Q,9,FALSE)</f>
        <v>0</v>
      </c>
      <c r="M15" s="30" t="str">
        <f>VLOOKUP($C15,Fixtures!A:I,5,FALSE)</f>
        <v>SWE</v>
      </c>
      <c r="N15" s="20" t="s">
        <v>2691</v>
      </c>
      <c r="O15" s="31">
        <f>VLOOKUP($B15,PickedPlayers!D:Q,10,FALSE)</f>
        <v>0</v>
      </c>
      <c r="P15" s="30" t="str">
        <f>VLOOKUP($C15,Fixtures!A:I,6,FALSE)</f>
        <v>PAR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2677</v>
      </c>
      <c r="B16" s="19" t="s">
        <v>374</v>
      </c>
      <c r="C16" s="29" t="s">
        <v>40</v>
      </c>
      <c r="D16" s="30" t="str">
        <f>VLOOKUP($C16,Fixtures!A:I,2,FALSE)</f>
        <v>ALG</v>
      </c>
      <c r="E16" s="20" t="s">
        <v>2687</v>
      </c>
      <c r="F16" s="31">
        <f>VLOOKUP($B16,PickedPlayers!D:Q,7,FALSE)</f>
        <v>0</v>
      </c>
      <c r="G16" s="30" t="str">
        <f>VLOOKUP($C16,Fixtures!A:I,3,FALSE)</f>
        <v>AUT</v>
      </c>
      <c r="H16" s="20" t="s">
        <v>2688</v>
      </c>
      <c r="I16" s="31">
        <f>VLOOKUP($B16,PickedPlayers!D:Q,8,FALSE)</f>
        <v>0</v>
      </c>
      <c r="J16" s="30" t="str">
        <f>VLOOKUP($C16,Fixtures!A:I,4,FALSE)</f>
        <v>JOR</v>
      </c>
      <c r="K16" s="20" t="s">
        <v>2688</v>
      </c>
      <c r="L16" s="31">
        <f>VLOOKUP($B16,PickedPlayers!D:Q,9,FALSE)</f>
        <v>0</v>
      </c>
      <c r="M16" s="30" t="str">
        <f>VLOOKUP($C16,Fixtures!A:I,5,FALSE)</f>
        <v>CAP</v>
      </c>
      <c r="N16" s="20" t="s">
        <v>2687</v>
      </c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2677</v>
      </c>
      <c r="B17" s="19" t="s">
        <v>414</v>
      </c>
      <c r="C17" s="29" t="s">
        <v>122</v>
      </c>
      <c r="D17" s="30" t="str">
        <f>VLOOKUP($C17,Fixtures!A:I,2,FALSE)</f>
        <v>SAU</v>
      </c>
      <c r="E17" s="20" t="s">
        <v>2687</v>
      </c>
      <c r="F17" s="31">
        <f>VLOOKUP($B17,PickedPlayers!D:Q,7,FALSE)</f>
        <v>0</v>
      </c>
      <c r="G17" s="30" t="str">
        <f>VLOOKUP($C17,Fixtures!A:I,3,FALSE)</f>
        <v>CAP</v>
      </c>
      <c r="H17" s="20" t="s">
        <v>2695</v>
      </c>
      <c r="I17" s="31">
        <f>VLOOKUP($B17,PickedPlayers!D:Q,8,FALSE)</f>
        <v>0</v>
      </c>
      <c r="J17" s="30" t="str">
        <f>VLOOKUP($C17,Fixtures!A:I,4,FALSE)</f>
        <v>SPA</v>
      </c>
      <c r="K17" s="20" t="s">
        <v>2695</v>
      </c>
      <c r="L17" s="31">
        <f>VLOOKUP($B17,PickedPlayers!D:Q,9,FALSE)</f>
        <v>0</v>
      </c>
      <c r="M17" s="30" t="str">
        <f>VLOOKUP($C17,Fixtures!A:I,5,FALSE)</f>
        <v>out</v>
      </c>
      <c r="N17" s="20"/>
      <c r="O17" s="31">
        <f>VLOOKUP($B17,PickedPlayers!D:Q,10,FALSE)</f>
        <v>0</v>
      </c>
      <c r="P17" s="30" t="str">
        <f>VLOOKUP($C17,Fixtures!A:I,6,FALSE)</f>
        <v>out</v>
      </c>
      <c r="Q17" s="20"/>
      <c r="R17" s="31">
        <f>VLOOKUP($B17,PickedPlayers!D:Q,11,FALSE)</f>
        <v>0</v>
      </c>
      <c r="S17" s="30" t="str">
        <f>VLOOKUP($C17,Fixtures!A:I,7,FALSE)</f>
        <v>out</v>
      </c>
      <c r="T17" s="20"/>
      <c r="U17" s="31">
        <f>VLOOKUP($B17,PickedPlayers!D:Q,12,FALSE)</f>
        <v>0</v>
      </c>
      <c r="V17" s="30" t="str">
        <f>VLOOKUP($C17,Fixtures!A:I,8,FALSE)</f>
        <v>out</v>
      </c>
      <c r="W17" s="20"/>
      <c r="X17" s="31">
        <f>VLOOKUP($B17,PickedPlayers!D:Q,13,FALSE)</f>
        <v>0</v>
      </c>
      <c r="Y17" s="30" t="str">
        <f>VLOOKUP($C17,Fixtures!A:I,9,FALSE)</f>
        <v>out</v>
      </c>
      <c r="Z17" s="20"/>
      <c r="AA17" s="31">
        <f>VLOOKUP($B17,PickedPlayers!D:Q,14,FALSE)</f>
        <v>0</v>
      </c>
    </row>
    <row r="18" spans="1:27" x14ac:dyDescent="0.25">
      <c r="A18" s="28" t="s">
        <v>2677</v>
      </c>
      <c r="B18" s="19" t="s">
        <v>460</v>
      </c>
      <c r="C18" s="29" t="s">
        <v>113</v>
      </c>
      <c r="D18" s="30" t="str">
        <f>VLOOKUP($C18,Fixtures!A:I,2,FALSE)</f>
        <v>EGY</v>
      </c>
      <c r="E18" s="20" t="s">
        <v>2695</v>
      </c>
      <c r="F18" s="31">
        <f>VLOOKUP($B18,PickedPlayers!D:Q,7,FALSE)</f>
        <v>0</v>
      </c>
      <c r="G18" s="30" t="str">
        <f>VLOOKUP($C18,Fixtures!A:I,3,FALSE)</f>
        <v>IRA</v>
      </c>
      <c r="H18" s="20" t="s">
        <v>2687</v>
      </c>
      <c r="I18" s="31">
        <f>VLOOKUP($B18,PickedPlayers!D:Q,8,FALSE)</f>
        <v>0</v>
      </c>
      <c r="J18" s="30" t="str">
        <f>VLOOKUP($C18,Fixtures!A:I,4,FALSE)</f>
        <v>NZL</v>
      </c>
      <c r="K18" s="20" t="s">
        <v>2687</v>
      </c>
      <c r="L18" s="31">
        <f>VLOOKUP($B18,PickedPlayers!D:Q,9,FALSE)</f>
        <v>0</v>
      </c>
      <c r="M18" s="30" t="str">
        <f>VLOOKUP($C18,Fixtures!A:I,5,FALSE)</f>
        <v>SEN</v>
      </c>
      <c r="N18" s="20" t="s">
        <v>2687</v>
      </c>
      <c r="O18" s="31">
        <f>VLOOKUP($B18,PickedPlayers!D:Q,10,FALSE)</f>
        <v>0</v>
      </c>
      <c r="P18" s="30" t="str">
        <f>VLOOKUP($C18,Fixtures!A:I,6,FALSE)</f>
        <v>USA</v>
      </c>
      <c r="Q18" s="20"/>
      <c r="R18" s="31">
        <f>VLOOKUP($B18,PickedPlayers!D:Q,11,FALSE)</f>
        <v>0</v>
      </c>
      <c r="S18" s="30" t="str">
        <f>VLOOKUP($C18,Fixtures!A:I,7,FALSE)</f>
        <v>TBC</v>
      </c>
      <c r="T18" s="20"/>
      <c r="U18" s="31">
        <f>VLOOKUP($B18,PickedPlayers!D:Q,12,FALSE)</f>
        <v>0</v>
      </c>
      <c r="V18" s="30" t="str">
        <f>VLOOKUP($C18,Fixtures!A:I,8,FALSE)</f>
        <v>TBC</v>
      </c>
      <c r="W18" s="20"/>
      <c r="X18" s="31">
        <f>VLOOKUP($B18,PickedPlayers!D:Q,13,FALSE)</f>
        <v>0</v>
      </c>
      <c r="Y18" s="30" t="str">
        <f>VLOOKUP($C18,Fixtures!A:I,9,FALSE)</f>
        <v>TBC</v>
      </c>
      <c r="Z18" s="20"/>
      <c r="AA18" s="31">
        <f>VLOOKUP($B18,PickedPlayers!D:Q,14,FALSE)</f>
        <v>0</v>
      </c>
    </row>
    <row r="19" spans="1:27" ht="15.75" thickBot="1" x14ac:dyDescent="0.3">
      <c r="A19" s="32" t="s">
        <v>2677</v>
      </c>
      <c r="B19" s="33" t="s">
        <v>479</v>
      </c>
      <c r="C19" s="34" t="s">
        <v>61</v>
      </c>
      <c r="D19" s="30" t="str">
        <f>VLOOKUP($C19,Fixtures!A:I,2,FALSE)</f>
        <v>SEN</v>
      </c>
      <c r="E19" s="35" t="s">
        <v>2688</v>
      </c>
      <c r="F19" s="31">
        <f>VLOOKUP($B19,PickedPlayers!D:Q,7,FALSE)</f>
        <v>0</v>
      </c>
      <c r="G19" s="30" t="str">
        <f>VLOOKUP($C19,Fixtures!A:I,3,FALSE)</f>
        <v>IRQ</v>
      </c>
      <c r="H19" s="35" t="s">
        <v>2687</v>
      </c>
      <c r="I19" s="31">
        <f>VLOOKUP($B19,PickedPlayers!D:Q,8,FALSE)</f>
        <v>0</v>
      </c>
      <c r="J19" s="30" t="str">
        <f>VLOOKUP($C19,Fixtures!A:I,4,FALSE)</f>
        <v>NOR</v>
      </c>
      <c r="K19" s="35" t="s">
        <v>2687</v>
      </c>
      <c r="L19" s="31">
        <f>VLOOKUP($B19,PickedPlayers!D:Q,9,FALSE)</f>
        <v>0</v>
      </c>
      <c r="M19" s="30" t="str">
        <f>VLOOKUP($C19,Fixtures!A:I,5,FALSE)</f>
        <v>SWE</v>
      </c>
      <c r="N19" s="35" t="s">
        <v>2695</v>
      </c>
      <c r="O19" s="31">
        <f>VLOOKUP($B19,PickedPlayers!D:Q,10,FALSE)</f>
        <v>0</v>
      </c>
      <c r="P19" s="30" t="str">
        <f>VLOOKUP($C19,Fixtures!A:I,6,FALSE)</f>
        <v>PAR</v>
      </c>
      <c r="Q19" s="35"/>
      <c r="R19" s="31">
        <f>VLOOKUP($B19,PickedPlayers!D:Q,11,FALSE)</f>
        <v>0</v>
      </c>
      <c r="S19" s="30" t="str">
        <f>VLOOKUP($C19,Fixtures!A:I,7,FALSE)</f>
        <v>TBC</v>
      </c>
      <c r="T19" s="35"/>
      <c r="U19" s="31">
        <f>VLOOKUP($B19,PickedPlayers!D:Q,12,FALSE)</f>
        <v>0</v>
      </c>
      <c r="V19" s="30" t="str">
        <f>VLOOKUP($C19,Fixtures!A:I,8,FALSE)</f>
        <v>TBC</v>
      </c>
      <c r="W19" s="35"/>
      <c r="X19" s="31">
        <f>VLOOKUP($B19,PickedPlayers!D:Q,13,FALSE)</f>
        <v>0</v>
      </c>
      <c r="Y19" s="30" t="str">
        <f>VLOOKUP($C19,Fixtures!A:I,9,FALSE)</f>
        <v>TBC</v>
      </c>
      <c r="Z19" s="35"/>
      <c r="AA19" s="31">
        <f>VLOOKUP($B19,PickedPlayers!D:Q,14,FALSE)</f>
        <v>0</v>
      </c>
    </row>
    <row r="20" spans="1:27" s="18" customFormat="1" x14ac:dyDescent="0.25">
      <c r="A20" s="82"/>
      <c r="B20" s="83"/>
      <c r="C20" s="84"/>
      <c r="D20" s="67"/>
      <c r="E20" s="68"/>
      <c r="F20" s="69"/>
      <c r="G20" s="67"/>
      <c r="H20" s="68"/>
      <c r="I20" s="69"/>
      <c r="J20" s="67"/>
      <c r="K20" s="68"/>
      <c r="L20" s="69"/>
      <c r="M20" s="67"/>
      <c r="N20" s="68"/>
      <c r="O20" s="69"/>
      <c r="P20" s="67"/>
      <c r="Q20" s="68"/>
      <c r="R20" s="69"/>
      <c r="S20" s="67"/>
      <c r="T20" s="68"/>
      <c r="U20" s="69"/>
      <c r="V20" s="67"/>
      <c r="W20" s="68"/>
      <c r="X20" s="69"/>
      <c r="Y20" s="67"/>
      <c r="Z20" s="68"/>
      <c r="AA20" s="69"/>
    </row>
    <row r="21" spans="1:27" s="18" customFormat="1" ht="15.75" thickBot="1" x14ac:dyDescent="0.3">
      <c r="A21" s="85"/>
      <c r="B21" s="86"/>
      <c r="C21" s="87"/>
      <c r="D21" s="70"/>
      <c r="E21" s="71"/>
      <c r="F21" s="72"/>
      <c r="G21" s="70"/>
      <c r="H21" s="71"/>
      <c r="I21" s="72"/>
      <c r="J21" s="70"/>
      <c r="K21" s="71"/>
      <c r="L21" s="72"/>
      <c r="M21" s="70"/>
      <c r="N21" s="71"/>
      <c r="O21" s="72"/>
      <c r="P21" s="70"/>
      <c r="Q21" s="71"/>
      <c r="R21" s="72"/>
      <c r="S21" s="70"/>
      <c r="T21" s="71"/>
      <c r="U21" s="72"/>
      <c r="V21" s="70"/>
      <c r="W21" s="71"/>
      <c r="X21" s="72"/>
      <c r="Y21" s="70"/>
      <c r="Z21" s="71"/>
      <c r="AA21" s="72"/>
    </row>
    <row r="22" spans="1:27" ht="15" hidden="1" customHeight="1" x14ac:dyDescent="0.25">
      <c r="D22" s="21"/>
      <c r="E22" s="21"/>
      <c r="F22" s="21"/>
    </row>
  </sheetData>
  <mergeCells count="18">
    <mergeCell ref="V20:X21"/>
    <mergeCell ref="Y20:AA21"/>
    <mergeCell ref="S1:U1"/>
    <mergeCell ref="V1:X1"/>
    <mergeCell ref="Y1:AA1"/>
    <mergeCell ref="P20:R21"/>
    <mergeCell ref="S20:U21"/>
    <mergeCell ref="A1:C1"/>
    <mergeCell ref="D1:F1"/>
    <mergeCell ref="G1:I1"/>
    <mergeCell ref="J1:L1"/>
    <mergeCell ref="M1:O1"/>
    <mergeCell ref="P1:R1"/>
    <mergeCell ref="D20:F21"/>
    <mergeCell ref="G20:I21"/>
    <mergeCell ref="J20:L21"/>
    <mergeCell ref="M20:O21"/>
    <mergeCell ref="A20:C21"/>
  </mergeCells>
  <conditionalFormatting sqref="E3:E19">
    <cfRule type="containsText" dxfId="350" priority="105" operator="containsText" text="Vice Captain">
      <formula>NOT(ISERROR(SEARCH("Vice Captain",E3)))</formula>
    </cfRule>
    <cfRule type="containsText" dxfId="349" priority="106" operator="containsText" text="Off">
      <formula>NOT(ISERROR(SEARCH("Off",E3)))</formula>
    </cfRule>
    <cfRule type="containsText" dxfId="348" priority="107" operator="containsText" text="Sub">
      <formula>NOT(ISERROR(SEARCH("Sub",E3)))</formula>
    </cfRule>
    <cfRule type="containsText" dxfId="347" priority="108" operator="containsText" text="Captain">
      <formula>NOT(ISERROR(SEARCH("Captain",E3)))</formula>
    </cfRule>
    <cfRule type="containsText" dxfId="346" priority="109" operator="containsText" text="Picked">
      <formula>NOT(ISERROR(SEARCH("Picked",E3)))</formula>
    </cfRule>
  </conditionalFormatting>
  <conditionalFormatting sqref="H3:H19">
    <cfRule type="containsText" dxfId="345" priority="63" operator="containsText" text="Vice Captain">
      <formula>NOT(ISERROR(SEARCH("Vice Captain",H3)))</formula>
    </cfRule>
    <cfRule type="containsText" dxfId="344" priority="64" operator="containsText" text="Off">
      <formula>NOT(ISERROR(SEARCH("Off",H3)))</formula>
    </cfRule>
    <cfRule type="containsText" dxfId="343" priority="65" operator="containsText" text="Sub">
      <formula>NOT(ISERROR(SEARCH("Sub",H3)))</formula>
    </cfRule>
    <cfRule type="containsText" dxfId="342" priority="66" operator="containsText" text="Captain">
      <formula>NOT(ISERROR(SEARCH("Captain",H3)))</formula>
    </cfRule>
    <cfRule type="containsText" dxfId="341" priority="67" operator="containsText" text="Picked">
      <formula>NOT(ISERROR(SEARCH("Picked",H3)))</formula>
    </cfRule>
  </conditionalFormatting>
  <conditionalFormatting sqref="K3:K19">
    <cfRule type="containsText" dxfId="340" priority="28" operator="containsText" text="Vice Captain">
      <formula>NOT(ISERROR(SEARCH("Vice Captain",K3)))</formula>
    </cfRule>
    <cfRule type="containsText" dxfId="339" priority="29" operator="containsText" text="Off">
      <formula>NOT(ISERROR(SEARCH("Off",K3)))</formula>
    </cfRule>
    <cfRule type="containsText" dxfId="338" priority="30" operator="containsText" text="Sub">
      <formula>NOT(ISERROR(SEARCH("Sub",K3)))</formula>
    </cfRule>
    <cfRule type="containsText" dxfId="337" priority="31" operator="containsText" text="Captain">
      <formula>NOT(ISERROR(SEARCH("Captain",K3)))</formula>
    </cfRule>
    <cfRule type="containsText" dxfId="336" priority="32" operator="containsText" text="Picked">
      <formula>NOT(ISERROR(SEARCH("Picked",K3)))</formula>
    </cfRule>
  </conditionalFormatting>
  <conditionalFormatting sqref="M3:M19 P3:P19 S3:S19 V3:V19 Y3:Y19">
    <cfRule type="containsText" dxfId="335" priority="26" operator="containsText" text="tbc">
      <formula>NOT(ISERROR(SEARCH("tbc",M3)))</formula>
    </cfRule>
    <cfRule type="containsText" dxfId="334" priority="27" operator="containsText" text="Out">
      <formula>NOT(ISERROR(SEARCH("Out",M3)))</formula>
    </cfRule>
  </conditionalFormatting>
  <conditionalFormatting sqref="N3:N19">
    <cfRule type="containsText" dxfId="333" priority="1" operator="containsText" text="Vice Captain">
      <formula>NOT(ISERROR(SEARCH("Vice Captain",N3)))</formula>
    </cfRule>
    <cfRule type="containsText" dxfId="332" priority="2" operator="containsText" text="Off">
      <formula>NOT(ISERROR(SEARCH("Off",N3)))</formula>
    </cfRule>
    <cfRule type="containsText" dxfId="331" priority="3" operator="containsText" text="Sub">
      <formula>NOT(ISERROR(SEARCH("Sub",N3)))</formula>
    </cfRule>
    <cfRule type="containsText" dxfId="330" priority="4" operator="containsText" text="Captain">
      <formula>NOT(ISERROR(SEARCH("Captain",N3)))</formula>
    </cfRule>
    <cfRule type="containsText" dxfId="329" priority="5" operator="containsText" text="Picked">
      <formula>NOT(ISERROR(SEARCH("Picked",N3)))</formula>
    </cfRule>
  </conditionalFormatting>
  <conditionalFormatting sqref="Q3:Q19">
    <cfRule type="containsText" dxfId="328" priority="21" operator="containsText" text="Vice Captain">
      <formula>NOT(ISERROR(SEARCH("Vice Captain",Q3)))</formula>
    </cfRule>
    <cfRule type="containsText" dxfId="327" priority="22" operator="containsText" text="Off">
      <formula>NOT(ISERROR(SEARCH("Off",Q3)))</formula>
    </cfRule>
    <cfRule type="containsText" dxfId="326" priority="23" operator="containsText" text="Sub">
      <formula>NOT(ISERROR(SEARCH("Sub",Q3)))</formula>
    </cfRule>
    <cfRule type="containsText" dxfId="325" priority="24" operator="containsText" text="Captain">
      <formula>NOT(ISERROR(SEARCH("Captain",Q3)))</formula>
    </cfRule>
    <cfRule type="containsText" dxfId="324" priority="25" operator="containsText" text="Picked">
      <formula>NOT(ISERROR(SEARCH("Picked",Q3)))</formula>
    </cfRule>
  </conditionalFormatting>
  <conditionalFormatting sqref="T3:T19">
    <cfRule type="containsText" dxfId="323" priority="16" operator="containsText" text="Vice Captain">
      <formula>NOT(ISERROR(SEARCH("Vice Captain",T3)))</formula>
    </cfRule>
    <cfRule type="containsText" dxfId="322" priority="17" operator="containsText" text="Off">
      <formula>NOT(ISERROR(SEARCH("Off",T3)))</formula>
    </cfRule>
    <cfRule type="containsText" dxfId="321" priority="18" operator="containsText" text="Sub">
      <formula>NOT(ISERROR(SEARCH("Sub",T3)))</formula>
    </cfRule>
    <cfRule type="containsText" dxfId="320" priority="19" operator="containsText" text="Captain">
      <formula>NOT(ISERROR(SEARCH("Captain",T3)))</formula>
    </cfRule>
    <cfRule type="containsText" dxfId="319" priority="20" operator="containsText" text="Picked">
      <formula>NOT(ISERROR(SEARCH("Picked",T3)))</formula>
    </cfRule>
  </conditionalFormatting>
  <conditionalFormatting sqref="W3:W19">
    <cfRule type="containsText" dxfId="318" priority="11" operator="containsText" text="Vice Captain">
      <formula>NOT(ISERROR(SEARCH("Vice Captain",W3)))</formula>
    </cfRule>
    <cfRule type="containsText" dxfId="317" priority="12" operator="containsText" text="Off">
      <formula>NOT(ISERROR(SEARCH("Off",W3)))</formula>
    </cfRule>
    <cfRule type="containsText" dxfId="316" priority="13" operator="containsText" text="Sub">
      <formula>NOT(ISERROR(SEARCH("Sub",W3)))</formula>
    </cfRule>
    <cfRule type="containsText" dxfId="315" priority="14" operator="containsText" text="Captain">
      <formula>NOT(ISERROR(SEARCH("Captain",W3)))</formula>
    </cfRule>
    <cfRule type="containsText" dxfId="314" priority="15" operator="containsText" text="Picked">
      <formula>NOT(ISERROR(SEARCH("Picked",W3)))</formula>
    </cfRule>
  </conditionalFormatting>
  <conditionalFormatting sqref="Z3:Z19">
    <cfRule type="containsText" dxfId="313" priority="6" operator="containsText" text="Vice Captain">
      <formula>NOT(ISERROR(SEARCH("Vice Captain",Z3)))</formula>
    </cfRule>
    <cfRule type="containsText" dxfId="312" priority="7" operator="containsText" text="Off">
      <formula>NOT(ISERROR(SEARCH("Off",Z3)))</formula>
    </cfRule>
    <cfRule type="containsText" dxfId="311" priority="8" operator="containsText" text="Sub">
      <formula>NOT(ISERROR(SEARCH("Sub",Z3)))</formula>
    </cfRule>
    <cfRule type="containsText" dxfId="310" priority="9" operator="containsText" text="Captain">
      <formula>NOT(ISERROR(SEARCH("Captain",Z3)))</formula>
    </cfRule>
    <cfRule type="containsText" dxfId="309" priority="10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9A3E01-4C87-4D14-978C-FE0007693C78}">
          <x14:formula1>
            <xm:f>Lookups!$F$2:$F$6</xm:f>
          </x14:formula1>
          <xm:sqref>E3:E4 T3:T4 W3:W4 H3:H4 Z3:Z4 N3:N4 Q3:Q4 K3:K4</xm:sqref>
        </x14:dataValidation>
        <x14:dataValidation type="list" allowBlank="1" showInputMessage="1" showErrorMessage="1" xr:uid="{2964A4A2-0946-4A91-A84D-733E655416F3}">
          <x14:formula1>
            <xm:f>Lookups!$E$2:$E$9</xm:f>
          </x14:formula1>
          <xm:sqref>E5:E19 H5:H19 K5:K19 Q5:Q19 N5:N19 Z5:Z19 W5:W19 T5:T19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F174-F382-4D65-900A-6B10CA549526}">
  <dimension ref="A1:AA22"/>
  <sheetViews>
    <sheetView topLeftCell="B1" workbookViewId="0">
      <selection activeCell="Q3" sqref="Q3"/>
    </sheetView>
  </sheetViews>
  <sheetFormatPr defaultColWidth="9.140625" defaultRowHeight="15" customHeight="1" zeroHeight="1" x14ac:dyDescent="0.25"/>
  <cols>
    <col min="1" max="1" width="9.140625" style="54"/>
    <col min="2" max="2" width="15.28515625" style="54" bestFit="1" customWidth="1"/>
    <col min="3" max="3" width="9.140625" style="54" customWidth="1"/>
    <col min="4" max="4" width="10.7109375" style="1" customWidth="1"/>
    <col min="5" max="5" width="12" style="1" customWidth="1"/>
    <col min="6" max="6" width="6.7109375" style="1" customWidth="1"/>
    <col min="7" max="7" width="11" style="1" customWidth="1"/>
    <col min="8" max="8" width="12" style="1" customWidth="1"/>
    <col min="9" max="9" width="6.7109375" style="1" customWidth="1"/>
    <col min="10" max="10" width="9.140625" style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73" t="s">
        <v>2678</v>
      </c>
      <c r="B1" s="74"/>
      <c r="C1" s="75"/>
      <c r="D1" s="76" t="s">
        <v>2679</v>
      </c>
      <c r="E1" s="77"/>
      <c r="F1" s="78"/>
      <c r="G1" s="79" t="s">
        <v>2680</v>
      </c>
      <c r="H1" s="80"/>
      <c r="I1" s="81"/>
      <c r="J1" s="79" t="s">
        <v>2681</v>
      </c>
      <c r="K1" s="80"/>
      <c r="L1" s="81"/>
      <c r="M1" s="79" t="s">
        <v>36</v>
      </c>
      <c r="N1" s="80"/>
      <c r="O1" s="81"/>
      <c r="P1" s="79" t="s">
        <v>23</v>
      </c>
      <c r="Q1" s="80"/>
      <c r="R1" s="81"/>
      <c r="S1" s="79" t="s">
        <v>17</v>
      </c>
      <c r="T1" s="80"/>
      <c r="U1" s="81"/>
      <c r="V1" s="79" t="s">
        <v>13</v>
      </c>
      <c r="W1" s="80"/>
      <c r="X1" s="81"/>
      <c r="Y1" s="79" t="s">
        <v>9</v>
      </c>
      <c r="Z1" s="80"/>
      <c r="AA1" s="81"/>
    </row>
    <row r="2" spans="1:27" x14ac:dyDescent="0.25">
      <c r="A2" s="22" t="s">
        <v>271</v>
      </c>
      <c r="B2" s="23" t="s">
        <v>268</v>
      </c>
      <c r="C2" s="24" t="s">
        <v>2671</v>
      </c>
      <c r="D2" s="25" t="s">
        <v>2682</v>
      </c>
      <c r="E2" s="26" t="s">
        <v>2683</v>
      </c>
      <c r="F2" s="27" t="s">
        <v>2684</v>
      </c>
      <c r="G2" s="25" t="s">
        <v>2682</v>
      </c>
      <c r="H2" s="26" t="s">
        <v>2683</v>
      </c>
      <c r="I2" s="27" t="s">
        <v>2684</v>
      </c>
      <c r="J2" s="25" t="s">
        <v>2682</v>
      </c>
      <c r="K2" s="26" t="s">
        <v>2683</v>
      </c>
      <c r="L2" s="27" t="s">
        <v>2684</v>
      </c>
      <c r="M2" s="25" t="s">
        <v>2682</v>
      </c>
      <c r="N2" s="26" t="s">
        <v>2683</v>
      </c>
      <c r="O2" s="27" t="s">
        <v>2684</v>
      </c>
      <c r="P2" s="25" t="s">
        <v>2682</v>
      </c>
      <c r="Q2" s="26" t="s">
        <v>2683</v>
      </c>
      <c r="R2" s="27" t="s">
        <v>2684</v>
      </c>
      <c r="S2" s="25" t="s">
        <v>2682</v>
      </c>
      <c r="T2" s="26" t="s">
        <v>2683</v>
      </c>
      <c r="U2" s="27" t="s">
        <v>2684</v>
      </c>
      <c r="V2" s="25" t="s">
        <v>2682</v>
      </c>
      <c r="W2" s="26" t="s">
        <v>2683</v>
      </c>
      <c r="X2" s="27" t="s">
        <v>2684</v>
      </c>
      <c r="Y2" s="25" t="s">
        <v>2682</v>
      </c>
      <c r="Z2" s="26" t="s">
        <v>2683</v>
      </c>
      <c r="AA2" s="27" t="s">
        <v>2684</v>
      </c>
    </row>
    <row r="3" spans="1:27" x14ac:dyDescent="0.25">
      <c r="A3" s="28" t="s">
        <v>2673</v>
      </c>
      <c r="B3" s="19" t="s">
        <v>334</v>
      </c>
      <c r="C3" s="29" t="s">
        <v>109</v>
      </c>
      <c r="D3" s="30" t="str">
        <f>VLOOKUP($C3,Fixtures!A:I,2,FALSE)</f>
        <v>CRO</v>
      </c>
      <c r="E3" s="20" t="s">
        <v>2687</v>
      </c>
      <c r="F3" s="31">
        <f>VLOOKUP($B3,PickedPlayers!D:Q,7,FALSE)</f>
        <v>0</v>
      </c>
      <c r="G3" s="30" t="str">
        <f>VLOOKUP($C3,Fixtures!A:I,3,FALSE)</f>
        <v>GHA</v>
      </c>
      <c r="H3" s="20" t="s">
        <v>2687</v>
      </c>
      <c r="I3" s="31">
        <f>VLOOKUP($B3,PickedPlayers!D:Q,8,FALSE)</f>
        <v>0</v>
      </c>
      <c r="J3" s="30" t="str">
        <f>VLOOKUP($C3,Fixtures!A:I,4,FALSE)</f>
        <v>PAN</v>
      </c>
      <c r="K3" s="20" t="s">
        <v>2687</v>
      </c>
      <c r="L3" s="31">
        <f>VLOOKUP($B3,PickedPlayers!D:Q,9,FALSE)</f>
        <v>0</v>
      </c>
      <c r="M3" s="30" t="str">
        <f>VLOOKUP($C3,Fixtures!A:I,5,FALSE)</f>
        <v>CON</v>
      </c>
      <c r="N3" s="20" t="s">
        <v>2687</v>
      </c>
      <c r="O3" s="31">
        <f>VLOOKUP($B3,PickedPlayers!D:Q,10,FALSE)</f>
        <v>0</v>
      </c>
      <c r="P3" s="30" t="str">
        <f>VLOOKUP($C3,Fixtures!A:I,6,FALSE)</f>
        <v>MEX</v>
      </c>
      <c r="Q3" s="20" t="s">
        <v>2687</v>
      </c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2673</v>
      </c>
      <c r="B4" s="19" t="s">
        <v>517</v>
      </c>
      <c r="C4" s="29" t="s">
        <v>79</v>
      </c>
      <c r="D4" s="30" t="str">
        <f>VLOOKUP($C4,Fixtures!A:I,2,FALSE)</f>
        <v>NED</v>
      </c>
      <c r="E4" s="20" t="s">
        <v>2686</v>
      </c>
      <c r="F4" s="31">
        <f>VLOOKUP($B4,PickedPlayers!D:Q,7,FALSE)</f>
        <v>0</v>
      </c>
      <c r="G4" s="30" t="str">
        <f>VLOOKUP($C4,Fixtures!A:I,3,FALSE)</f>
        <v>TUN</v>
      </c>
      <c r="H4" s="20" t="s">
        <v>2686</v>
      </c>
      <c r="I4" s="31">
        <f>VLOOKUP($B4,PickedPlayers!D:Q,8,FALSE)</f>
        <v>0</v>
      </c>
      <c r="J4" s="30" t="str">
        <f>VLOOKUP($C4,Fixtures!A:I,4,FALSE)</f>
        <v>SWE</v>
      </c>
      <c r="K4" s="20" t="s">
        <v>2686</v>
      </c>
      <c r="L4" s="31">
        <f>VLOOKUP($B4,PickedPlayers!D:Q,9,FALSE)</f>
        <v>0</v>
      </c>
      <c r="M4" s="30" t="str">
        <f>VLOOKUP($C4,Fixtures!A:I,5,FALSE)</f>
        <v>BRA</v>
      </c>
      <c r="N4" s="20" t="s">
        <v>2686</v>
      </c>
      <c r="O4" s="31">
        <f>VLOOKUP($B4,PickedPlayers!D:Q,10,FALSE)</f>
        <v>0</v>
      </c>
      <c r="P4" s="30" t="str">
        <f>VLOOKUP($C4,Fixtures!A:I,6,FALSE)</f>
        <v>out</v>
      </c>
      <c r="Q4" s="20"/>
      <c r="R4" s="31">
        <f>VLOOKUP($B4,PickedPlayers!D:Q,11,FALSE)</f>
        <v>0</v>
      </c>
      <c r="S4" s="30" t="str">
        <f>VLOOKUP($C4,Fixtures!A:I,7,FALSE)</f>
        <v>out</v>
      </c>
      <c r="T4" s="20"/>
      <c r="U4" s="31">
        <f>VLOOKUP($B4,PickedPlayers!D:Q,12,FALSE)</f>
        <v>0</v>
      </c>
      <c r="V4" s="30" t="str">
        <f>VLOOKUP($C4,Fixtures!A:I,8,FALSE)</f>
        <v>out</v>
      </c>
      <c r="W4" s="20"/>
      <c r="X4" s="31">
        <f>VLOOKUP($B4,PickedPlayers!D:Q,13,FALSE)</f>
        <v>0</v>
      </c>
      <c r="Y4" s="30" t="str">
        <f>VLOOKUP($C4,Fixtures!A:I,9,FALSE)</f>
        <v>out</v>
      </c>
      <c r="Z4" s="20"/>
      <c r="AA4" s="31">
        <f>VLOOKUP($B4,PickedPlayers!D:Q,14,FALSE)</f>
        <v>0</v>
      </c>
    </row>
    <row r="5" spans="1:27" x14ac:dyDescent="0.25">
      <c r="A5" s="28" t="s">
        <v>2674</v>
      </c>
      <c r="B5" s="19" t="s">
        <v>376</v>
      </c>
      <c r="C5" s="29" t="s">
        <v>61</v>
      </c>
      <c r="D5" s="30" t="str">
        <f>VLOOKUP($C5,Fixtures!A:I,2,FALSE)</f>
        <v>SEN</v>
      </c>
      <c r="E5" s="20" t="s">
        <v>2687</v>
      </c>
      <c r="F5" s="31">
        <f>VLOOKUP($B5,PickedPlayers!D:Q,7,FALSE)</f>
        <v>0</v>
      </c>
      <c r="G5" s="30" t="str">
        <f>VLOOKUP($C5,Fixtures!A:I,3,FALSE)</f>
        <v>IRQ</v>
      </c>
      <c r="H5" s="20" t="s">
        <v>2687</v>
      </c>
      <c r="I5" s="31">
        <f>VLOOKUP($B5,PickedPlayers!D:Q,8,FALSE)</f>
        <v>0</v>
      </c>
      <c r="J5" s="30" t="str">
        <f>VLOOKUP($C5,Fixtures!A:I,4,FALSE)</f>
        <v>NOR</v>
      </c>
      <c r="K5" s="20" t="s">
        <v>2690</v>
      </c>
      <c r="L5" s="31">
        <f>VLOOKUP($B5,PickedPlayers!D:Q,9,FALSE)</f>
        <v>0</v>
      </c>
      <c r="M5" s="30" t="str">
        <f>VLOOKUP($C5,Fixtures!A:I,5,FALSE)</f>
        <v>SWE</v>
      </c>
      <c r="N5" s="20" t="s">
        <v>2687</v>
      </c>
      <c r="O5" s="31">
        <f>VLOOKUP($B5,PickedPlayers!D:Q,10,FALSE)</f>
        <v>0</v>
      </c>
      <c r="P5" s="30" t="str">
        <f>VLOOKUP($C5,Fixtures!A:I,6,FALSE)</f>
        <v>PAR</v>
      </c>
      <c r="Q5" s="20" t="s">
        <v>2687</v>
      </c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2674</v>
      </c>
      <c r="B6" s="19" t="s">
        <v>456</v>
      </c>
      <c r="C6" s="29" t="s">
        <v>2522</v>
      </c>
      <c r="D6" s="30" t="str">
        <f>VLOOKUP($C6,Fixtures!A:I,2,FALSE)</f>
        <v>PAR</v>
      </c>
      <c r="E6" s="20" t="s">
        <v>2690</v>
      </c>
      <c r="F6" s="31">
        <f>VLOOKUP($B6,PickedPlayers!D:Q,7,FALSE)</f>
        <v>0</v>
      </c>
      <c r="G6" s="30" t="str">
        <f>VLOOKUP($C6,Fixtures!A:I,3,FALSE)</f>
        <v>AUS</v>
      </c>
      <c r="H6" s="20" t="s">
        <v>2687</v>
      </c>
      <c r="I6" s="31">
        <f>VLOOKUP($B6,PickedPlayers!D:Q,8,FALSE)</f>
        <v>0</v>
      </c>
      <c r="J6" s="30" t="str">
        <f>VLOOKUP($C6,Fixtures!A:I,4,FALSE)</f>
        <v>TUR</v>
      </c>
      <c r="K6" s="20" t="s">
        <v>2687</v>
      </c>
      <c r="L6" s="31">
        <f>VLOOKUP($B6,PickedPlayers!D:Q,9,FALSE)</f>
        <v>0</v>
      </c>
      <c r="M6" s="30" t="str">
        <f>VLOOKUP($C6,Fixtures!A:I,5,FALSE)</f>
        <v>BOS</v>
      </c>
      <c r="N6" s="20" t="s">
        <v>2691</v>
      </c>
      <c r="O6" s="31">
        <f>VLOOKUP($B6,PickedPlayers!D:Q,10,FALSE)</f>
        <v>0</v>
      </c>
      <c r="P6" s="30" t="str">
        <f>VLOOKUP($C6,Fixtures!A:I,6,FALSE)</f>
        <v>BEL</v>
      </c>
      <c r="Q6" s="20" t="s">
        <v>2687</v>
      </c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2674</v>
      </c>
      <c r="B7" s="19" t="s">
        <v>458</v>
      </c>
      <c r="C7" s="29" t="s">
        <v>104</v>
      </c>
      <c r="D7" s="30" t="str">
        <f>VLOOKUP($C7,Fixtures!A:I,2,FALSE)</f>
        <v>ENG</v>
      </c>
      <c r="E7" s="20" t="s">
        <v>2689</v>
      </c>
      <c r="F7" s="31">
        <f>VLOOKUP($B7,PickedPlayers!D:Q,7,FALSE)</f>
        <v>0</v>
      </c>
      <c r="G7" s="30" t="str">
        <f>VLOOKUP($C7,Fixtures!A:I,3,FALSE)</f>
        <v>PAN</v>
      </c>
      <c r="H7" s="20" t="s">
        <v>2685</v>
      </c>
      <c r="I7" s="31">
        <f>VLOOKUP($B7,PickedPlayers!D:Q,8,FALSE)</f>
        <v>0</v>
      </c>
      <c r="J7" s="30" t="str">
        <f>VLOOKUP($C7,Fixtures!A:I,4,FALSE)</f>
        <v>GHA</v>
      </c>
      <c r="K7" s="20" t="s">
        <v>2685</v>
      </c>
      <c r="L7" s="31">
        <f>VLOOKUP($B7,PickedPlayers!D:Q,9,FALSE)</f>
        <v>0</v>
      </c>
      <c r="M7" s="30" t="str">
        <f>VLOOKUP($C7,Fixtures!A:I,5,FALSE)</f>
        <v>POR</v>
      </c>
      <c r="N7" s="20" t="s">
        <v>2688</v>
      </c>
      <c r="O7" s="31">
        <f>VLOOKUP($B7,PickedPlayers!D:Q,10,FALSE)</f>
        <v>0</v>
      </c>
      <c r="P7" s="30" t="str">
        <f>VLOOKUP($C7,Fixtures!A:I,6,FALSE)</f>
        <v>out</v>
      </c>
      <c r="Q7" s="20"/>
      <c r="R7" s="31">
        <f>VLOOKUP($B7,PickedPlayers!D:Q,11,FALSE)</f>
        <v>0</v>
      </c>
      <c r="S7" s="30" t="str">
        <f>VLOOKUP($C7,Fixtures!A:I,7,FALSE)</f>
        <v>out</v>
      </c>
      <c r="T7" s="20"/>
      <c r="U7" s="31">
        <f>VLOOKUP($B7,PickedPlayers!D:Q,12,FALSE)</f>
        <v>0</v>
      </c>
      <c r="V7" s="30" t="str">
        <f>VLOOKUP($C7,Fixtures!A:I,8,FALSE)</f>
        <v>out</v>
      </c>
      <c r="W7" s="20"/>
      <c r="X7" s="31">
        <f>VLOOKUP($B7,PickedPlayers!D:Q,13,FALSE)</f>
        <v>0</v>
      </c>
      <c r="Y7" s="30" t="str">
        <f>VLOOKUP($C7,Fixtures!A:I,9,FALSE)</f>
        <v>out</v>
      </c>
      <c r="Z7" s="20"/>
      <c r="AA7" s="31">
        <f>VLOOKUP($B7,PickedPlayers!D:Q,14,FALSE)</f>
        <v>0</v>
      </c>
    </row>
    <row r="8" spans="1:27" x14ac:dyDescent="0.25">
      <c r="A8" s="28" t="s">
        <v>2674</v>
      </c>
      <c r="B8" s="19" t="s">
        <v>477</v>
      </c>
      <c r="C8" s="29" t="s">
        <v>40</v>
      </c>
      <c r="D8" s="30" t="str">
        <f>VLOOKUP($C8,Fixtures!A:I,2,FALSE)</f>
        <v>ALG</v>
      </c>
      <c r="E8" s="20" t="s">
        <v>2687</v>
      </c>
      <c r="F8" s="31">
        <f>VLOOKUP($B8,PickedPlayers!D:Q,7,FALSE)</f>
        <v>0</v>
      </c>
      <c r="G8" s="30" t="str">
        <f>VLOOKUP($C8,Fixtures!A:I,3,FALSE)</f>
        <v>AUT</v>
      </c>
      <c r="H8" s="20" t="s">
        <v>2687</v>
      </c>
      <c r="I8" s="31">
        <f>VLOOKUP($B8,PickedPlayers!D:Q,8,FALSE)</f>
        <v>0</v>
      </c>
      <c r="J8" s="30" t="str">
        <f>VLOOKUP($C8,Fixtures!A:I,4,FALSE)</f>
        <v>JOR</v>
      </c>
      <c r="K8" s="20" t="s">
        <v>2691</v>
      </c>
      <c r="L8" s="31">
        <f>VLOOKUP($B8,PickedPlayers!D:Q,9,FALSE)</f>
        <v>0</v>
      </c>
      <c r="M8" s="30" t="str">
        <f>VLOOKUP($C8,Fixtures!A:I,5,FALSE)</f>
        <v>CAP</v>
      </c>
      <c r="N8" s="20" t="s">
        <v>2687</v>
      </c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2674</v>
      </c>
      <c r="B9" s="19" t="s">
        <v>523</v>
      </c>
      <c r="C9" s="29" t="s">
        <v>100</v>
      </c>
      <c r="D9" s="30" t="str">
        <f>VLOOKUP($C9,Fixtures!A:I,2,FALSE)</f>
        <v>UZB</v>
      </c>
      <c r="E9" s="20" t="s">
        <v>2687</v>
      </c>
      <c r="F9" s="31">
        <f>VLOOKUP($B9,PickedPlayers!D:Q,7,FALSE)</f>
        <v>0</v>
      </c>
      <c r="G9" s="30" t="str">
        <f>VLOOKUP($C9,Fixtures!A:I,3,FALSE)</f>
        <v>CON</v>
      </c>
      <c r="H9" s="20" t="s">
        <v>2687</v>
      </c>
      <c r="I9" s="31">
        <f>VLOOKUP($B9,PickedPlayers!D:Q,8,FALSE)</f>
        <v>0</v>
      </c>
      <c r="J9" s="30" t="str">
        <f>VLOOKUP($C9,Fixtures!A:I,4,FALSE)</f>
        <v>POR</v>
      </c>
      <c r="K9" s="20" t="s">
        <v>2687</v>
      </c>
      <c r="L9" s="31">
        <f>VLOOKUP($B9,PickedPlayers!D:Q,9,FALSE)</f>
        <v>0</v>
      </c>
      <c r="M9" s="30" t="str">
        <f>VLOOKUP($C9,Fixtures!A:I,5,FALSE)</f>
        <v>GHA</v>
      </c>
      <c r="N9" s="20" t="s">
        <v>2687</v>
      </c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2675</v>
      </c>
      <c r="B10" s="19" t="s">
        <v>310</v>
      </c>
      <c r="C10" s="29" t="s">
        <v>156</v>
      </c>
      <c r="D10" s="30" t="str">
        <f>VLOOKUP($C10,Fixtures!A:I,2,FALSE)</f>
        <v>HAI</v>
      </c>
      <c r="E10" s="20" t="s">
        <v>2691</v>
      </c>
      <c r="F10" s="31">
        <f>VLOOKUP($B10,PickedPlayers!D:Q,7,FALSE)</f>
        <v>0</v>
      </c>
      <c r="G10" s="30" t="str">
        <f>VLOOKUP($C10,Fixtures!A:I,3,FALSE)</f>
        <v>MOR</v>
      </c>
      <c r="H10" s="20" t="s">
        <v>2687</v>
      </c>
      <c r="I10" s="31">
        <f>VLOOKUP($B10,PickedPlayers!D:Q,8,FALSE)</f>
        <v>0</v>
      </c>
      <c r="J10" s="30" t="str">
        <f>VLOOKUP($C10,Fixtures!A:I,4,FALSE)</f>
        <v>BRA</v>
      </c>
      <c r="K10" s="20" t="s">
        <v>2687</v>
      </c>
      <c r="L10" s="31">
        <f>VLOOKUP($B10,PickedPlayers!D:Q,9,FALSE)</f>
        <v>0</v>
      </c>
      <c r="M10" s="30" t="str">
        <f>VLOOKUP($C10,Fixtures!A:I,5,FALSE)</f>
        <v>out</v>
      </c>
      <c r="N10" s="20"/>
      <c r="O10" s="31">
        <f>VLOOKUP($B10,PickedPlayers!D:Q,10,FALSE)</f>
        <v>0</v>
      </c>
      <c r="P10" s="30" t="str">
        <f>VLOOKUP($C10,Fixtures!A:I,6,FALSE)</f>
        <v>out</v>
      </c>
      <c r="Q10" s="20"/>
      <c r="R10" s="31">
        <f>VLOOKUP($B10,PickedPlayers!D:Q,11,FALSE)</f>
        <v>0</v>
      </c>
      <c r="S10" s="30" t="str">
        <f>VLOOKUP($C10,Fixtures!A:I,7,FALSE)</f>
        <v>out</v>
      </c>
      <c r="T10" s="20"/>
      <c r="U10" s="31">
        <f>VLOOKUP($B10,PickedPlayers!D:Q,12,FALSE)</f>
        <v>0</v>
      </c>
      <c r="V10" s="30" t="str">
        <f>VLOOKUP($C10,Fixtures!A:I,8,FALSE)</f>
        <v>out</v>
      </c>
      <c r="W10" s="20"/>
      <c r="X10" s="31">
        <f>VLOOKUP($B10,PickedPlayers!D:Q,13,FALSE)</f>
        <v>0</v>
      </c>
      <c r="Y10" s="30" t="str">
        <f>VLOOKUP($C10,Fixtures!A:I,9,FALSE)</f>
        <v>out</v>
      </c>
      <c r="Z10" s="20"/>
      <c r="AA10" s="31">
        <f>VLOOKUP($B10,PickedPlayers!D:Q,14,FALSE)</f>
        <v>0</v>
      </c>
    </row>
    <row r="11" spans="1:27" x14ac:dyDescent="0.25">
      <c r="A11" s="28" t="s">
        <v>2675</v>
      </c>
      <c r="B11" s="19" t="s">
        <v>386</v>
      </c>
      <c r="C11" s="29" t="s">
        <v>2522</v>
      </c>
      <c r="D11" s="30" t="str">
        <f>VLOOKUP($C11,Fixtures!A:I,2,FALSE)</f>
        <v>PAR</v>
      </c>
      <c r="E11" s="20" t="s">
        <v>2687</v>
      </c>
      <c r="F11" s="31">
        <f>VLOOKUP($B11,PickedPlayers!D:Q,7,FALSE)</f>
        <v>0</v>
      </c>
      <c r="G11" s="30" t="str">
        <f>VLOOKUP($C11,Fixtures!A:I,3,FALSE)</f>
        <v>AUS</v>
      </c>
      <c r="H11" s="20" t="s">
        <v>2685</v>
      </c>
      <c r="I11" s="31">
        <f>VLOOKUP($B11,PickedPlayers!D:Q,8,FALSE)</f>
        <v>0</v>
      </c>
      <c r="J11" s="30" t="str">
        <f>VLOOKUP($C11,Fixtures!A:I,4,FALSE)</f>
        <v>TUR</v>
      </c>
      <c r="K11" s="20" t="s">
        <v>2687</v>
      </c>
      <c r="L11" s="31">
        <f>VLOOKUP($B11,PickedPlayers!D:Q,9,FALSE)</f>
        <v>0</v>
      </c>
      <c r="M11" s="30" t="str">
        <f>VLOOKUP($C11,Fixtures!A:I,5,FALSE)</f>
        <v>BOS</v>
      </c>
      <c r="N11" s="20" t="s">
        <v>2687</v>
      </c>
      <c r="O11" s="31">
        <f>VLOOKUP($B11,PickedPlayers!D:Q,10,FALSE)</f>
        <v>0</v>
      </c>
      <c r="P11" s="30" t="str">
        <f>VLOOKUP($C11,Fixtures!A:I,6,FALSE)</f>
        <v>BEL</v>
      </c>
      <c r="Q11" s="20" t="s">
        <v>2687</v>
      </c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2675</v>
      </c>
      <c r="B12" s="19" t="s">
        <v>416</v>
      </c>
      <c r="C12" s="29" t="s">
        <v>66</v>
      </c>
      <c r="D12" s="30" t="str">
        <f>VLOOKUP($C12,Fixtures!A:I,2,FALSE)</f>
        <v>IRQ</v>
      </c>
      <c r="E12" s="20" t="s">
        <v>2687</v>
      </c>
      <c r="F12" s="31">
        <f>VLOOKUP($B12,PickedPlayers!D:Q,7,FALSE)</f>
        <v>0</v>
      </c>
      <c r="G12" s="30" t="str">
        <f>VLOOKUP($C12,Fixtures!A:I,3,FALSE)</f>
        <v>SEN</v>
      </c>
      <c r="H12" s="20" t="s">
        <v>2687</v>
      </c>
      <c r="I12" s="31">
        <f>VLOOKUP($B12,PickedPlayers!D:Q,8,FALSE)</f>
        <v>0</v>
      </c>
      <c r="J12" s="30" t="str">
        <f>VLOOKUP($C12,Fixtures!A:I,4,FALSE)</f>
        <v>FRA</v>
      </c>
      <c r="K12" s="20" t="s">
        <v>2687</v>
      </c>
      <c r="L12" s="31">
        <f>VLOOKUP($B12,PickedPlayers!D:Q,9,FALSE)</f>
        <v>0</v>
      </c>
      <c r="M12" s="30" t="str">
        <f>VLOOKUP($C12,Fixtures!A:I,5,FALSE)</f>
        <v>IVO</v>
      </c>
      <c r="N12" s="20" t="s">
        <v>2687</v>
      </c>
      <c r="O12" s="31">
        <f>VLOOKUP($B12,PickedPlayers!D:Q,10,FALSE)</f>
        <v>0</v>
      </c>
      <c r="P12" s="30" t="str">
        <f>VLOOKUP($C12,Fixtures!A:I,6,FALSE)</f>
        <v>BRA</v>
      </c>
      <c r="Q12" s="20" t="s">
        <v>2687</v>
      </c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2675</v>
      </c>
      <c r="B13" s="19" t="s">
        <v>434</v>
      </c>
      <c r="C13" s="29" t="s">
        <v>2696</v>
      </c>
      <c r="D13" s="30" t="str">
        <f>VLOOKUP($C13,Fixtures!A:I,2,FALSE)</f>
        <v>AUS</v>
      </c>
      <c r="E13" s="20" t="s">
        <v>2687</v>
      </c>
      <c r="F13" s="31">
        <f>VLOOKUP($B13,PickedPlayers!D:Q,7,FALSE)</f>
        <v>0</v>
      </c>
      <c r="G13" s="30" t="str">
        <f>VLOOKUP($C13,Fixtures!A:I,3,FALSE)</f>
        <v>PAR</v>
      </c>
      <c r="H13" s="20" t="s">
        <v>2687</v>
      </c>
      <c r="I13" s="31">
        <f>VLOOKUP($B13,PickedPlayers!D:Q,8,FALSE)</f>
        <v>0</v>
      </c>
      <c r="J13" s="30" t="str">
        <f>VLOOKUP($C13,Fixtures!A:I,4,FALSE)</f>
        <v>USA</v>
      </c>
      <c r="K13" s="20" t="s">
        <v>2687</v>
      </c>
      <c r="L13" s="31">
        <f>VLOOKUP($B13,PickedPlayers!D:Q,9,FALSE)</f>
        <v>0</v>
      </c>
      <c r="M13" s="58" t="s">
        <v>2693</v>
      </c>
      <c r="N13" s="59"/>
      <c r="O13" s="60"/>
      <c r="P13" s="58" t="s">
        <v>2693</v>
      </c>
      <c r="Q13" s="59"/>
      <c r="R13" s="60"/>
      <c r="S13" s="58" t="s">
        <v>2693</v>
      </c>
      <c r="T13" s="59"/>
      <c r="U13" s="60"/>
      <c r="V13" s="58" t="s">
        <v>2693</v>
      </c>
      <c r="W13" s="59"/>
      <c r="X13" s="60"/>
      <c r="Y13" s="58" t="s">
        <v>2693</v>
      </c>
      <c r="Z13" s="59"/>
      <c r="AA13" s="60"/>
    </row>
    <row r="14" spans="1:27" x14ac:dyDescent="0.25">
      <c r="A14" s="28" t="s">
        <v>2675</v>
      </c>
      <c r="B14" s="19" t="s">
        <v>541</v>
      </c>
      <c r="C14" s="29" t="s">
        <v>165</v>
      </c>
      <c r="D14" s="30"/>
      <c r="E14" s="20"/>
      <c r="F14" s="31"/>
      <c r="G14" s="30"/>
      <c r="H14" s="20"/>
      <c r="I14" s="31"/>
      <c r="J14" s="30"/>
      <c r="K14" s="20"/>
      <c r="L14" s="31"/>
      <c r="M14" s="30" t="str">
        <f>VLOOKUP($C14,Fixtures!A:I,5,FALSE)</f>
        <v>ALG</v>
      </c>
      <c r="N14" s="20" t="s">
        <v>2687</v>
      </c>
      <c r="O14" s="31">
        <f>VLOOKUP($B14,PickedPlayers!D:Q,10,FALSE)</f>
        <v>0</v>
      </c>
      <c r="P14" s="30" t="str">
        <f>VLOOKUP($C14,Fixtures!A:I,6,FALSE)</f>
        <v>TBC</v>
      </c>
      <c r="Q14" s="20" t="s">
        <v>2687</v>
      </c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2677</v>
      </c>
      <c r="B15" s="19" t="s">
        <v>278</v>
      </c>
      <c r="C15" s="29" t="s">
        <v>109</v>
      </c>
      <c r="D15" s="30" t="str">
        <f>VLOOKUP($C15,Fixtures!A:I,2,FALSE)</f>
        <v>CRO</v>
      </c>
      <c r="E15" s="20" t="s">
        <v>2692</v>
      </c>
      <c r="F15" s="31">
        <f>VLOOKUP($B15,PickedPlayers!D:Q,7,FALSE)</f>
        <v>0</v>
      </c>
      <c r="G15" s="30" t="str">
        <f>VLOOKUP($C15,Fixtures!A:I,3,FALSE)</f>
        <v>GHA</v>
      </c>
      <c r="H15" s="20" t="s">
        <v>2692</v>
      </c>
      <c r="I15" s="31">
        <f>VLOOKUP($B15,PickedPlayers!D:Q,8,FALSE)</f>
        <v>0</v>
      </c>
      <c r="J15" s="30" t="str">
        <f>VLOOKUP($C15,Fixtures!A:I,4,FALSE)</f>
        <v>PAN</v>
      </c>
      <c r="K15" s="20" t="s">
        <v>2687</v>
      </c>
      <c r="L15" s="31">
        <f>VLOOKUP($B15,PickedPlayers!D:Q,9,FALSE)</f>
        <v>0</v>
      </c>
      <c r="M15" s="30" t="str">
        <f>VLOOKUP($C15,Fixtures!A:I,5,FALSE)</f>
        <v>CON</v>
      </c>
      <c r="N15" s="20" t="s">
        <v>2692</v>
      </c>
      <c r="O15" s="31">
        <f>VLOOKUP($B15,PickedPlayers!D:Q,10,FALSE)</f>
        <v>0</v>
      </c>
      <c r="P15" s="30" t="str">
        <f>VLOOKUP($C15,Fixtures!A:I,6,FALSE)</f>
        <v>MEX</v>
      </c>
      <c r="Q15" s="20" t="s">
        <v>2687</v>
      </c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2677</v>
      </c>
      <c r="B16" s="19" t="s">
        <v>324</v>
      </c>
      <c r="C16" s="29" t="s">
        <v>113</v>
      </c>
      <c r="D16" s="30" t="str">
        <f>VLOOKUP($C16,Fixtures!A:I,2,FALSE)</f>
        <v>EGY</v>
      </c>
      <c r="E16" s="20" t="s">
        <v>2687</v>
      </c>
      <c r="F16" s="31">
        <f>VLOOKUP($B16,PickedPlayers!D:Q,7,FALSE)</f>
        <v>0</v>
      </c>
      <c r="G16" s="30" t="str">
        <f>VLOOKUP($C16,Fixtures!A:I,3,FALSE)</f>
        <v>IRA</v>
      </c>
      <c r="H16" s="20" t="s">
        <v>2688</v>
      </c>
      <c r="I16" s="31">
        <f>VLOOKUP($B16,PickedPlayers!D:Q,8,FALSE)</f>
        <v>0</v>
      </c>
      <c r="J16" s="30" t="str">
        <f>VLOOKUP($C16,Fixtures!A:I,4,FALSE)</f>
        <v>NZL</v>
      </c>
      <c r="K16" s="20" t="s">
        <v>2688</v>
      </c>
      <c r="L16" s="31">
        <f>VLOOKUP($B16,PickedPlayers!D:Q,9,FALSE)</f>
        <v>0</v>
      </c>
      <c r="M16" s="30" t="str">
        <f>VLOOKUP($C16,Fixtures!A:I,5,FALSE)</f>
        <v>SEN</v>
      </c>
      <c r="N16" s="20" t="s">
        <v>2695</v>
      </c>
      <c r="O16" s="31">
        <f>VLOOKUP($B16,PickedPlayers!D:Q,10,FALSE)</f>
        <v>0</v>
      </c>
      <c r="P16" s="30" t="str">
        <f>VLOOKUP($C16,Fixtures!A:I,6,FALSE)</f>
        <v>USA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2677</v>
      </c>
      <c r="B17" s="19" t="s">
        <v>346</v>
      </c>
      <c r="C17" s="29" t="s">
        <v>123</v>
      </c>
      <c r="D17" s="30" t="str">
        <f>VLOOKUP($C17,Fixtures!A:I,2,FALSE)</f>
        <v>CAP</v>
      </c>
      <c r="E17" s="20" t="s">
        <v>2687</v>
      </c>
      <c r="F17" s="31">
        <f>VLOOKUP($B17,PickedPlayers!D:Q,7,FALSE)</f>
        <v>0</v>
      </c>
      <c r="G17" s="30" t="str">
        <f>VLOOKUP($C17,Fixtures!A:I,3,FALSE)</f>
        <v>SAU</v>
      </c>
      <c r="H17" s="20" t="s">
        <v>2687</v>
      </c>
      <c r="I17" s="31">
        <f>VLOOKUP($B17,PickedPlayers!D:Q,8,FALSE)</f>
        <v>0</v>
      </c>
      <c r="J17" s="30" t="str">
        <f>VLOOKUP($C17,Fixtures!A:I,4,FALSE)</f>
        <v>URU</v>
      </c>
      <c r="K17" s="20" t="s">
        <v>2695</v>
      </c>
      <c r="L17" s="31">
        <f>VLOOKUP($B17,PickedPlayers!D:Q,9,FALSE)</f>
        <v>0</v>
      </c>
      <c r="M17" s="30" t="str">
        <f>VLOOKUP($C17,Fixtures!A:I,5,FALSE)</f>
        <v>AUS</v>
      </c>
      <c r="N17" s="20" t="s">
        <v>2690</v>
      </c>
      <c r="O17" s="31">
        <f>VLOOKUP($B17,PickedPlayers!D:Q,10,FALSE)</f>
        <v>0</v>
      </c>
      <c r="P17" s="30" t="str">
        <f>VLOOKUP($C17,Fixtures!A:I,6,FALSE)</f>
        <v>POR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x14ac:dyDescent="0.25">
      <c r="A18" s="28" t="s">
        <v>2677</v>
      </c>
      <c r="B18" s="19" t="s">
        <v>400</v>
      </c>
      <c r="C18" s="29" t="s">
        <v>78</v>
      </c>
      <c r="D18" s="30" t="str">
        <f>VLOOKUP($C18,Fixtures!A:I,2,FALSE)</f>
        <v>MOR</v>
      </c>
      <c r="E18" s="20" t="s">
        <v>2688</v>
      </c>
      <c r="F18" s="31">
        <f>VLOOKUP($B18,PickedPlayers!D:Q,7,FALSE)</f>
        <v>0</v>
      </c>
      <c r="G18" s="30" t="str">
        <f>VLOOKUP($C18,Fixtures!A:I,3,FALSE)</f>
        <v>HAI</v>
      </c>
      <c r="H18" s="20" t="s">
        <v>2687</v>
      </c>
      <c r="I18" s="31">
        <f>VLOOKUP($B18,PickedPlayers!D:Q,8,FALSE)</f>
        <v>0</v>
      </c>
      <c r="J18" s="30" t="str">
        <f>VLOOKUP($C18,Fixtures!A:I,4,FALSE)</f>
        <v>SCO</v>
      </c>
      <c r="K18" s="20" t="s">
        <v>2687</v>
      </c>
      <c r="L18" s="31">
        <f>VLOOKUP($B18,PickedPlayers!D:Q,9,FALSE)</f>
        <v>0</v>
      </c>
      <c r="M18" s="30" t="str">
        <f>VLOOKUP($C18,Fixtures!A:I,5,FALSE)</f>
        <v>JAP</v>
      </c>
      <c r="N18" s="20" t="s">
        <v>2687</v>
      </c>
      <c r="O18" s="31">
        <f>VLOOKUP($B18,PickedPlayers!D:Q,10,FALSE)</f>
        <v>0</v>
      </c>
      <c r="P18" s="30" t="str">
        <f>VLOOKUP($C18,Fixtures!A:I,6,FALSE)</f>
        <v>NOR</v>
      </c>
      <c r="Q18" s="20" t="s">
        <v>2687</v>
      </c>
      <c r="R18" s="31">
        <f>VLOOKUP($B18,PickedPlayers!D:Q,11,FALSE)</f>
        <v>0</v>
      </c>
      <c r="S18" s="30" t="str">
        <f>VLOOKUP($C18,Fixtures!A:I,7,FALSE)</f>
        <v>TBC</v>
      </c>
      <c r="T18" s="20"/>
      <c r="U18" s="31">
        <f>VLOOKUP($B18,PickedPlayers!D:Q,12,FALSE)</f>
        <v>0</v>
      </c>
      <c r="V18" s="30" t="str">
        <f>VLOOKUP($C18,Fixtures!A:I,8,FALSE)</f>
        <v>TBC</v>
      </c>
      <c r="W18" s="20"/>
      <c r="X18" s="31">
        <f>VLOOKUP($B18,PickedPlayers!D:Q,13,FALSE)</f>
        <v>0</v>
      </c>
      <c r="Y18" s="30" t="str">
        <f>VLOOKUP($C18,Fixtures!A:I,9,FALSE)</f>
        <v>TBC</v>
      </c>
      <c r="Z18" s="20"/>
      <c r="AA18" s="31">
        <f>VLOOKUP($B18,PickedPlayers!D:Q,14,FALSE)</f>
        <v>0</v>
      </c>
    </row>
    <row r="19" spans="1:27" ht="15.75" thickBot="1" x14ac:dyDescent="0.3">
      <c r="A19" s="32" t="s">
        <v>2677</v>
      </c>
      <c r="B19" s="33" t="s">
        <v>499</v>
      </c>
      <c r="C19" s="34" t="s">
        <v>109</v>
      </c>
      <c r="D19" s="30" t="str">
        <f>VLOOKUP($C19,Fixtures!A:I,2,FALSE)</f>
        <v>CRO</v>
      </c>
      <c r="E19" s="35" t="s">
        <v>2695</v>
      </c>
      <c r="F19" s="31">
        <f>VLOOKUP($B19,PickedPlayers!D:Q,7,FALSE)</f>
        <v>0</v>
      </c>
      <c r="G19" s="30" t="str">
        <f>VLOOKUP($C19,Fixtures!A:I,3,FALSE)</f>
        <v>GHA</v>
      </c>
      <c r="H19" s="35" t="s">
        <v>2695</v>
      </c>
      <c r="I19" s="31">
        <f>VLOOKUP($B19,PickedPlayers!D:Q,8,FALSE)</f>
        <v>0</v>
      </c>
      <c r="J19" s="30" t="str">
        <f>VLOOKUP($C19,Fixtures!A:I,4,FALSE)</f>
        <v>PAN</v>
      </c>
      <c r="K19" s="35" t="s">
        <v>2692</v>
      </c>
      <c r="L19" s="31">
        <f>VLOOKUP($B19,PickedPlayers!D:Q,9,FALSE)</f>
        <v>0</v>
      </c>
      <c r="M19" s="30" t="str">
        <f>VLOOKUP($C19,Fixtures!A:I,5,FALSE)</f>
        <v>CON</v>
      </c>
      <c r="N19" s="35" t="s">
        <v>2687</v>
      </c>
      <c r="O19" s="31">
        <f>VLOOKUP($B19,PickedPlayers!D:Q,10,FALSE)</f>
        <v>0</v>
      </c>
      <c r="P19" s="30" t="str">
        <f>VLOOKUP($C19,Fixtures!A:I,6,FALSE)</f>
        <v>MEX</v>
      </c>
      <c r="Q19" s="35"/>
      <c r="R19" s="31">
        <f>VLOOKUP($B19,PickedPlayers!D:Q,11,FALSE)</f>
        <v>0</v>
      </c>
      <c r="S19" s="30" t="str">
        <f>VLOOKUP($C19,Fixtures!A:I,7,FALSE)</f>
        <v>TBC</v>
      </c>
      <c r="T19" s="35"/>
      <c r="U19" s="31">
        <f>VLOOKUP($B19,PickedPlayers!D:Q,12,FALSE)</f>
        <v>0</v>
      </c>
      <c r="V19" s="30" t="str">
        <f>VLOOKUP($C19,Fixtures!A:I,8,FALSE)</f>
        <v>TBC</v>
      </c>
      <c r="W19" s="35"/>
      <c r="X19" s="31">
        <f>VLOOKUP($B19,PickedPlayers!D:Q,13,FALSE)</f>
        <v>0</v>
      </c>
      <c r="Y19" s="30" t="str">
        <f>VLOOKUP($C19,Fixtures!A:I,9,FALSE)</f>
        <v>TBC</v>
      </c>
      <c r="Z19" s="35"/>
      <c r="AA19" s="31">
        <f>VLOOKUP($B19,PickedPlayers!D:Q,14,FALSE)</f>
        <v>0</v>
      </c>
    </row>
    <row r="20" spans="1:27" s="18" customFormat="1" x14ac:dyDescent="0.25">
      <c r="A20" s="82"/>
      <c r="B20" s="83"/>
      <c r="C20" s="84"/>
      <c r="D20" s="67"/>
      <c r="E20" s="68"/>
      <c r="F20" s="69"/>
      <c r="G20" s="67"/>
      <c r="H20" s="68"/>
      <c r="I20" s="69"/>
      <c r="J20" s="67"/>
      <c r="K20" s="68"/>
      <c r="L20" s="69"/>
      <c r="M20" s="67"/>
      <c r="N20" s="68"/>
      <c r="O20" s="69"/>
      <c r="P20" s="67"/>
      <c r="Q20" s="68"/>
      <c r="R20" s="69"/>
      <c r="S20" s="67"/>
      <c r="T20" s="68"/>
      <c r="U20" s="69"/>
      <c r="V20" s="67"/>
      <c r="W20" s="68"/>
      <c r="X20" s="69"/>
      <c r="Y20" s="67"/>
      <c r="Z20" s="68"/>
      <c r="AA20" s="69"/>
    </row>
    <row r="21" spans="1:27" s="18" customFormat="1" ht="15.75" thickBot="1" x14ac:dyDescent="0.3">
      <c r="A21" s="85"/>
      <c r="B21" s="86"/>
      <c r="C21" s="87"/>
      <c r="D21" s="70"/>
      <c r="E21" s="71"/>
      <c r="F21" s="72"/>
      <c r="G21" s="70"/>
      <c r="H21" s="71"/>
      <c r="I21" s="72"/>
      <c r="J21" s="70"/>
      <c r="K21" s="71"/>
      <c r="L21" s="72"/>
      <c r="M21" s="70"/>
      <c r="N21" s="71"/>
      <c r="O21" s="72"/>
      <c r="P21" s="70"/>
      <c r="Q21" s="71"/>
      <c r="R21" s="72"/>
      <c r="S21" s="70"/>
      <c r="T21" s="71"/>
      <c r="U21" s="72"/>
      <c r="V21" s="70"/>
      <c r="W21" s="71"/>
      <c r="X21" s="72"/>
      <c r="Y21" s="70"/>
      <c r="Z21" s="71"/>
      <c r="AA21" s="72"/>
    </row>
    <row r="22" spans="1:27" ht="15" hidden="1" customHeight="1" x14ac:dyDescent="0.25">
      <c r="D22" s="21"/>
      <c r="E22" s="21"/>
      <c r="F22" s="21"/>
    </row>
  </sheetData>
  <mergeCells count="18">
    <mergeCell ref="V20:X21"/>
    <mergeCell ref="Y20:AA21"/>
    <mergeCell ref="S1:U1"/>
    <mergeCell ref="V1:X1"/>
    <mergeCell ref="Y1:AA1"/>
    <mergeCell ref="P20:R21"/>
    <mergeCell ref="S20:U21"/>
    <mergeCell ref="A1:C1"/>
    <mergeCell ref="D1:F1"/>
    <mergeCell ref="G1:I1"/>
    <mergeCell ref="J1:L1"/>
    <mergeCell ref="M1:O1"/>
    <mergeCell ref="P1:R1"/>
    <mergeCell ref="D20:F21"/>
    <mergeCell ref="G20:I21"/>
    <mergeCell ref="J20:L21"/>
    <mergeCell ref="M20:O21"/>
    <mergeCell ref="A20:C21"/>
  </mergeCells>
  <conditionalFormatting sqref="E3:E19">
    <cfRule type="containsText" dxfId="308" priority="65" operator="containsText" text="Vice Captain">
      <formula>NOT(ISERROR(SEARCH("Vice Captain",E3)))</formula>
    </cfRule>
    <cfRule type="containsText" dxfId="307" priority="66" operator="containsText" text="Off">
      <formula>NOT(ISERROR(SEARCH("Off",E3)))</formula>
    </cfRule>
    <cfRule type="containsText" dxfId="306" priority="67" operator="containsText" text="Sub">
      <formula>NOT(ISERROR(SEARCH("Sub",E3)))</formula>
    </cfRule>
    <cfRule type="containsText" dxfId="305" priority="68" operator="containsText" text="Captain">
      <formula>NOT(ISERROR(SEARCH("Captain",E3)))</formula>
    </cfRule>
    <cfRule type="containsText" dxfId="304" priority="69" operator="containsText" text="Picked">
      <formula>NOT(ISERROR(SEARCH("Picked",E3)))</formula>
    </cfRule>
  </conditionalFormatting>
  <conditionalFormatting sqref="H3:H19">
    <cfRule type="containsText" dxfId="303" priority="60" operator="containsText" text="Vice Captain">
      <formula>NOT(ISERROR(SEARCH("Vice Captain",H3)))</formula>
    </cfRule>
    <cfRule type="containsText" dxfId="302" priority="61" operator="containsText" text="Off">
      <formula>NOT(ISERROR(SEARCH("Off",H3)))</formula>
    </cfRule>
    <cfRule type="containsText" dxfId="301" priority="62" operator="containsText" text="Sub">
      <formula>NOT(ISERROR(SEARCH("Sub",H3)))</formula>
    </cfRule>
    <cfRule type="containsText" dxfId="300" priority="63" operator="containsText" text="Captain">
      <formula>NOT(ISERROR(SEARCH("Captain",H3)))</formula>
    </cfRule>
    <cfRule type="containsText" dxfId="299" priority="64" operator="containsText" text="Picked">
      <formula>NOT(ISERROR(SEARCH("Picked",H3)))</formula>
    </cfRule>
  </conditionalFormatting>
  <conditionalFormatting sqref="K3:K19">
    <cfRule type="containsText" dxfId="298" priority="55" operator="containsText" text="Vice Captain">
      <formula>NOT(ISERROR(SEARCH("Vice Captain",K3)))</formula>
    </cfRule>
    <cfRule type="containsText" dxfId="297" priority="56" operator="containsText" text="Off">
      <formula>NOT(ISERROR(SEARCH("Off",K3)))</formula>
    </cfRule>
    <cfRule type="containsText" dxfId="296" priority="57" operator="containsText" text="Sub">
      <formula>NOT(ISERROR(SEARCH("Sub",K3)))</formula>
    </cfRule>
    <cfRule type="containsText" dxfId="295" priority="58" operator="containsText" text="Captain">
      <formula>NOT(ISERROR(SEARCH("Captain",K3)))</formula>
    </cfRule>
    <cfRule type="containsText" dxfId="294" priority="59" operator="containsText" text="Picked">
      <formula>NOT(ISERROR(SEARCH("Picked",K3)))</formula>
    </cfRule>
  </conditionalFormatting>
  <conditionalFormatting sqref="M3:M19 P3:P19 S3:S19 V3:V19 Y3:Y19">
    <cfRule type="containsText" dxfId="293" priority="26" operator="containsText" text="tbc">
      <formula>NOT(ISERROR(SEARCH("tbc",M3)))</formula>
    </cfRule>
    <cfRule type="containsText" dxfId="292" priority="27" operator="containsText" text="Out">
      <formula>NOT(ISERROR(SEARCH("Out",M3)))</formula>
    </cfRule>
  </conditionalFormatting>
  <conditionalFormatting sqref="N3:N19">
    <cfRule type="containsText" dxfId="291" priority="1" operator="containsText" text="Vice Captain">
      <formula>NOT(ISERROR(SEARCH("Vice Captain",N3)))</formula>
    </cfRule>
    <cfRule type="containsText" dxfId="290" priority="2" operator="containsText" text="Off">
      <formula>NOT(ISERROR(SEARCH("Off",N3)))</formula>
    </cfRule>
    <cfRule type="containsText" dxfId="289" priority="3" operator="containsText" text="Sub">
      <formula>NOT(ISERROR(SEARCH("Sub",N3)))</formula>
    </cfRule>
    <cfRule type="containsText" dxfId="288" priority="4" operator="containsText" text="Captain">
      <formula>NOT(ISERROR(SEARCH("Captain",N3)))</formula>
    </cfRule>
    <cfRule type="containsText" dxfId="287" priority="5" operator="containsText" text="Picked">
      <formula>NOT(ISERROR(SEARCH("Picked",N3)))</formula>
    </cfRule>
  </conditionalFormatting>
  <conditionalFormatting sqref="Q3:Q19">
    <cfRule type="containsText" dxfId="286" priority="21" operator="containsText" text="Vice Captain">
      <formula>NOT(ISERROR(SEARCH("Vice Captain",Q3)))</formula>
    </cfRule>
    <cfRule type="containsText" dxfId="285" priority="22" operator="containsText" text="Off">
      <formula>NOT(ISERROR(SEARCH("Off",Q3)))</formula>
    </cfRule>
    <cfRule type="containsText" dxfId="284" priority="23" operator="containsText" text="Sub">
      <formula>NOT(ISERROR(SEARCH("Sub",Q3)))</formula>
    </cfRule>
    <cfRule type="containsText" dxfId="283" priority="24" operator="containsText" text="Captain">
      <formula>NOT(ISERROR(SEARCH("Captain",Q3)))</formula>
    </cfRule>
    <cfRule type="containsText" dxfId="282" priority="25" operator="containsText" text="Picked">
      <formula>NOT(ISERROR(SEARCH("Picked",Q3)))</formula>
    </cfRule>
  </conditionalFormatting>
  <conditionalFormatting sqref="T3:T19">
    <cfRule type="containsText" dxfId="281" priority="16" operator="containsText" text="Vice Captain">
      <formula>NOT(ISERROR(SEARCH("Vice Captain",T3)))</formula>
    </cfRule>
    <cfRule type="containsText" dxfId="280" priority="17" operator="containsText" text="Off">
      <formula>NOT(ISERROR(SEARCH("Off",T3)))</formula>
    </cfRule>
    <cfRule type="containsText" dxfId="279" priority="18" operator="containsText" text="Sub">
      <formula>NOT(ISERROR(SEARCH("Sub",T3)))</formula>
    </cfRule>
    <cfRule type="containsText" dxfId="278" priority="19" operator="containsText" text="Captain">
      <formula>NOT(ISERROR(SEARCH("Captain",T3)))</formula>
    </cfRule>
    <cfRule type="containsText" dxfId="277" priority="20" operator="containsText" text="Picked">
      <formula>NOT(ISERROR(SEARCH("Picked",T3)))</formula>
    </cfRule>
  </conditionalFormatting>
  <conditionalFormatting sqref="W3:W19">
    <cfRule type="containsText" dxfId="276" priority="11" operator="containsText" text="Vice Captain">
      <formula>NOT(ISERROR(SEARCH("Vice Captain",W3)))</formula>
    </cfRule>
    <cfRule type="containsText" dxfId="275" priority="12" operator="containsText" text="Off">
      <formula>NOT(ISERROR(SEARCH("Off",W3)))</formula>
    </cfRule>
    <cfRule type="containsText" dxfId="274" priority="13" operator="containsText" text="Sub">
      <formula>NOT(ISERROR(SEARCH("Sub",W3)))</formula>
    </cfRule>
    <cfRule type="containsText" dxfId="273" priority="14" operator="containsText" text="Captain">
      <formula>NOT(ISERROR(SEARCH("Captain",W3)))</formula>
    </cfRule>
    <cfRule type="containsText" dxfId="272" priority="15" operator="containsText" text="Picked">
      <formula>NOT(ISERROR(SEARCH("Picked",W3)))</formula>
    </cfRule>
  </conditionalFormatting>
  <conditionalFormatting sqref="Z3:Z19">
    <cfRule type="containsText" dxfId="271" priority="6" operator="containsText" text="Vice Captain">
      <formula>NOT(ISERROR(SEARCH("Vice Captain",Z3)))</formula>
    </cfRule>
    <cfRule type="containsText" dxfId="270" priority="7" operator="containsText" text="Off">
      <formula>NOT(ISERROR(SEARCH("Off",Z3)))</formula>
    </cfRule>
    <cfRule type="containsText" dxfId="269" priority="8" operator="containsText" text="Sub">
      <formula>NOT(ISERROR(SEARCH("Sub",Z3)))</formula>
    </cfRule>
    <cfRule type="containsText" dxfId="268" priority="9" operator="containsText" text="Captain">
      <formula>NOT(ISERROR(SEARCH("Captain",Z3)))</formula>
    </cfRule>
    <cfRule type="containsText" dxfId="267" priority="10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5B9A7D-2996-48BD-A9B2-41E9369C6BC2}">
          <x14:formula1>
            <xm:f>Lookups!$F$2:$F$6</xm:f>
          </x14:formula1>
          <xm:sqref>E3:E4 W3:W4 H3:H4 K3:K4 N3:N4 Q3:Q4 T3:T4 Z3:Z4</xm:sqref>
        </x14:dataValidation>
        <x14:dataValidation type="list" allowBlank="1" showInputMessage="1" showErrorMessage="1" xr:uid="{FD56BC8E-0F39-434E-9301-9D14628AC7C7}">
          <x14:formula1>
            <xm:f>Lookups!$E$2:$E$9</xm:f>
          </x14:formula1>
          <xm:sqref>E5:E19 H5:H19 K5:K19 Z5:Z19 T5:T19 Q5:Q19 N5:N19 W5:W19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4279-BBD0-4A98-8266-A352FB55226E}">
  <dimension ref="A1:AA22"/>
  <sheetViews>
    <sheetView workbookViewId="0">
      <selection activeCell="M17" sqref="M17"/>
    </sheetView>
  </sheetViews>
  <sheetFormatPr defaultColWidth="9.140625" defaultRowHeight="15" customHeight="1" zeroHeight="1" x14ac:dyDescent="0.25"/>
  <cols>
    <col min="1" max="1" width="9.140625" style="54"/>
    <col min="2" max="2" width="14" style="54" bestFit="1" customWidth="1"/>
    <col min="3" max="3" width="11.5703125" style="54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73" t="s">
        <v>2678</v>
      </c>
      <c r="B1" s="74"/>
      <c r="C1" s="75"/>
      <c r="D1" s="76" t="s">
        <v>2679</v>
      </c>
      <c r="E1" s="77"/>
      <c r="F1" s="78"/>
      <c r="G1" s="79" t="s">
        <v>2680</v>
      </c>
      <c r="H1" s="80"/>
      <c r="I1" s="81"/>
      <c r="J1" s="79" t="s">
        <v>2681</v>
      </c>
      <c r="K1" s="80"/>
      <c r="L1" s="81"/>
      <c r="M1" s="79" t="s">
        <v>36</v>
      </c>
      <c r="N1" s="80"/>
      <c r="O1" s="81"/>
      <c r="P1" s="79" t="s">
        <v>23</v>
      </c>
      <c r="Q1" s="80"/>
      <c r="R1" s="81"/>
      <c r="S1" s="79" t="s">
        <v>17</v>
      </c>
      <c r="T1" s="80"/>
      <c r="U1" s="81"/>
      <c r="V1" s="79" t="s">
        <v>13</v>
      </c>
      <c r="W1" s="80"/>
      <c r="X1" s="81"/>
      <c r="Y1" s="79" t="s">
        <v>9</v>
      </c>
      <c r="Z1" s="80"/>
      <c r="AA1" s="81"/>
    </row>
    <row r="2" spans="1:27" x14ac:dyDescent="0.25">
      <c r="A2" s="22" t="s">
        <v>271</v>
      </c>
      <c r="B2" s="23" t="s">
        <v>268</v>
      </c>
      <c r="C2" s="24" t="s">
        <v>2671</v>
      </c>
      <c r="D2" s="25" t="s">
        <v>2682</v>
      </c>
      <c r="E2" s="26" t="s">
        <v>2683</v>
      </c>
      <c r="F2" s="27" t="s">
        <v>2684</v>
      </c>
      <c r="G2" s="25" t="s">
        <v>2682</v>
      </c>
      <c r="H2" s="26" t="s">
        <v>2683</v>
      </c>
      <c r="I2" s="27" t="s">
        <v>2684</v>
      </c>
      <c r="J2" s="25" t="s">
        <v>2682</v>
      </c>
      <c r="K2" s="26" t="s">
        <v>2683</v>
      </c>
      <c r="L2" s="27" t="s">
        <v>2684</v>
      </c>
      <c r="M2" s="25" t="s">
        <v>2682</v>
      </c>
      <c r="N2" s="26" t="s">
        <v>2683</v>
      </c>
      <c r="O2" s="27" t="s">
        <v>2684</v>
      </c>
      <c r="P2" s="25" t="s">
        <v>2682</v>
      </c>
      <c r="Q2" s="26" t="s">
        <v>2683</v>
      </c>
      <c r="R2" s="27" t="s">
        <v>2684</v>
      </c>
      <c r="S2" s="25" t="s">
        <v>2682</v>
      </c>
      <c r="T2" s="26" t="s">
        <v>2683</v>
      </c>
      <c r="U2" s="27" t="s">
        <v>2684</v>
      </c>
      <c r="V2" s="25" t="s">
        <v>2682</v>
      </c>
      <c r="W2" s="26" t="s">
        <v>2683</v>
      </c>
      <c r="X2" s="27" t="s">
        <v>2684</v>
      </c>
      <c r="Y2" s="25" t="s">
        <v>2682</v>
      </c>
      <c r="Z2" s="26" t="s">
        <v>2683</v>
      </c>
      <c r="AA2" s="27" t="s">
        <v>2684</v>
      </c>
    </row>
    <row r="3" spans="1:27" x14ac:dyDescent="0.25">
      <c r="A3" s="28" t="s">
        <v>2673</v>
      </c>
      <c r="B3" s="19" t="s">
        <v>352</v>
      </c>
      <c r="C3" s="29" t="s">
        <v>123</v>
      </c>
      <c r="D3" s="30" t="str">
        <f>VLOOKUP($C3,Fixtures!A:I,2,FALSE)</f>
        <v>CAP</v>
      </c>
      <c r="E3" s="20" t="s">
        <v>2687</v>
      </c>
      <c r="F3" s="31">
        <f>VLOOKUP($B3,PickedPlayers!D:Q,7,FALSE)</f>
        <v>0</v>
      </c>
      <c r="G3" s="30" t="str">
        <f>VLOOKUP($C3,Fixtures!A:I,3,FALSE)</f>
        <v>SAU</v>
      </c>
      <c r="H3" s="20" t="s">
        <v>2687</v>
      </c>
      <c r="I3" s="31">
        <f>VLOOKUP($B3,PickedPlayers!D:Q,8,FALSE)</f>
        <v>0</v>
      </c>
      <c r="J3" s="30" t="str">
        <f>VLOOKUP($C3,Fixtures!A:I,4,FALSE)</f>
        <v>URU</v>
      </c>
      <c r="K3" s="20" t="s">
        <v>2687</v>
      </c>
      <c r="L3" s="31">
        <f>VLOOKUP($B3,PickedPlayers!D:Q,9,FALSE)</f>
        <v>0</v>
      </c>
      <c r="M3" s="30" t="str">
        <f>VLOOKUP($C3,Fixtures!A:I,5,FALSE)</f>
        <v>AUS</v>
      </c>
      <c r="N3" s="20" t="s">
        <v>2687</v>
      </c>
      <c r="O3" s="31">
        <f>VLOOKUP($B3,PickedPlayers!D:Q,10,FALSE)</f>
        <v>0</v>
      </c>
      <c r="P3" s="30" t="str">
        <f>VLOOKUP($C3,Fixtures!A:I,6,FALSE)</f>
        <v>POR</v>
      </c>
      <c r="Q3" s="20" t="s">
        <v>2687</v>
      </c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2673</v>
      </c>
      <c r="B4" s="19" t="s">
        <v>525</v>
      </c>
      <c r="C4" s="29" t="s">
        <v>104</v>
      </c>
      <c r="D4" s="30" t="str">
        <f>VLOOKUP($C4,Fixtures!A:I,2,FALSE)</f>
        <v>ENG</v>
      </c>
      <c r="E4" s="20" t="s">
        <v>2686</v>
      </c>
      <c r="F4" s="31">
        <f>VLOOKUP($B4,PickedPlayers!D:Q,7,FALSE)</f>
        <v>0</v>
      </c>
      <c r="G4" s="30" t="str">
        <f>VLOOKUP($C4,Fixtures!A:I,3,FALSE)</f>
        <v>PAN</v>
      </c>
      <c r="H4" s="20" t="s">
        <v>2686</v>
      </c>
      <c r="I4" s="31">
        <f>VLOOKUP($B4,PickedPlayers!D:Q,8,FALSE)</f>
        <v>0</v>
      </c>
      <c r="J4" s="30" t="str">
        <f>VLOOKUP($C4,Fixtures!A:I,4,FALSE)</f>
        <v>GHA</v>
      </c>
      <c r="K4" s="20" t="s">
        <v>2686</v>
      </c>
      <c r="L4" s="31">
        <f>VLOOKUP($B4,PickedPlayers!D:Q,9,FALSE)</f>
        <v>0</v>
      </c>
      <c r="M4" s="30" t="str">
        <f>VLOOKUP($C4,Fixtures!A:I,5,FALSE)</f>
        <v>POR</v>
      </c>
      <c r="N4" s="20" t="s">
        <v>2686</v>
      </c>
      <c r="O4" s="31">
        <f>VLOOKUP($B4,PickedPlayers!D:Q,10,FALSE)</f>
        <v>0</v>
      </c>
      <c r="P4" s="30" t="str">
        <f>VLOOKUP($C4,Fixtures!A:I,6,FALSE)</f>
        <v>out</v>
      </c>
      <c r="Q4" s="20" t="s">
        <v>2686</v>
      </c>
      <c r="R4" s="31">
        <f>VLOOKUP($B4,PickedPlayers!D:Q,11,FALSE)</f>
        <v>0</v>
      </c>
      <c r="S4" s="30" t="str">
        <f>VLOOKUP($C4,Fixtures!A:I,7,FALSE)</f>
        <v>out</v>
      </c>
      <c r="T4" s="20"/>
      <c r="U4" s="31">
        <f>VLOOKUP($B4,PickedPlayers!D:Q,12,FALSE)</f>
        <v>0</v>
      </c>
      <c r="V4" s="30" t="str">
        <f>VLOOKUP($C4,Fixtures!A:I,8,FALSE)</f>
        <v>out</v>
      </c>
      <c r="W4" s="20"/>
      <c r="X4" s="31">
        <f>VLOOKUP($B4,PickedPlayers!D:Q,13,FALSE)</f>
        <v>0</v>
      </c>
      <c r="Y4" s="30" t="str">
        <f>VLOOKUP($C4,Fixtures!A:I,9,FALSE)</f>
        <v>out</v>
      </c>
      <c r="Z4" s="20"/>
      <c r="AA4" s="31">
        <f>VLOOKUP($B4,PickedPlayers!D:Q,14,FALSE)</f>
        <v>0</v>
      </c>
    </row>
    <row r="5" spans="1:27" x14ac:dyDescent="0.25">
      <c r="A5" s="28" t="s">
        <v>2674</v>
      </c>
      <c r="B5" s="19" t="s">
        <v>332</v>
      </c>
      <c r="C5" s="29" t="s">
        <v>70</v>
      </c>
      <c r="D5" s="30" t="str">
        <f>VLOOKUP($C5,Fixtures!A:I,2,FALSE)</f>
        <v>BRA</v>
      </c>
      <c r="E5" s="20" t="s">
        <v>2687</v>
      </c>
      <c r="F5" s="31">
        <f>VLOOKUP($B5,PickedPlayers!D:Q,7,FALSE)</f>
        <v>0</v>
      </c>
      <c r="G5" s="30" t="str">
        <f>VLOOKUP($C5,Fixtures!A:I,3,FALSE)</f>
        <v>SCO</v>
      </c>
      <c r="H5" s="20" t="s">
        <v>2687</v>
      </c>
      <c r="I5" s="31">
        <f>VLOOKUP($B5,PickedPlayers!D:Q,8,FALSE)</f>
        <v>0</v>
      </c>
      <c r="J5" s="30" t="str">
        <f>VLOOKUP($C5,Fixtures!A:I,4,FALSE)</f>
        <v>HAI</v>
      </c>
      <c r="K5" s="20" t="s">
        <v>2692</v>
      </c>
      <c r="L5" s="31">
        <f>VLOOKUP($B5,PickedPlayers!D:Q,9,FALSE)</f>
        <v>0</v>
      </c>
      <c r="M5" s="30" t="str">
        <f>VLOOKUP($C5,Fixtures!A:I,5,FALSE)</f>
        <v>NED</v>
      </c>
      <c r="N5" s="20" t="s">
        <v>2687</v>
      </c>
      <c r="O5" s="31">
        <f>VLOOKUP($B5,PickedPlayers!D:Q,10,FALSE)</f>
        <v>0</v>
      </c>
      <c r="P5" s="30" t="str">
        <f>VLOOKUP($C5,Fixtures!A:I,6,FALSE)</f>
        <v>CAN</v>
      </c>
      <c r="Q5" s="20" t="s">
        <v>2691</v>
      </c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2674</v>
      </c>
      <c r="B6" s="19" t="s">
        <v>370</v>
      </c>
      <c r="C6" s="29" t="s">
        <v>123</v>
      </c>
      <c r="D6" s="30" t="str">
        <f>VLOOKUP($C6,Fixtures!A:I,2,FALSE)</f>
        <v>CAP</v>
      </c>
      <c r="E6" s="20" t="s">
        <v>2687</v>
      </c>
      <c r="F6" s="31">
        <f>VLOOKUP($B6,PickedPlayers!D:Q,7,FALSE)</f>
        <v>0</v>
      </c>
      <c r="G6" s="30" t="str">
        <f>VLOOKUP($C6,Fixtures!A:I,3,FALSE)</f>
        <v>SAU</v>
      </c>
      <c r="H6" s="20" t="s">
        <v>2687</v>
      </c>
      <c r="I6" s="31">
        <f>VLOOKUP($B6,PickedPlayers!D:Q,8,FALSE)</f>
        <v>0</v>
      </c>
      <c r="J6" s="30" t="str">
        <f>VLOOKUP($C6,Fixtures!A:I,4,FALSE)</f>
        <v>URU</v>
      </c>
      <c r="K6" s="20" t="s">
        <v>2687</v>
      </c>
      <c r="L6" s="31">
        <f>VLOOKUP($B6,PickedPlayers!D:Q,9,FALSE)</f>
        <v>0</v>
      </c>
      <c r="M6" s="30" t="str">
        <f>VLOOKUP($C6,Fixtures!A:I,5,FALSE)</f>
        <v>AUS</v>
      </c>
      <c r="N6" s="20" t="s">
        <v>2687</v>
      </c>
      <c r="O6" s="31">
        <f>VLOOKUP($B6,PickedPlayers!D:Q,10,FALSE)</f>
        <v>0</v>
      </c>
      <c r="P6" s="30" t="str">
        <f>VLOOKUP($C6,Fixtures!A:I,6,FALSE)</f>
        <v>POR</v>
      </c>
      <c r="Q6" s="20" t="s">
        <v>2687</v>
      </c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2674</v>
      </c>
      <c r="B7" s="19" t="s">
        <v>394</v>
      </c>
      <c r="C7" s="29" t="s">
        <v>104</v>
      </c>
      <c r="D7" s="30" t="str">
        <f>VLOOKUP($C7,Fixtures!A:I,2,FALSE)</f>
        <v>ENG</v>
      </c>
      <c r="E7" s="20" t="s">
        <v>2690</v>
      </c>
      <c r="F7" s="31">
        <f>VLOOKUP($B7,PickedPlayers!D:Q,7,FALSE)</f>
        <v>0</v>
      </c>
      <c r="G7" s="30" t="str">
        <f>VLOOKUP($C7,Fixtures!A:I,3,FALSE)</f>
        <v>PAN</v>
      </c>
      <c r="H7" s="20" t="s">
        <v>2687</v>
      </c>
      <c r="I7" s="31">
        <f>VLOOKUP($B7,PickedPlayers!D:Q,8,FALSE)</f>
        <v>0</v>
      </c>
      <c r="J7" s="30" t="str">
        <f>VLOOKUP($C7,Fixtures!A:I,4,FALSE)</f>
        <v>GHA</v>
      </c>
      <c r="K7" s="20" t="s">
        <v>2687</v>
      </c>
      <c r="L7" s="31">
        <f>VLOOKUP($B7,PickedPlayers!D:Q,9,FALSE)</f>
        <v>0</v>
      </c>
      <c r="M7" s="30" t="str">
        <f>VLOOKUP($C7,Fixtures!A:I,5,FALSE)</f>
        <v>POR</v>
      </c>
      <c r="N7" s="20" t="s">
        <v>2695</v>
      </c>
      <c r="O7" s="31">
        <f>VLOOKUP($B7,PickedPlayers!D:Q,10,FALSE)</f>
        <v>0</v>
      </c>
      <c r="P7" s="30" t="str">
        <f>VLOOKUP($C7,Fixtures!A:I,6,FALSE)</f>
        <v>out</v>
      </c>
      <c r="Q7" s="20"/>
      <c r="R7" s="31">
        <f>VLOOKUP($B7,PickedPlayers!D:Q,11,FALSE)</f>
        <v>0</v>
      </c>
      <c r="S7" s="30" t="str">
        <f>VLOOKUP($C7,Fixtures!A:I,7,FALSE)</f>
        <v>out</v>
      </c>
      <c r="T7" s="20"/>
      <c r="U7" s="31">
        <f>VLOOKUP($B7,PickedPlayers!D:Q,12,FALSE)</f>
        <v>0</v>
      </c>
      <c r="V7" s="30" t="str">
        <f>VLOOKUP($C7,Fixtures!A:I,8,FALSE)</f>
        <v>out</v>
      </c>
      <c r="W7" s="20"/>
      <c r="X7" s="31">
        <f>VLOOKUP($B7,PickedPlayers!D:Q,13,FALSE)</f>
        <v>0</v>
      </c>
      <c r="Y7" s="30" t="str">
        <f>VLOOKUP($C7,Fixtures!A:I,9,FALSE)</f>
        <v>out</v>
      </c>
      <c r="Z7" s="20"/>
      <c r="AA7" s="31">
        <f>VLOOKUP($B7,PickedPlayers!D:Q,14,FALSE)</f>
        <v>0</v>
      </c>
    </row>
    <row r="8" spans="1:27" x14ac:dyDescent="0.25">
      <c r="A8" s="28" t="s">
        <v>2674</v>
      </c>
      <c r="B8" s="19" t="s">
        <v>450</v>
      </c>
      <c r="C8" s="29" t="s">
        <v>109</v>
      </c>
      <c r="D8" s="30" t="str">
        <f>VLOOKUP($C8,Fixtures!A:I,2,FALSE)</f>
        <v>CRO</v>
      </c>
      <c r="E8" s="20" t="s">
        <v>2688</v>
      </c>
      <c r="F8" s="31">
        <f>VLOOKUP($B8,PickedPlayers!D:Q,7,FALSE)</f>
        <v>0</v>
      </c>
      <c r="G8" s="30" t="str">
        <f>VLOOKUP($C8,Fixtures!A:I,3,FALSE)</f>
        <v>GHA</v>
      </c>
      <c r="H8" s="20" t="s">
        <v>2687</v>
      </c>
      <c r="I8" s="31">
        <f>VLOOKUP($B8,PickedPlayers!D:Q,8,FALSE)</f>
        <v>0</v>
      </c>
      <c r="J8" s="30" t="str">
        <f>VLOOKUP($C8,Fixtures!A:I,4,FALSE)</f>
        <v>PAN</v>
      </c>
      <c r="K8" s="20" t="s">
        <v>2685</v>
      </c>
      <c r="L8" s="31">
        <f>VLOOKUP($B8,PickedPlayers!D:Q,9,FALSE)</f>
        <v>0</v>
      </c>
      <c r="M8" s="30" t="str">
        <f>VLOOKUP($C8,Fixtures!A:I,5,FALSE)</f>
        <v>CON</v>
      </c>
      <c r="N8" s="20" t="s">
        <v>2689</v>
      </c>
      <c r="O8" s="31">
        <f>VLOOKUP($B8,PickedPlayers!D:Q,10,FALSE)</f>
        <v>0</v>
      </c>
      <c r="P8" s="30" t="str">
        <f>VLOOKUP($C8,Fixtures!A:I,6,FALSE)</f>
        <v>MEX</v>
      </c>
      <c r="Q8" s="20" t="s">
        <v>2687</v>
      </c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2674</v>
      </c>
      <c r="B9" s="19" t="s">
        <v>464</v>
      </c>
      <c r="C9" s="29" t="s">
        <v>69</v>
      </c>
      <c r="D9" s="30" t="str">
        <f>VLOOKUP($C9,Fixtures!A:I,2,FALSE)</f>
        <v>JAP</v>
      </c>
      <c r="E9" s="20" t="s">
        <v>2687</v>
      </c>
      <c r="F9" s="31">
        <f>VLOOKUP($B9,PickedPlayers!D:Q,7,FALSE)</f>
        <v>0</v>
      </c>
      <c r="G9" s="30" t="str">
        <f>VLOOKUP($C9,Fixtures!A:I,3,FALSE)</f>
        <v>SWE</v>
      </c>
      <c r="H9" s="20" t="s">
        <v>2690</v>
      </c>
      <c r="I9" s="31">
        <f>VLOOKUP($B9,PickedPlayers!D:Q,8,FALSE)</f>
        <v>0</v>
      </c>
      <c r="J9" s="30" t="str">
        <f>VLOOKUP($C9,Fixtures!A:I,4,FALSE)</f>
        <v>TUN</v>
      </c>
      <c r="K9" s="20" t="s">
        <v>2688</v>
      </c>
      <c r="L9" s="31">
        <f>VLOOKUP($B9,PickedPlayers!D:Q,9,FALSE)</f>
        <v>0</v>
      </c>
      <c r="M9" s="30" t="str">
        <f>VLOOKUP($C9,Fixtures!A:I,5,FALSE)</f>
        <v>MOR</v>
      </c>
      <c r="N9" s="20" t="s">
        <v>2687</v>
      </c>
      <c r="O9" s="31">
        <f>VLOOKUP($B9,PickedPlayers!D:Q,10,FALSE)</f>
        <v>0</v>
      </c>
      <c r="P9" s="30" t="str">
        <f>VLOOKUP($C9,Fixtures!A:I,6,FALSE)</f>
        <v>out</v>
      </c>
      <c r="Q9" s="20"/>
      <c r="R9" s="31">
        <f>VLOOKUP($B9,PickedPlayers!D:Q,11,FALSE)</f>
        <v>0</v>
      </c>
      <c r="S9" s="30" t="str">
        <f>VLOOKUP($C9,Fixtures!A:I,7,FALSE)</f>
        <v>out</v>
      </c>
      <c r="T9" s="20"/>
      <c r="U9" s="31">
        <f>VLOOKUP($B9,PickedPlayers!D:Q,12,FALSE)</f>
        <v>0</v>
      </c>
      <c r="V9" s="30" t="str">
        <f>VLOOKUP($C9,Fixtures!A:I,8,FALSE)</f>
        <v>out</v>
      </c>
      <c r="W9" s="20"/>
      <c r="X9" s="31">
        <f>VLOOKUP($B9,PickedPlayers!D:Q,13,FALSE)</f>
        <v>0</v>
      </c>
      <c r="Y9" s="30" t="str">
        <f>VLOOKUP($C9,Fixtures!A:I,9,FALSE)</f>
        <v>out</v>
      </c>
      <c r="Z9" s="20"/>
      <c r="AA9" s="31">
        <f>VLOOKUP($B9,PickedPlayers!D:Q,14,FALSE)</f>
        <v>0</v>
      </c>
    </row>
    <row r="10" spans="1:27" x14ac:dyDescent="0.25">
      <c r="A10" s="28" t="s">
        <v>2675</v>
      </c>
      <c r="B10" s="19" t="s">
        <v>308</v>
      </c>
      <c r="C10" s="29" t="s">
        <v>61</v>
      </c>
      <c r="D10" s="30" t="str">
        <f>VLOOKUP($C10,Fixtures!A:I,2,FALSE)</f>
        <v>SEN</v>
      </c>
      <c r="E10" s="20" t="s">
        <v>2691</v>
      </c>
      <c r="F10" s="31">
        <f>VLOOKUP($B10,PickedPlayers!D:Q,7,FALSE)</f>
        <v>0</v>
      </c>
      <c r="G10" s="30" t="str">
        <f>VLOOKUP($C10,Fixtures!A:I,3,FALSE)</f>
        <v>IRQ</v>
      </c>
      <c r="H10" s="20" t="s">
        <v>2692</v>
      </c>
      <c r="I10" s="31">
        <f>VLOOKUP($B10,PickedPlayers!D:Q,8,FALSE)</f>
        <v>0</v>
      </c>
      <c r="J10" s="30" t="str">
        <f>VLOOKUP($C10,Fixtures!A:I,4,FALSE)</f>
        <v>NOR</v>
      </c>
      <c r="K10" s="20" t="s">
        <v>2687</v>
      </c>
      <c r="L10" s="31">
        <f>VLOOKUP($B10,PickedPlayers!D:Q,9,FALSE)</f>
        <v>0</v>
      </c>
      <c r="M10" s="30" t="str">
        <f>VLOOKUP($C10,Fixtures!A:I,5,FALSE)</f>
        <v>SWE</v>
      </c>
      <c r="N10" s="20" t="s">
        <v>2692</v>
      </c>
      <c r="O10" s="31">
        <f>VLOOKUP($B10,PickedPlayers!D:Q,10,FALSE)</f>
        <v>0</v>
      </c>
      <c r="P10" s="30" t="str">
        <f>VLOOKUP($C10,Fixtures!A:I,6,FALSE)</f>
        <v>PAR</v>
      </c>
      <c r="Q10" s="20" t="s">
        <v>2692</v>
      </c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2675</v>
      </c>
      <c r="B11" s="19" t="s">
        <v>326</v>
      </c>
      <c r="C11" s="29" t="s">
        <v>74</v>
      </c>
      <c r="D11" s="30" t="str">
        <f>VLOOKUP($C11,Fixtures!A:I,2,FALSE)</f>
        <v>CUR</v>
      </c>
      <c r="E11" s="20" t="s">
        <v>2692</v>
      </c>
      <c r="F11" s="31">
        <f>VLOOKUP($B11,PickedPlayers!D:Q,7,FALSE)</f>
        <v>0</v>
      </c>
      <c r="G11" s="30" t="str">
        <f>VLOOKUP($C11,Fixtures!A:I,3,FALSE)</f>
        <v>IVO</v>
      </c>
      <c r="H11" s="20" t="s">
        <v>2687</v>
      </c>
      <c r="I11" s="31">
        <f>VLOOKUP($B11,PickedPlayers!D:Q,8,FALSE)</f>
        <v>0</v>
      </c>
      <c r="J11" s="30" t="str">
        <f>VLOOKUP($C11,Fixtures!A:I,4,FALSE)</f>
        <v>ECU</v>
      </c>
      <c r="K11" s="20" t="s">
        <v>2687</v>
      </c>
      <c r="L11" s="31">
        <f>VLOOKUP($B11,PickedPlayers!D:Q,9,FALSE)</f>
        <v>0</v>
      </c>
      <c r="M11" s="30" t="str">
        <f>VLOOKUP($C11,Fixtures!A:I,5,FALSE)</f>
        <v>PAR</v>
      </c>
      <c r="N11" s="20" t="s">
        <v>2687</v>
      </c>
      <c r="O11" s="31">
        <f>VLOOKUP($B11,PickedPlayers!D:Q,10,FALSE)</f>
        <v>0</v>
      </c>
      <c r="P11" s="30" t="str">
        <f>VLOOKUP($C11,Fixtures!A:I,6,FALSE)</f>
        <v>out</v>
      </c>
      <c r="Q11" s="20"/>
      <c r="R11" s="31">
        <f>VLOOKUP($B11,PickedPlayers!D:Q,11,FALSE)</f>
        <v>0</v>
      </c>
      <c r="S11" s="30" t="str">
        <f>VLOOKUP($C11,Fixtures!A:I,7,FALSE)</f>
        <v>out</v>
      </c>
      <c r="T11" s="20"/>
      <c r="U11" s="31">
        <f>VLOOKUP($B11,PickedPlayers!D:Q,12,FALSE)</f>
        <v>0</v>
      </c>
      <c r="V11" s="30" t="str">
        <f>VLOOKUP($C11,Fixtures!A:I,8,FALSE)</f>
        <v>out</v>
      </c>
      <c r="W11" s="20"/>
      <c r="X11" s="31">
        <f>VLOOKUP($B11,PickedPlayers!D:Q,13,FALSE)</f>
        <v>0</v>
      </c>
      <c r="Y11" s="30" t="str">
        <f>VLOOKUP($C11,Fixtures!A:I,9,FALSE)</f>
        <v>out</v>
      </c>
      <c r="Z11" s="20"/>
      <c r="AA11" s="31">
        <f>VLOOKUP($B11,PickedPlayers!D:Q,14,FALSE)</f>
        <v>0</v>
      </c>
    </row>
    <row r="12" spans="1:27" x14ac:dyDescent="0.25">
      <c r="A12" s="28" t="s">
        <v>2675</v>
      </c>
      <c r="B12" s="19" t="s">
        <v>410</v>
      </c>
      <c r="C12" s="29" t="s">
        <v>101</v>
      </c>
      <c r="D12" s="30" t="str">
        <f>VLOOKUP($C12,Fixtures!A:I,2,FALSE)</f>
        <v>CON</v>
      </c>
      <c r="E12" s="20" t="s">
        <v>2687</v>
      </c>
      <c r="F12" s="31">
        <f>VLOOKUP($B12,PickedPlayers!D:Q,7,FALSE)</f>
        <v>0</v>
      </c>
      <c r="G12" s="30" t="str">
        <f>VLOOKUP($C12,Fixtures!A:I,3,FALSE)</f>
        <v>UZB</v>
      </c>
      <c r="H12" s="20" t="s">
        <v>2687</v>
      </c>
      <c r="I12" s="31">
        <f>VLOOKUP($B12,PickedPlayers!D:Q,8,FALSE)</f>
        <v>0</v>
      </c>
      <c r="J12" s="30" t="str">
        <f>VLOOKUP($C12,Fixtures!A:I,4,FALSE)</f>
        <v>COL</v>
      </c>
      <c r="K12" s="20" t="s">
        <v>2689</v>
      </c>
      <c r="L12" s="31">
        <f>VLOOKUP($B12,PickedPlayers!D:Q,9,FALSE)</f>
        <v>0</v>
      </c>
      <c r="M12" s="30" t="str">
        <f>VLOOKUP($C12,Fixtures!A:I,5,FALSE)</f>
        <v>CRO</v>
      </c>
      <c r="N12" s="20" t="s">
        <v>2690</v>
      </c>
      <c r="O12" s="31">
        <f>VLOOKUP($B12,PickedPlayers!D:Q,10,FALSE)</f>
        <v>0</v>
      </c>
      <c r="P12" s="30" t="str">
        <f>VLOOKUP($C12,Fixtures!A:I,6,FALSE)</f>
        <v>SPA</v>
      </c>
      <c r="Q12" s="20" t="s">
        <v>2687</v>
      </c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2675</v>
      </c>
      <c r="B13" s="19" t="s">
        <v>475</v>
      </c>
      <c r="C13" s="29" t="s">
        <v>69</v>
      </c>
      <c r="D13" s="30" t="str">
        <f>VLOOKUP($C13,Fixtures!A:I,2,FALSE)</f>
        <v>JAP</v>
      </c>
      <c r="E13" s="20" t="s">
        <v>2695</v>
      </c>
      <c r="F13" s="31">
        <f>VLOOKUP($B13,PickedPlayers!D:Q,7,FALSE)</f>
        <v>0</v>
      </c>
      <c r="G13" s="30" t="str">
        <f>VLOOKUP($C13,Fixtures!A:I,3,FALSE)</f>
        <v>SWE</v>
      </c>
      <c r="H13" s="20" t="s">
        <v>2688</v>
      </c>
      <c r="I13" s="31">
        <f>VLOOKUP($B13,PickedPlayers!D:Q,8,FALSE)</f>
        <v>0</v>
      </c>
      <c r="J13" s="30" t="str">
        <f>VLOOKUP($C13,Fixtures!A:I,4,FALSE)</f>
        <v>TUN</v>
      </c>
      <c r="K13" s="20" t="s">
        <v>2687</v>
      </c>
      <c r="L13" s="31">
        <f>VLOOKUP($B13,PickedPlayers!D:Q,9,FALSE)</f>
        <v>0</v>
      </c>
      <c r="M13" s="30" t="str">
        <f>VLOOKUP($C13,Fixtures!A:I,5,FALSE)</f>
        <v>MOR</v>
      </c>
      <c r="N13" s="20" t="s">
        <v>2687</v>
      </c>
      <c r="O13" s="31">
        <f>VLOOKUP($B13,PickedPlayers!D:Q,10,FALSE)</f>
        <v>0</v>
      </c>
      <c r="P13" s="30" t="str">
        <f>VLOOKUP($C13,Fixtures!A:I,6,FALSE)</f>
        <v>out</v>
      </c>
      <c r="Q13" s="20"/>
      <c r="R13" s="31">
        <f>VLOOKUP($B13,PickedPlayers!D:Q,11,FALSE)</f>
        <v>0</v>
      </c>
      <c r="S13" s="30" t="str">
        <f>VLOOKUP($C13,Fixtures!A:I,7,FALSE)</f>
        <v>out</v>
      </c>
      <c r="T13" s="20"/>
      <c r="U13" s="31">
        <f>VLOOKUP($B13,PickedPlayers!D:Q,12,FALSE)</f>
        <v>0</v>
      </c>
      <c r="V13" s="30" t="str">
        <f>VLOOKUP($C13,Fixtures!A:I,8,FALSE)</f>
        <v>out</v>
      </c>
      <c r="W13" s="20"/>
      <c r="X13" s="31">
        <f>VLOOKUP($B13,PickedPlayers!D:Q,13,FALSE)</f>
        <v>0</v>
      </c>
      <c r="Y13" s="30" t="str">
        <f>VLOOKUP($C13,Fixtures!A:I,9,FALSE)</f>
        <v>out</v>
      </c>
      <c r="Z13" s="20"/>
      <c r="AA13" s="31">
        <f>VLOOKUP($B13,PickedPlayers!D:Q,14,FALSE)</f>
        <v>0</v>
      </c>
    </row>
    <row r="14" spans="1:27" x14ac:dyDescent="0.25">
      <c r="A14" s="28" t="s">
        <v>2675</v>
      </c>
      <c r="B14" s="19" t="s">
        <v>501</v>
      </c>
      <c r="C14" s="29" t="s">
        <v>66</v>
      </c>
      <c r="D14" s="30" t="str">
        <f>VLOOKUP($C14,Fixtures!A:I,2,FALSE)</f>
        <v>IRQ</v>
      </c>
      <c r="E14" s="20" t="s">
        <v>2687</v>
      </c>
      <c r="F14" s="31">
        <f>VLOOKUP($B14,PickedPlayers!D:Q,7,FALSE)</f>
        <v>0</v>
      </c>
      <c r="G14" s="30" t="str">
        <f>VLOOKUP($C14,Fixtures!A:I,3,FALSE)</f>
        <v>SEN</v>
      </c>
      <c r="H14" s="20" t="s">
        <v>2695</v>
      </c>
      <c r="I14" s="31">
        <f>VLOOKUP($B14,PickedPlayers!D:Q,8,FALSE)</f>
        <v>0</v>
      </c>
      <c r="J14" s="30" t="str">
        <f>VLOOKUP($C14,Fixtures!A:I,4,FALSE)</f>
        <v>FRA</v>
      </c>
      <c r="K14" s="20" t="s">
        <v>2687</v>
      </c>
      <c r="L14" s="31">
        <f>VLOOKUP($B14,PickedPlayers!D:Q,9,FALSE)</f>
        <v>0</v>
      </c>
      <c r="M14" s="30" t="str">
        <f>VLOOKUP($C14,Fixtures!A:I,5,FALSE)</f>
        <v>IVO</v>
      </c>
      <c r="N14" s="20" t="s">
        <v>2687</v>
      </c>
      <c r="O14" s="31">
        <f>VLOOKUP($B14,PickedPlayers!D:Q,10,FALSE)</f>
        <v>0</v>
      </c>
      <c r="P14" s="30" t="str">
        <f>VLOOKUP($C14,Fixtures!A:I,6,FALSE)</f>
        <v>BRA</v>
      </c>
      <c r="Q14" s="20" t="s">
        <v>2687</v>
      </c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2677</v>
      </c>
      <c r="B15" s="19" t="s">
        <v>281</v>
      </c>
      <c r="C15" s="29" t="s">
        <v>123</v>
      </c>
      <c r="D15" s="30" t="str">
        <f>VLOOKUP($C15,Fixtures!A:I,2,FALSE)</f>
        <v>CAP</v>
      </c>
      <c r="E15" s="20" t="s">
        <v>2687</v>
      </c>
      <c r="F15" s="31">
        <f>VLOOKUP($B15,PickedPlayers!D:Q,7,FALSE)</f>
        <v>0</v>
      </c>
      <c r="G15" s="30" t="str">
        <f>VLOOKUP($C15,Fixtures!A:I,3,FALSE)</f>
        <v>SAU</v>
      </c>
      <c r="H15" s="20" t="s">
        <v>2691</v>
      </c>
      <c r="I15" s="31">
        <f>VLOOKUP($B15,PickedPlayers!D:Q,8,FALSE)</f>
        <v>0</v>
      </c>
      <c r="J15" s="30" t="str">
        <f>VLOOKUP($C15,Fixtures!A:I,4,FALSE)</f>
        <v>URU</v>
      </c>
      <c r="K15" s="20" t="s">
        <v>2691</v>
      </c>
      <c r="L15" s="31">
        <f>VLOOKUP($B15,PickedPlayers!D:Q,9,FALSE)</f>
        <v>0</v>
      </c>
      <c r="M15" s="30" t="str">
        <f>VLOOKUP($C15,Fixtures!A:I,5,FALSE)</f>
        <v>AUS</v>
      </c>
      <c r="N15" s="20" t="s">
        <v>2691</v>
      </c>
      <c r="O15" s="31">
        <f>VLOOKUP($B15,PickedPlayers!D:Q,10,FALSE)</f>
        <v>0</v>
      </c>
      <c r="P15" s="30" t="str">
        <f>VLOOKUP($C15,Fixtures!A:I,6,FALSE)</f>
        <v>POR</v>
      </c>
      <c r="Q15" s="20" t="s">
        <v>2687</v>
      </c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2677</v>
      </c>
      <c r="B16" s="19" t="s">
        <v>392</v>
      </c>
      <c r="C16" s="29" t="s">
        <v>62</v>
      </c>
      <c r="D16" s="30" t="str">
        <f>VLOOKUP($C16,Fixtures!A:I,2,FALSE)</f>
        <v>TUN</v>
      </c>
      <c r="E16" s="20" t="s">
        <v>2687</v>
      </c>
      <c r="F16" s="31">
        <f>VLOOKUP($B16,PickedPlayers!D:Q,7,FALSE)</f>
        <v>0</v>
      </c>
      <c r="G16" s="30" t="str">
        <f>VLOOKUP($C16,Fixtures!A:I,3,FALSE)</f>
        <v>NED</v>
      </c>
      <c r="H16" s="20" t="s">
        <v>2687</v>
      </c>
      <c r="I16" s="31">
        <f>VLOOKUP($B16,PickedPlayers!D:Q,8,FALSE)</f>
        <v>0</v>
      </c>
      <c r="J16" s="30" t="str">
        <f>VLOOKUP($C16,Fixtures!A:I,4,FALSE)</f>
        <v>JAP</v>
      </c>
      <c r="K16" s="20" t="s">
        <v>2687</v>
      </c>
      <c r="L16" s="31">
        <f>VLOOKUP($B16,PickedPlayers!D:Q,9,FALSE)</f>
        <v>0</v>
      </c>
      <c r="M16" s="30" t="str">
        <f>VLOOKUP($C16,Fixtures!A:I,5,FALSE)</f>
        <v>FRA</v>
      </c>
      <c r="N16" s="20" t="s">
        <v>2687</v>
      </c>
      <c r="O16" s="31">
        <f>VLOOKUP($B16,PickedPlayers!D:Q,10,FALSE)</f>
        <v>0</v>
      </c>
      <c r="P16" s="30" t="str">
        <f>VLOOKUP($C16,Fixtures!A:I,6,FALSE)</f>
        <v>out</v>
      </c>
      <c r="Q16" s="20"/>
      <c r="R16" s="31">
        <f>VLOOKUP($B16,PickedPlayers!D:Q,11,FALSE)</f>
        <v>0</v>
      </c>
      <c r="S16" s="30" t="str">
        <f>VLOOKUP($C16,Fixtures!A:I,7,FALSE)</f>
        <v>out</v>
      </c>
      <c r="T16" s="20"/>
      <c r="U16" s="31">
        <f>VLOOKUP($B16,PickedPlayers!D:Q,12,FALSE)</f>
        <v>0</v>
      </c>
      <c r="V16" s="30" t="str">
        <f>VLOOKUP($C16,Fixtures!A:I,8,FALSE)</f>
        <v>out</v>
      </c>
      <c r="W16" s="20"/>
      <c r="X16" s="31">
        <f>VLOOKUP($B16,PickedPlayers!D:Q,13,FALSE)</f>
        <v>0</v>
      </c>
      <c r="Y16" s="30" t="str">
        <f>VLOOKUP($C16,Fixtures!A:I,9,FALSE)</f>
        <v>out</v>
      </c>
      <c r="Z16" s="20"/>
      <c r="AA16" s="31">
        <f>VLOOKUP($B16,PickedPlayers!D:Q,14,FALSE)</f>
        <v>0</v>
      </c>
    </row>
    <row r="17" spans="1:27" x14ac:dyDescent="0.25">
      <c r="A17" s="28" t="s">
        <v>2677</v>
      </c>
      <c r="B17" s="19" t="s">
        <v>440</v>
      </c>
      <c r="C17" s="29" t="s">
        <v>2697</v>
      </c>
      <c r="D17" s="30" t="str">
        <f>VLOOKUP($C17,Fixtures!A:I,2,FALSE)</f>
        <v>CZE</v>
      </c>
      <c r="E17" s="20" t="s">
        <v>2687</v>
      </c>
      <c r="F17" s="31">
        <f>VLOOKUP($B17,PickedPlayers!D:Q,7,FALSE)</f>
        <v>0</v>
      </c>
      <c r="G17" s="30" t="str">
        <f>VLOOKUP($C17,Fixtures!A:I,3,FALSE)</f>
        <v>MEX</v>
      </c>
      <c r="H17" s="20" t="s">
        <v>2687</v>
      </c>
      <c r="I17" s="31">
        <f>VLOOKUP($B17,PickedPlayers!D:Q,8,FALSE)</f>
        <v>0</v>
      </c>
      <c r="J17" s="30" t="str">
        <f>VLOOKUP($C17,Fixtures!A:I,4,FALSE)</f>
        <v>SOU</v>
      </c>
      <c r="K17" s="20" t="s">
        <v>2687</v>
      </c>
      <c r="L17" s="31">
        <f>VLOOKUP($B17,PickedPlayers!D:Q,9,FALSE)</f>
        <v>0</v>
      </c>
      <c r="M17" s="58" t="s">
        <v>2693</v>
      </c>
      <c r="N17" s="59"/>
      <c r="O17" s="60"/>
      <c r="P17" s="58" t="s">
        <v>2693</v>
      </c>
      <c r="Q17" s="59"/>
      <c r="R17" s="60"/>
      <c r="S17" s="58" t="s">
        <v>2693</v>
      </c>
      <c r="T17" s="59"/>
      <c r="U17" s="60"/>
      <c r="V17" s="58" t="s">
        <v>2693</v>
      </c>
      <c r="W17" s="59"/>
      <c r="X17" s="60"/>
      <c r="Y17" s="58" t="s">
        <v>2693</v>
      </c>
      <c r="Z17" s="59"/>
      <c r="AA17" s="60"/>
    </row>
    <row r="18" spans="1:27" x14ac:dyDescent="0.25">
      <c r="A18" s="28" t="s">
        <v>2677</v>
      </c>
      <c r="B18" s="55" t="s">
        <v>545</v>
      </c>
      <c r="C18" s="56" t="s">
        <v>69</v>
      </c>
      <c r="D18" s="30"/>
      <c r="E18" s="57"/>
      <c r="F18" s="31"/>
      <c r="G18" s="30"/>
      <c r="H18" s="57"/>
      <c r="I18" s="31"/>
      <c r="J18" s="30"/>
      <c r="K18" s="57"/>
      <c r="L18" s="31"/>
      <c r="M18" s="30" t="str">
        <f>VLOOKUP($C18,Fixtures!A:I,5,FALSE)</f>
        <v>MOR</v>
      </c>
      <c r="N18" s="57" t="s">
        <v>2687</v>
      </c>
      <c r="O18" s="31">
        <f>VLOOKUP($B18,PickedPlayers!D:Q,10,FALSE)</f>
        <v>0</v>
      </c>
      <c r="P18" s="30" t="str">
        <f>VLOOKUP($C18,Fixtures!A:I,6,FALSE)</f>
        <v>out</v>
      </c>
      <c r="Q18" s="57"/>
      <c r="R18" s="31">
        <f>VLOOKUP($B18,PickedPlayers!D:Q,11,FALSE)</f>
        <v>0</v>
      </c>
      <c r="S18" s="30" t="str">
        <f>VLOOKUP($C18,Fixtures!A:I,7,FALSE)</f>
        <v>out</v>
      </c>
      <c r="T18" s="57"/>
      <c r="U18" s="31">
        <f>VLOOKUP($B18,PickedPlayers!D:Q,12,FALSE)</f>
        <v>0</v>
      </c>
      <c r="V18" s="30" t="str">
        <f>VLOOKUP($C18,Fixtures!A:I,8,FALSE)</f>
        <v>out</v>
      </c>
      <c r="W18" s="57"/>
      <c r="X18" s="31">
        <f>VLOOKUP($B18,PickedPlayers!D:Q,13,FALSE)</f>
        <v>0</v>
      </c>
      <c r="Y18" s="30" t="str">
        <f>VLOOKUP($C18,Fixtures!A:I,9,FALSE)</f>
        <v>out</v>
      </c>
      <c r="Z18" s="57"/>
      <c r="AA18" s="31">
        <f>VLOOKUP($B18,PickedPlayers!D:Q,14,FALSE)</f>
        <v>0</v>
      </c>
    </row>
    <row r="19" spans="1:27" ht="15.75" thickBot="1" x14ac:dyDescent="0.3">
      <c r="A19" s="32" t="s">
        <v>2677</v>
      </c>
      <c r="B19" s="33" t="s">
        <v>515</v>
      </c>
      <c r="C19" s="34" t="s">
        <v>109</v>
      </c>
      <c r="D19" s="30" t="str">
        <f>VLOOKUP($C19,Fixtures!A:I,2,FALSE)</f>
        <v>CRO</v>
      </c>
      <c r="E19" s="35" t="s">
        <v>2689</v>
      </c>
      <c r="F19" s="31">
        <f>VLOOKUP($B19,PickedPlayers!D:Q,7,FALSE)</f>
        <v>0</v>
      </c>
      <c r="G19" s="30" t="str">
        <f>VLOOKUP($C19,Fixtures!A:I,3,FALSE)</f>
        <v>GHA</v>
      </c>
      <c r="H19" s="35" t="s">
        <v>2689</v>
      </c>
      <c r="I19" s="31">
        <f>VLOOKUP($B19,PickedPlayers!D:Q,8,FALSE)</f>
        <v>0</v>
      </c>
      <c r="J19" s="30" t="str">
        <f>VLOOKUP($C19,Fixtures!A:I,4,FALSE)</f>
        <v>PAN</v>
      </c>
      <c r="K19" s="35" t="s">
        <v>2695</v>
      </c>
      <c r="L19" s="31">
        <f>VLOOKUP($B19,PickedPlayers!D:Q,9,FALSE)</f>
        <v>0</v>
      </c>
      <c r="M19" s="30" t="str">
        <f>VLOOKUP($C19,Fixtures!A:I,5,FALSE)</f>
        <v>CON</v>
      </c>
      <c r="N19" s="35" t="s">
        <v>2688</v>
      </c>
      <c r="O19" s="31">
        <f>VLOOKUP($B19,PickedPlayers!D:Q,10,FALSE)</f>
        <v>0</v>
      </c>
      <c r="P19" s="30" t="str">
        <f>VLOOKUP($C19,Fixtures!A:I,6,FALSE)</f>
        <v>MEX</v>
      </c>
      <c r="Q19" s="35" t="s">
        <v>2687</v>
      </c>
      <c r="R19" s="31">
        <f>VLOOKUP($B19,PickedPlayers!D:Q,11,FALSE)</f>
        <v>0</v>
      </c>
      <c r="S19" s="30" t="str">
        <f>VLOOKUP($C19,Fixtures!A:I,7,FALSE)</f>
        <v>TBC</v>
      </c>
      <c r="T19" s="35"/>
      <c r="U19" s="31">
        <f>VLOOKUP($B19,PickedPlayers!D:Q,12,FALSE)</f>
        <v>0</v>
      </c>
      <c r="V19" s="30" t="str">
        <f>VLOOKUP($C19,Fixtures!A:I,8,FALSE)</f>
        <v>TBC</v>
      </c>
      <c r="W19" s="35"/>
      <c r="X19" s="31">
        <f>VLOOKUP($B19,PickedPlayers!D:Q,13,FALSE)</f>
        <v>0</v>
      </c>
      <c r="Y19" s="30" t="str">
        <f>VLOOKUP($C19,Fixtures!A:I,9,FALSE)</f>
        <v>TBC</v>
      </c>
      <c r="Z19" s="35"/>
      <c r="AA19" s="31">
        <f>VLOOKUP($B19,PickedPlayers!D:Q,14,FALSE)</f>
        <v>0</v>
      </c>
    </row>
    <row r="20" spans="1:27" s="18" customFormat="1" x14ac:dyDescent="0.25">
      <c r="A20" s="82"/>
      <c r="B20" s="83"/>
      <c r="C20" s="84"/>
      <c r="D20" s="67"/>
      <c r="E20" s="68"/>
      <c r="F20" s="69"/>
      <c r="G20" s="67"/>
      <c r="H20" s="68"/>
      <c r="I20" s="69"/>
      <c r="J20" s="67"/>
      <c r="K20" s="68"/>
      <c r="L20" s="69"/>
      <c r="M20" s="67"/>
      <c r="N20" s="68"/>
      <c r="O20" s="69"/>
      <c r="P20" s="67"/>
      <c r="Q20" s="68"/>
      <c r="R20" s="69"/>
      <c r="S20" s="67"/>
      <c r="T20" s="68"/>
      <c r="U20" s="69"/>
      <c r="V20" s="67"/>
      <c r="W20" s="68"/>
      <c r="X20" s="69"/>
      <c r="Y20" s="67"/>
      <c r="Z20" s="68"/>
      <c r="AA20" s="69"/>
    </row>
    <row r="21" spans="1:27" s="18" customFormat="1" ht="15.75" thickBot="1" x14ac:dyDescent="0.3">
      <c r="A21" s="85"/>
      <c r="B21" s="86"/>
      <c r="C21" s="87"/>
      <c r="D21" s="70"/>
      <c r="E21" s="71"/>
      <c r="F21" s="72"/>
      <c r="G21" s="70"/>
      <c r="H21" s="71"/>
      <c r="I21" s="72"/>
      <c r="J21" s="70"/>
      <c r="K21" s="71"/>
      <c r="L21" s="72"/>
      <c r="M21" s="70"/>
      <c r="N21" s="71"/>
      <c r="O21" s="72"/>
      <c r="P21" s="70"/>
      <c r="Q21" s="71"/>
      <c r="R21" s="72"/>
      <c r="S21" s="70"/>
      <c r="T21" s="71"/>
      <c r="U21" s="72"/>
      <c r="V21" s="70"/>
      <c r="W21" s="71"/>
      <c r="X21" s="72"/>
      <c r="Y21" s="70"/>
      <c r="Z21" s="71"/>
      <c r="AA21" s="72"/>
    </row>
    <row r="22" spans="1:27" ht="15" hidden="1" customHeight="1" x14ac:dyDescent="0.25">
      <c r="D22" s="21"/>
      <c r="E22" s="21"/>
      <c r="F22" s="21"/>
    </row>
  </sheetData>
  <mergeCells count="18">
    <mergeCell ref="V20:X21"/>
    <mergeCell ref="Y20:AA21"/>
    <mergeCell ref="S1:U1"/>
    <mergeCell ref="V1:X1"/>
    <mergeCell ref="Y1:AA1"/>
    <mergeCell ref="P20:R21"/>
    <mergeCell ref="S20:U21"/>
    <mergeCell ref="A1:C1"/>
    <mergeCell ref="D1:F1"/>
    <mergeCell ref="G1:I1"/>
    <mergeCell ref="J1:L1"/>
    <mergeCell ref="M1:O1"/>
    <mergeCell ref="P1:R1"/>
    <mergeCell ref="D20:F21"/>
    <mergeCell ref="G20:I21"/>
    <mergeCell ref="J20:L21"/>
    <mergeCell ref="M20:O21"/>
    <mergeCell ref="A20:C21"/>
  </mergeCells>
  <conditionalFormatting sqref="E3:E19">
    <cfRule type="containsText" dxfId="266" priority="65" operator="containsText" text="Vice Captain">
      <formula>NOT(ISERROR(SEARCH("Vice Captain",E3)))</formula>
    </cfRule>
    <cfRule type="containsText" dxfId="265" priority="66" operator="containsText" text="Off">
      <formula>NOT(ISERROR(SEARCH("Off",E3)))</formula>
    </cfRule>
    <cfRule type="containsText" dxfId="264" priority="67" operator="containsText" text="Sub">
      <formula>NOT(ISERROR(SEARCH("Sub",E3)))</formula>
    </cfRule>
    <cfRule type="containsText" dxfId="263" priority="68" operator="containsText" text="Captain">
      <formula>NOT(ISERROR(SEARCH("Captain",E3)))</formula>
    </cfRule>
    <cfRule type="containsText" dxfId="262" priority="69" operator="containsText" text="Picked">
      <formula>NOT(ISERROR(SEARCH("Picked",E3)))</formula>
    </cfRule>
  </conditionalFormatting>
  <conditionalFormatting sqref="H3:H19">
    <cfRule type="containsText" dxfId="261" priority="58" operator="containsText" text="Vice Captain">
      <formula>NOT(ISERROR(SEARCH("Vice Captain",H3)))</formula>
    </cfRule>
    <cfRule type="containsText" dxfId="260" priority="59" operator="containsText" text="Off">
      <formula>NOT(ISERROR(SEARCH("Off",H3)))</formula>
    </cfRule>
    <cfRule type="containsText" dxfId="259" priority="60" operator="containsText" text="Sub">
      <formula>NOT(ISERROR(SEARCH("Sub",H3)))</formula>
    </cfRule>
    <cfRule type="containsText" dxfId="258" priority="61" operator="containsText" text="Captain">
      <formula>NOT(ISERROR(SEARCH("Captain",H3)))</formula>
    </cfRule>
    <cfRule type="containsText" dxfId="257" priority="62" operator="containsText" text="Picked">
      <formula>NOT(ISERROR(SEARCH("Picked",H3)))</formula>
    </cfRule>
  </conditionalFormatting>
  <conditionalFormatting sqref="K3:K19">
    <cfRule type="containsText" dxfId="256" priority="53" operator="containsText" text="Vice Captain">
      <formula>NOT(ISERROR(SEARCH("Vice Captain",K3)))</formula>
    </cfRule>
    <cfRule type="containsText" dxfId="255" priority="54" operator="containsText" text="Off">
      <formula>NOT(ISERROR(SEARCH("Off",K3)))</formula>
    </cfRule>
    <cfRule type="containsText" dxfId="254" priority="55" operator="containsText" text="Sub">
      <formula>NOT(ISERROR(SEARCH("Sub",K3)))</formula>
    </cfRule>
    <cfRule type="containsText" dxfId="253" priority="56" operator="containsText" text="Captain">
      <formula>NOT(ISERROR(SEARCH("Captain",K3)))</formula>
    </cfRule>
    <cfRule type="containsText" dxfId="252" priority="57" operator="containsText" text="Picked">
      <formula>NOT(ISERROR(SEARCH("Picked",K3)))</formula>
    </cfRule>
  </conditionalFormatting>
  <conditionalFormatting sqref="M3:M19 P3:P19 S3:S19 V3:V19 Y3:Y19">
    <cfRule type="containsText" dxfId="251" priority="26" operator="containsText" text="tbc">
      <formula>NOT(ISERROR(SEARCH("tbc",M3)))</formula>
    </cfRule>
    <cfRule type="containsText" dxfId="250" priority="27" operator="containsText" text="Out">
      <formula>NOT(ISERROR(SEARCH("Out",M3)))</formula>
    </cfRule>
  </conditionalFormatting>
  <conditionalFormatting sqref="N3:N19">
    <cfRule type="containsText" dxfId="249" priority="1" operator="containsText" text="Vice Captain">
      <formula>NOT(ISERROR(SEARCH("Vice Captain",N3)))</formula>
    </cfRule>
    <cfRule type="containsText" dxfId="248" priority="2" operator="containsText" text="Off">
      <formula>NOT(ISERROR(SEARCH("Off",N3)))</formula>
    </cfRule>
    <cfRule type="containsText" dxfId="247" priority="3" operator="containsText" text="Sub">
      <formula>NOT(ISERROR(SEARCH("Sub",N3)))</formula>
    </cfRule>
    <cfRule type="containsText" dxfId="246" priority="4" operator="containsText" text="Captain">
      <formula>NOT(ISERROR(SEARCH("Captain",N3)))</formula>
    </cfRule>
    <cfRule type="containsText" dxfId="245" priority="5" operator="containsText" text="Picked">
      <formula>NOT(ISERROR(SEARCH("Picked",N3)))</formula>
    </cfRule>
  </conditionalFormatting>
  <conditionalFormatting sqref="Q3:Q19">
    <cfRule type="containsText" dxfId="244" priority="21" operator="containsText" text="Vice Captain">
      <formula>NOT(ISERROR(SEARCH("Vice Captain",Q3)))</formula>
    </cfRule>
    <cfRule type="containsText" dxfId="243" priority="22" operator="containsText" text="Off">
      <formula>NOT(ISERROR(SEARCH("Off",Q3)))</formula>
    </cfRule>
    <cfRule type="containsText" dxfId="242" priority="23" operator="containsText" text="Sub">
      <formula>NOT(ISERROR(SEARCH("Sub",Q3)))</formula>
    </cfRule>
    <cfRule type="containsText" dxfId="241" priority="24" operator="containsText" text="Captain">
      <formula>NOT(ISERROR(SEARCH("Captain",Q3)))</formula>
    </cfRule>
    <cfRule type="containsText" dxfId="240" priority="25" operator="containsText" text="Picked">
      <formula>NOT(ISERROR(SEARCH("Picked",Q3)))</formula>
    </cfRule>
  </conditionalFormatting>
  <conditionalFormatting sqref="T3:T19">
    <cfRule type="containsText" dxfId="239" priority="16" operator="containsText" text="Vice Captain">
      <formula>NOT(ISERROR(SEARCH("Vice Captain",T3)))</formula>
    </cfRule>
    <cfRule type="containsText" dxfId="238" priority="17" operator="containsText" text="Off">
      <formula>NOT(ISERROR(SEARCH("Off",T3)))</formula>
    </cfRule>
    <cfRule type="containsText" dxfId="237" priority="18" operator="containsText" text="Sub">
      <formula>NOT(ISERROR(SEARCH("Sub",T3)))</formula>
    </cfRule>
    <cfRule type="containsText" dxfId="236" priority="19" operator="containsText" text="Captain">
      <formula>NOT(ISERROR(SEARCH("Captain",T3)))</formula>
    </cfRule>
    <cfRule type="containsText" dxfId="235" priority="20" operator="containsText" text="Picked">
      <formula>NOT(ISERROR(SEARCH("Picked",T3)))</formula>
    </cfRule>
  </conditionalFormatting>
  <conditionalFormatting sqref="W3:W19">
    <cfRule type="containsText" dxfId="234" priority="11" operator="containsText" text="Vice Captain">
      <formula>NOT(ISERROR(SEARCH("Vice Captain",W3)))</formula>
    </cfRule>
    <cfRule type="containsText" dxfId="233" priority="12" operator="containsText" text="Off">
      <formula>NOT(ISERROR(SEARCH("Off",W3)))</formula>
    </cfRule>
    <cfRule type="containsText" dxfId="232" priority="13" operator="containsText" text="Sub">
      <formula>NOT(ISERROR(SEARCH("Sub",W3)))</formula>
    </cfRule>
    <cfRule type="containsText" dxfId="231" priority="14" operator="containsText" text="Captain">
      <formula>NOT(ISERROR(SEARCH("Captain",W3)))</formula>
    </cfRule>
    <cfRule type="containsText" dxfId="230" priority="15" operator="containsText" text="Picked">
      <formula>NOT(ISERROR(SEARCH("Picked",W3)))</formula>
    </cfRule>
  </conditionalFormatting>
  <conditionalFormatting sqref="Z3:Z19">
    <cfRule type="containsText" dxfId="229" priority="6" operator="containsText" text="Vice Captain">
      <formula>NOT(ISERROR(SEARCH("Vice Captain",Z3)))</formula>
    </cfRule>
    <cfRule type="containsText" dxfId="228" priority="7" operator="containsText" text="Off">
      <formula>NOT(ISERROR(SEARCH("Off",Z3)))</formula>
    </cfRule>
    <cfRule type="containsText" dxfId="227" priority="8" operator="containsText" text="Sub">
      <formula>NOT(ISERROR(SEARCH("Sub",Z3)))</formula>
    </cfRule>
    <cfRule type="containsText" dxfId="226" priority="9" operator="containsText" text="Captain">
      <formula>NOT(ISERROR(SEARCH("Captain",Z3)))</formula>
    </cfRule>
    <cfRule type="containsText" dxfId="225" priority="10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385202-AE68-4A79-BB8E-1211F4E9C22D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309BEAA3-28CD-4BAF-8946-A1E938ED2616}">
          <x14:formula1>
            <xm:f>Lookups!$E$2:$E$9</xm:f>
          </x14:formula1>
          <xm:sqref>H5:H19 K5:K19 E5:E19 Q5:Q19 N5:N19 W5:W19 T5:T19 Z5:Z19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A35F-71AD-46A0-8F4F-0D09BB65FFFA}">
  <dimension ref="A1:AA22"/>
  <sheetViews>
    <sheetView workbookViewId="0">
      <selection activeCell="Q8" sqref="Q8"/>
    </sheetView>
  </sheetViews>
  <sheetFormatPr defaultColWidth="9.140625" defaultRowHeight="15" zeroHeight="1" x14ac:dyDescent="0.25"/>
  <cols>
    <col min="1" max="1" width="9.140625" style="54"/>
    <col min="2" max="2" width="14.28515625" style="54" bestFit="1" customWidth="1"/>
    <col min="3" max="3" width="11.5703125" style="54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73" t="s">
        <v>2678</v>
      </c>
      <c r="B1" s="74"/>
      <c r="C1" s="75"/>
      <c r="D1" s="76" t="s">
        <v>2679</v>
      </c>
      <c r="E1" s="77"/>
      <c r="F1" s="78"/>
      <c r="G1" s="79" t="s">
        <v>2680</v>
      </c>
      <c r="H1" s="80"/>
      <c r="I1" s="81"/>
      <c r="J1" s="79" t="s">
        <v>2681</v>
      </c>
      <c r="K1" s="80"/>
      <c r="L1" s="81"/>
      <c r="M1" s="79" t="s">
        <v>36</v>
      </c>
      <c r="N1" s="80"/>
      <c r="O1" s="81"/>
      <c r="P1" s="79" t="s">
        <v>23</v>
      </c>
      <c r="Q1" s="80"/>
      <c r="R1" s="81"/>
      <c r="S1" s="79" t="s">
        <v>17</v>
      </c>
      <c r="T1" s="80"/>
      <c r="U1" s="81"/>
      <c r="V1" s="79" t="s">
        <v>13</v>
      </c>
      <c r="W1" s="80"/>
      <c r="X1" s="81"/>
      <c r="Y1" s="79" t="s">
        <v>9</v>
      </c>
      <c r="Z1" s="80"/>
      <c r="AA1" s="81"/>
    </row>
    <row r="2" spans="1:27" x14ac:dyDescent="0.25">
      <c r="A2" s="22" t="s">
        <v>271</v>
      </c>
      <c r="B2" s="23" t="s">
        <v>268</v>
      </c>
      <c r="C2" s="24" t="s">
        <v>2671</v>
      </c>
      <c r="D2" s="25" t="s">
        <v>2682</v>
      </c>
      <c r="E2" s="26" t="s">
        <v>2683</v>
      </c>
      <c r="F2" s="27" t="s">
        <v>2684</v>
      </c>
      <c r="G2" s="25" t="s">
        <v>2682</v>
      </c>
      <c r="H2" s="26" t="s">
        <v>2683</v>
      </c>
      <c r="I2" s="27" t="s">
        <v>2684</v>
      </c>
      <c r="J2" s="25" t="s">
        <v>2682</v>
      </c>
      <c r="K2" s="26" t="s">
        <v>2683</v>
      </c>
      <c r="L2" s="27" t="s">
        <v>2684</v>
      </c>
      <c r="M2" s="25" t="s">
        <v>2682</v>
      </c>
      <c r="N2" s="26" t="s">
        <v>2683</v>
      </c>
      <c r="O2" s="27" t="s">
        <v>2684</v>
      </c>
      <c r="P2" s="25" t="s">
        <v>2682</v>
      </c>
      <c r="Q2" s="26" t="s">
        <v>2683</v>
      </c>
      <c r="R2" s="27" t="s">
        <v>2684</v>
      </c>
      <c r="S2" s="25" t="s">
        <v>2682</v>
      </c>
      <c r="T2" s="26" t="s">
        <v>2683</v>
      </c>
      <c r="U2" s="27" t="s">
        <v>2684</v>
      </c>
      <c r="V2" s="25" t="s">
        <v>2682</v>
      </c>
      <c r="W2" s="26" t="s">
        <v>2683</v>
      </c>
      <c r="X2" s="27" t="s">
        <v>2684</v>
      </c>
      <c r="Y2" s="25" t="s">
        <v>2682</v>
      </c>
      <c r="Z2" s="26" t="s">
        <v>2683</v>
      </c>
      <c r="AA2" s="27" t="s">
        <v>2684</v>
      </c>
    </row>
    <row r="3" spans="1:27" x14ac:dyDescent="0.25">
      <c r="A3" s="28" t="s">
        <v>2673</v>
      </c>
      <c r="B3" s="19" t="s">
        <v>372</v>
      </c>
      <c r="C3" s="29" t="s">
        <v>78</v>
      </c>
      <c r="D3" s="30" t="str">
        <f>VLOOKUP($C3,Fixtures!A:I,2,FALSE)</f>
        <v>MOR</v>
      </c>
      <c r="E3" s="20" t="s">
        <v>2687</v>
      </c>
      <c r="F3" s="31">
        <f>VLOOKUP($B3,PickedPlayers!D:Q,7,FALSE)</f>
        <v>0</v>
      </c>
      <c r="G3" s="30" t="str">
        <f>VLOOKUP($C3,Fixtures!A:I,3,FALSE)</f>
        <v>HAI</v>
      </c>
      <c r="H3" s="20" t="s">
        <v>2687</v>
      </c>
      <c r="I3" s="31">
        <f>VLOOKUP($B3,PickedPlayers!D:Q,8,FALSE)</f>
        <v>0</v>
      </c>
      <c r="J3" s="30" t="str">
        <f>VLOOKUP($C3,Fixtures!A:I,4,FALSE)</f>
        <v>SCO</v>
      </c>
      <c r="K3" s="20" t="s">
        <v>2687</v>
      </c>
      <c r="L3" s="31">
        <f>VLOOKUP($B3,PickedPlayers!D:Q,9,FALSE)</f>
        <v>0</v>
      </c>
      <c r="M3" s="30" t="str">
        <f>VLOOKUP($C3,Fixtures!A:I,5,FALSE)</f>
        <v>JAP</v>
      </c>
      <c r="N3" s="20" t="s">
        <v>2686</v>
      </c>
      <c r="O3" s="31">
        <f>VLOOKUP($B3,PickedPlayers!D:Q,10,FALSE)</f>
        <v>0</v>
      </c>
      <c r="P3" s="30" t="str">
        <f>VLOOKUP($C3,Fixtures!A:I,6,FALSE)</f>
        <v>NOR</v>
      </c>
      <c r="Q3" s="20" t="s">
        <v>2686</v>
      </c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2673</v>
      </c>
      <c r="B4" s="19" t="s">
        <v>513</v>
      </c>
      <c r="C4" s="29" t="s">
        <v>2522</v>
      </c>
      <c r="D4" s="30" t="str">
        <f>VLOOKUP($C4,Fixtures!A:I,2,FALSE)</f>
        <v>PAR</v>
      </c>
      <c r="E4" s="20" t="s">
        <v>2686</v>
      </c>
      <c r="F4" s="31">
        <f>VLOOKUP($B4,PickedPlayers!D:Q,7,FALSE)</f>
        <v>0</v>
      </c>
      <c r="G4" s="30" t="str">
        <f>VLOOKUP($C4,Fixtures!A:I,3,FALSE)</f>
        <v>AUS</v>
      </c>
      <c r="H4" s="20" t="s">
        <v>2686</v>
      </c>
      <c r="I4" s="31">
        <f>VLOOKUP($B4,PickedPlayers!D:Q,8,FALSE)</f>
        <v>0</v>
      </c>
      <c r="J4" s="30" t="str">
        <f>VLOOKUP($C4,Fixtures!A:I,4,FALSE)</f>
        <v>TUR</v>
      </c>
      <c r="K4" s="20" t="s">
        <v>2686</v>
      </c>
      <c r="L4" s="31">
        <f>VLOOKUP($B4,PickedPlayers!D:Q,9,FALSE)</f>
        <v>0</v>
      </c>
      <c r="M4" s="30" t="str">
        <f>VLOOKUP($C4,Fixtures!A:I,5,FALSE)</f>
        <v>BOS</v>
      </c>
      <c r="N4" s="20" t="s">
        <v>2687</v>
      </c>
      <c r="O4" s="31">
        <f>VLOOKUP($B4,PickedPlayers!D:Q,10,FALSE)</f>
        <v>0</v>
      </c>
      <c r="P4" s="30" t="str">
        <f>VLOOKUP($C4,Fixtures!A:I,6,FALSE)</f>
        <v>BEL</v>
      </c>
      <c r="Q4" s="20" t="s">
        <v>2687</v>
      </c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2674</v>
      </c>
      <c r="B5" s="19" t="s">
        <v>350</v>
      </c>
      <c r="C5" s="29" t="s">
        <v>109</v>
      </c>
      <c r="D5" s="30" t="str">
        <f>VLOOKUP($C5,Fixtures!A:I,2,FALSE)</f>
        <v>CRO</v>
      </c>
      <c r="E5" s="20" t="s">
        <v>2687</v>
      </c>
      <c r="F5" s="31">
        <f>VLOOKUP($B5,PickedPlayers!D:Q,7,FALSE)</f>
        <v>0</v>
      </c>
      <c r="G5" s="30" t="str">
        <f>VLOOKUP($C5,Fixtures!A:I,3,FALSE)</f>
        <v>GHA</v>
      </c>
      <c r="H5" s="20" t="s">
        <v>2687</v>
      </c>
      <c r="I5" s="31">
        <f>VLOOKUP($B5,PickedPlayers!D:Q,8,FALSE)</f>
        <v>0</v>
      </c>
      <c r="J5" s="30" t="str">
        <f>VLOOKUP($C5,Fixtures!A:I,4,FALSE)</f>
        <v>PAN</v>
      </c>
      <c r="K5" s="20" t="s">
        <v>2687</v>
      </c>
      <c r="L5" s="31">
        <f>VLOOKUP($B5,PickedPlayers!D:Q,9,FALSE)</f>
        <v>0</v>
      </c>
      <c r="M5" s="30" t="str">
        <f>VLOOKUP($C5,Fixtures!A:I,5,FALSE)</f>
        <v>CON</v>
      </c>
      <c r="N5" s="20" t="s">
        <v>2687</v>
      </c>
      <c r="O5" s="31">
        <f>VLOOKUP($B5,PickedPlayers!D:Q,10,FALSE)</f>
        <v>0</v>
      </c>
      <c r="P5" s="30" t="str">
        <f>VLOOKUP($C5,Fixtures!A:I,6,FALSE)</f>
        <v>MEX</v>
      </c>
      <c r="Q5" s="20" t="s">
        <v>2687</v>
      </c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2674</v>
      </c>
      <c r="B6" s="19" t="s">
        <v>390</v>
      </c>
      <c r="C6" s="29" t="s">
        <v>74</v>
      </c>
      <c r="D6" s="30" t="str">
        <f>VLOOKUP($C6,Fixtures!A:I,2,FALSE)</f>
        <v>CUR</v>
      </c>
      <c r="E6" s="20" t="s">
        <v>2691</v>
      </c>
      <c r="F6" s="31">
        <f>VLOOKUP($B6,PickedPlayers!D:Q,7,FALSE)</f>
        <v>0</v>
      </c>
      <c r="G6" s="30" t="str">
        <f>VLOOKUP($C6,Fixtures!A:I,3,FALSE)</f>
        <v>IVO</v>
      </c>
      <c r="H6" s="20" t="s">
        <v>2689</v>
      </c>
      <c r="I6" s="31">
        <f>VLOOKUP($B6,PickedPlayers!D:Q,8,FALSE)</f>
        <v>0</v>
      </c>
      <c r="J6" s="30" t="str">
        <f>VLOOKUP($C6,Fixtures!A:I,4,FALSE)</f>
        <v>ECU</v>
      </c>
      <c r="K6" s="20" t="s">
        <v>2689</v>
      </c>
      <c r="L6" s="31">
        <f>VLOOKUP($B6,PickedPlayers!D:Q,9,FALSE)</f>
        <v>0</v>
      </c>
      <c r="M6" s="30" t="str">
        <f>VLOOKUP($C6,Fixtures!A:I,5,FALSE)</f>
        <v>PAR</v>
      </c>
      <c r="N6" s="20" t="s">
        <v>2689</v>
      </c>
      <c r="O6" s="31">
        <f>VLOOKUP($B6,PickedPlayers!D:Q,10,FALSE)</f>
        <v>0</v>
      </c>
      <c r="P6" s="30" t="str">
        <f>VLOOKUP($C6,Fixtures!A:I,6,FALSE)</f>
        <v>out</v>
      </c>
      <c r="Q6" s="20"/>
      <c r="R6" s="31">
        <f>VLOOKUP($B6,PickedPlayers!D:Q,11,FALSE)</f>
        <v>0</v>
      </c>
      <c r="S6" s="30" t="str">
        <f>VLOOKUP($C6,Fixtures!A:I,7,FALSE)</f>
        <v>out</v>
      </c>
      <c r="T6" s="20"/>
      <c r="U6" s="31">
        <f>VLOOKUP($B6,PickedPlayers!D:Q,12,FALSE)</f>
        <v>0</v>
      </c>
      <c r="V6" s="30" t="str">
        <f>VLOOKUP($C6,Fixtures!A:I,8,FALSE)</f>
        <v>out</v>
      </c>
      <c r="W6" s="20"/>
      <c r="X6" s="31">
        <f>VLOOKUP($B6,PickedPlayers!D:Q,13,FALSE)</f>
        <v>0</v>
      </c>
      <c r="Y6" s="30" t="str">
        <f>VLOOKUP($C6,Fixtures!A:I,9,FALSE)</f>
        <v>out</v>
      </c>
      <c r="Z6" s="20"/>
      <c r="AA6" s="31">
        <f>VLOOKUP($B6,PickedPlayers!D:Q,14,FALSE)</f>
        <v>0</v>
      </c>
    </row>
    <row r="7" spans="1:27" x14ac:dyDescent="0.25">
      <c r="A7" s="28" t="s">
        <v>2674</v>
      </c>
      <c r="B7" s="19" t="s">
        <v>452</v>
      </c>
      <c r="C7" s="29" t="s">
        <v>78</v>
      </c>
      <c r="D7" s="30" t="str">
        <f>VLOOKUP($C7,Fixtures!A:I,2,FALSE)</f>
        <v>MOR</v>
      </c>
      <c r="E7" s="20" t="s">
        <v>2687</v>
      </c>
      <c r="F7" s="31">
        <f>VLOOKUP($B7,PickedPlayers!D:Q,7,FALSE)</f>
        <v>0</v>
      </c>
      <c r="G7" s="30" t="str">
        <f>VLOOKUP($C7,Fixtures!A:I,3,FALSE)</f>
        <v>HAI</v>
      </c>
      <c r="H7" s="20" t="s">
        <v>2692</v>
      </c>
      <c r="I7" s="31">
        <f>VLOOKUP($B7,PickedPlayers!D:Q,8,FALSE)</f>
        <v>0</v>
      </c>
      <c r="J7" s="30" t="str">
        <f>VLOOKUP($C7,Fixtures!A:I,4,FALSE)</f>
        <v>SCO</v>
      </c>
      <c r="K7" s="20" t="s">
        <v>2687</v>
      </c>
      <c r="L7" s="31">
        <f>VLOOKUP($B7,PickedPlayers!D:Q,9,FALSE)</f>
        <v>0</v>
      </c>
      <c r="M7" s="30" t="str">
        <f>VLOOKUP($C7,Fixtures!A:I,5,FALSE)</f>
        <v>JAP</v>
      </c>
      <c r="N7" s="20" t="s">
        <v>2687</v>
      </c>
      <c r="O7" s="31">
        <f>VLOOKUP($B7,PickedPlayers!D:Q,10,FALSE)</f>
        <v>0</v>
      </c>
      <c r="P7" s="30" t="str">
        <f>VLOOKUP($C7,Fixtures!A:I,6,FALSE)</f>
        <v>NOR</v>
      </c>
      <c r="Q7" s="20" t="s">
        <v>2687</v>
      </c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2674</v>
      </c>
      <c r="B8" s="19" t="s">
        <v>462</v>
      </c>
      <c r="C8" s="29" t="s">
        <v>101</v>
      </c>
      <c r="D8" s="30" t="str">
        <f>VLOOKUP($C8,Fixtures!A:I,2,FALSE)</f>
        <v>CON</v>
      </c>
      <c r="E8" s="20" t="s">
        <v>2685</v>
      </c>
      <c r="F8" s="31">
        <f>VLOOKUP($B8,PickedPlayers!D:Q,7,FALSE)</f>
        <v>0</v>
      </c>
      <c r="G8" s="30" t="str">
        <f>VLOOKUP($C8,Fixtures!A:I,3,FALSE)</f>
        <v>UZB</v>
      </c>
      <c r="H8" s="20" t="s">
        <v>2687</v>
      </c>
      <c r="I8" s="31">
        <f>VLOOKUP($B8,PickedPlayers!D:Q,8,FALSE)</f>
        <v>0</v>
      </c>
      <c r="J8" s="30" t="str">
        <f>VLOOKUP($C8,Fixtures!A:I,4,FALSE)</f>
        <v>COL</v>
      </c>
      <c r="K8" s="20" t="s">
        <v>2687</v>
      </c>
      <c r="L8" s="31">
        <f>VLOOKUP($B8,PickedPlayers!D:Q,9,FALSE)</f>
        <v>0</v>
      </c>
      <c r="M8" s="30" t="str">
        <f>VLOOKUP($C8,Fixtures!A:I,5,FALSE)</f>
        <v>CRO</v>
      </c>
      <c r="N8" s="20" t="s">
        <v>2688</v>
      </c>
      <c r="O8" s="31">
        <f>VLOOKUP($B8,PickedPlayers!D:Q,10,FALSE)</f>
        <v>0</v>
      </c>
      <c r="P8" s="30" t="str">
        <f>VLOOKUP($C8,Fixtures!A:I,6,FALSE)</f>
        <v>SPA</v>
      </c>
      <c r="Q8" s="20" t="s">
        <v>2688</v>
      </c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2674</v>
      </c>
      <c r="B9" s="19" t="s">
        <v>473</v>
      </c>
      <c r="C9" s="29" t="s">
        <v>2697</v>
      </c>
      <c r="D9" s="30" t="str">
        <f>VLOOKUP($C9,Fixtures!A:I,2,FALSE)</f>
        <v>CZE</v>
      </c>
      <c r="E9" s="20" t="s">
        <v>2689</v>
      </c>
      <c r="F9" s="31">
        <f>VLOOKUP($B9,PickedPlayers!D:Q,7,FALSE)</f>
        <v>0</v>
      </c>
      <c r="G9" s="30" t="str">
        <f>VLOOKUP($C9,Fixtures!A:I,3,FALSE)</f>
        <v>MEX</v>
      </c>
      <c r="H9" s="20" t="s">
        <v>2687</v>
      </c>
      <c r="I9" s="31">
        <f>VLOOKUP($B9,PickedPlayers!D:Q,8,FALSE)</f>
        <v>0</v>
      </c>
      <c r="J9" s="30" t="str">
        <f>VLOOKUP($C9,Fixtures!A:I,4,FALSE)</f>
        <v>SOU</v>
      </c>
      <c r="K9" s="20" t="s">
        <v>2687</v>
      </c>
      <c r="L9" s="31">
        <f>VLOOKUP($B9,PickedPlayers!D:Q,9,FALSE)</f>
        <v>0</v>
      </c>
      <c r="M9" s="58" t="s">
        <v>2693</v>
      </c>
      <c r="N9" s="59"/>
      <c r="O9" s="60"/>
      <c r="P9" s="58" t="s">
        <v>2693</v>
      </c>
      <c r="Q9" s="59"/>
      <c r="R9" s="60"/>
      <c r="S9" s="58" t="s">
        <v>2693</v>
      </c>
      <c r="T9" s="59"/>
      <c r="U9" s="60"/>
      <c r="V9" s="58" t="s">
        <v>2693</v>
      </c>
      <c r="W9" s="59"/>
      <c r="X9" s="60"/>
      <c r="Y9" s="58" t="s">
        <v>2693</v>
      </c>
      <c r="Z9" s="59"/>
      <c r="AA9" s="60"/>
    </row>
    <row r="10" spans="1:27" x14ac:dyDescent="0.25">
      <c r="A10" s="28" t="s">
        <v>2674</v>
      </c>
      <c r="B10" s="19" t="s">
        <v>543</v>
      </c>
      <c r="C10" s="29" t="s">
        <v>2522</v>
      </c>
      <c r="D10" s="30"/>
      <c r="E10" s="20"/>
      <c r="F10" s="31"/>
      <c r="G10" s="30"/>
      <c r="H10" s="20"/>
      <c r="I10" s="31"/>
      <c r="J10" s="30"/>
      <c r="K10" s="20"/>
      <c r="L10" s="31"/>
      <c r="M10" s="30" t="str">
        <f>VLOOKUP($C10,Fixtures!A:I,5,FALSE)</f>
        <v>BOS</v>
      </c>
      <c r="N10" s="20" t="s">
        <v>2687</v>
      </c>
      <c r="O10" s="31">
        <f>VLOOKUP($B10,PickedPlayers!D:Q,10,FALSE)</f>
        <v>0</v>
      </c>
      <c r="P10" s="30" t="str">
        <f>VLOOKUP($C10,Fixtures!A:I,6,FALSE)</f>
        <v>BEL</v>
      </c>
      <c r="Q10" s="20" t="s">
        <v>2687</v>
      </c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2675</v>
      </c>
      <c r="B11" s="19" t="s">
        <v>328</v>
      </c>
      <c r="C11" s="29" t="s">
        <v>40</v>
      </c>
      <c r="D11" s="30" t="str">
        <f>VLOOKUP($C11,Fixtures!A:I,2,FALSE)</f>
        <v>ALG</v>
      </c>
      <c r="E11" s="20" t="s">
        <v>2687</v>
      </c>
      <c r="F11" s="31">
        <f>VLOOKUP($B11,PickedPlayers!D:Q,7,FALSE)</f>
        <v>0</v>
      </c>
      <c r="G11" s="30" t="str">
        <f>VLOOKUP($C11,Fixtures!A:I,3,FALSE)</f>
        <v>AUT</v>
      </c>
      <c r="H11" s="20" t="s">
        <v>2691</v>
      </c>
      <c r="I11" s="31">
        <f>VLOOKUP($B11,PickedPlayers!D:Q,8,FALSE)</f>
        <v>0</v>
      </c>
      <c r="J11" s="30" t="str">
        <f>VLOOKUP($C11,Fixtures!A:I,4,FALSE)</f>
        <v>JOR</v>
      </c>
      <c r="K11" s="20" t="s">
        <v>2685</v>
      </c>
      <c r="L11" s="31">
        <f>VLOOKUP($B11,PickedPlayers!D:Q,9,FALSE)</f>
        <v>0</v>
      </c>
      <c r="M11" s="30" t="str">
        <f>VLOOKUP($C11,Fixtures!A:I,5,FALSE)</f>
        <v>CAP</v>
      </c>
      <c r="N11" s="20" t="s">
        <v>2687</v>
      </c>
      <c r="O11" s="31">
        <f>VLOOKUP($B11,PickedPlayers!D:Q,10,FALSE)</f>
        <v>0</v>
      </c>
      <c r="P11" s="30" t="str">
        <f>VLOOKUP($C11,Fixtures!A:I,6,FALSE)</f>
        <v>TBC</v>
      </c>
      <c r="Q11" s="20" t="s">
        <v>2695</v>
      </c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2675</v>
      </c>
      <c r="B12" s="19" t="s">
        <v>330</v>
      </c>
      <c r="C12" s="29" t="s">
        <v>123</v>
      </c>
      <c r="D12" s="30" t="str">
        <f>VLOOKUP($C12,Fixtures!A:I,2,FALSE)</f>
        <v>CAP</v>
      </c>
      <c r="E12" s="20" t="s">
        <v>2687</v>
      </c>
      <c r="F12" s="31">
        <f>VLOOKUP($B12,PickedPlayers!D:Q,7,FALSE)</f>
        <v>0</v>
      </c>
      <c r="G12" s="30" t="str">
        <f>VLOOKUP($C12,Fixtures!A:I,3,FALSE)</f>
        <v>SAU</v>
      </c>
      <c r="H12" s="20" t="s">
        <v>2687</v>
      </c>
      <c r="I12" s="31">
        <f>VLOOKUP($B12,PickedPlayers!D:Q,8,FALSE)</f>
        <v>0</v>
      </c>
      <c r="J12" s="30" t="str">
        <f>VLOOKUP($C12,Fixtures!A:I,4,FALSE)</f>
        <v>URU</v>
      </c>
      <c r="K12" s="20" t="s">
        <v>2687</v>
      </c>
      <c r="L12" s="31">
        <f>VLOOKUP($B12,PickedPlayers!D:Q,9,FALSE)</f>
        <v>0</v>
      </c>
      <c r="M12" s="30" t="str">
        <f>VLOOKUP($C12,Fixtures!A:I,5,FALSE)</f>
        <v>AUS</v>
      </c>
      <c r="N12" s="20" t="s">
        <v>2687</v>
      </c>
      <c r="O12" s="31">
        <f>VLOOKUP($B12,PickedPlayers!D:Q,10,FALSE)</f>
        <v>0</v>
      </c>
      <c r="P12" s="30" t="str">
        <f>VLOOKUP($C12,Fixtures!A:I,6,FALSE)</f>
        <v>POR</v>
      </c>
      <c r="Q12" s="20" t="s">
        <v>2687</v>
      </c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2675</v>
      </c>
      <c r="B13" s="19" t="s">
        <v>396</v>
      </c>
      <c r="C13" s="29" t="s">
        <v>109</v>
      </c>
      <c r="D13" s="30" t="str">
        <f>VLOOKUP($C13,Fixtures!A:I,2,FALSE)</f>
        <v>CRO</v>
      </c>
      <c r="E13" s="20" t="s">
        <v>2687</v>
      </c>
      <c r="F13" s="31">
        <f>VLOOKUP($B13,PickedPlayers!D:Q,7,FALSE)</f>
        <v>0</v>
      </c>
      <c r="G13" s="30" t="str">
        <f>VLOOKUP($C13,Fixtures!A:I,3,FALSE)</f>
        <v>GHA</v>
      </c>
      <c r="H13" s="20" t="s">
        <v>2687</v>
      </c>
      <c r="I13" s="31">
        <f>VLOOKUP($B13,PickedPlayers!D:Q,8,FALSE)</f>
        <v>0</v>
      </c>
      <c r="J13" s="30" t="str">
        <f>VLOOKUP($C13,Fixtures!A:I,4,FALSE)</f>
        <v>PAN</v>
      </c>
      <c r="K13" s="20" t="s">
        <v>2687</v>
      </c>
      <c r="L13" s="31">
        <f>VLOOKUP($B13,PickedPlayers!D:Q,9,FALSE)</f>
        <v>0</v>
      </c>
      <c r="M13" s="30" t="str">
        <f>VLOOKUP($C13,Fixtures!A:I,5,FALSE)</f>
        <v>CON</v>
      </c>
      <c r="N13" s="20" t="s">
        <v>2687</v>
      </c>
      <c r="O13" s="31">
        <f>VLOOKUP($B13,PickedPlayers!D:Q,10,FALSE)</f>
        <v>0</v>
      </c>
      <c r="P13" s="30" t="str">
        <f>VLOOKUP($C13,Fixtures!A:I,6,FALSE)</f>
        <v>MEX</v>
      </c>
      <c r="Q13" s="20" t="s">
        <v>2687</v>
      </c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2675</v>
      </c>
      <c r="B14" s="19" t="s">
        <v>412</v>
      </c>
      <c r="C14" s="29" t="s">
        <v>61</v>
      </c>
      <c r="D14" s="30" t="str">
        <f>VLOOKUP($C14,Fixtures!A:I,2,FALSE)</f>
        <v>SEN</v>
      </c>
      <c r="E14" s="20" t="s">
        <v>2687</v>
      </c>
      <c r="F14" s="31">
        <f>VLOOKUP($B14,PickedPlayers!D:Q,7,FALSE)</f>
        <v>0</v>
      </c>
      <c r="G14" s="30" t="str">
        <f>VLOOKUP($C14,Fixtures!A:I,3,FALSE)</f>
        <v>IRQ</v>
      </c>
      <c r="H14" s="20" t="s">
        <v>2685</v>
      </c>
      <c r="I14" s="31">
        <f>VLOOKUP($B14,PickedPlayers!D:Q,8,FALSE)</f>
        <v>0</v>
      </c>
      <c r="J14" s="30" t="str">
        <f>VLOOKUP($C14,Fixtures!A:I,4,FALSE)</f>
        <v>NOR</v>
      </c>
      <c r="K14" s="20" t="s">
        <v>2687</v>
      </c>
      <c r="L14" s="31">
        <f>VLOOKUP($B14,PickedPlayers!D:Q,9,FALSE)</f>
        <v>0</v>
      </c>
      <c r="M14" s="30" t="str">
        <f>VLOOKUP($C14,Fixtures!A:I,5,FALSE)</f>
        <v>SWE</v>
      </c>
      <c r="N14" s="20" t="s">
        <v>2687</v>
      </c>
      <c r="O14" s="31">
        <f>VLOOKUP($B14,PickedPlayers!D:Q,10,FALSE)</f>
        <v>0</v>
      </c>
      <c r="P14" s="30" t="str">
        <f>VLOOKUP($C14,Fixtures!A:I,6,FALSE)</f>
        <v>PAR</v>
      </c>
      <c r="Q14" s="20" t="s">
        <v>2691</v>
      </c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2677</v>
      </c>
      <c r="B15" s="19" t="s">
        <v>284</v>
      </c>
      <c r="C15" s="29" t="s">
        <v>123</v>
      </c>
      <c r="D15" s="30" t="str">
        <f>VLOOKUP($C15,Fixtures!A:I,2,FALSE)</f>
        <v>CAP</v>
      </c>
      <c r="E15" s="20" t="s">
        <v>2695</v>
      </c>
      <c r="F15" s="31">
        <f>VLOOKUP($B15,PickedPlayers!D:Q,7,FALSE)</f>
        <v>0</v>
      </c>
      <c r="G15" s="30" t="str">
        <f>VLOOKUP($C15,Fixtures!A:I,3,FALSE)</f>
        <v>SAU</v>
      </c>
      <c r="H15" s="20" t="s">
        <v>2687</v>
      </c>
      <c r="I15" s="31">
        <f>VLOOKUP($B15,PickedPlayers!D:Q,8,FALSE)</f>
        <v>0</v>
      </c>
      <c r="J15" s="30" t="str">
        <f>VLOOKUP($C15,Fixtures!A:I,4,FALSE)</f>
        <v>URU</v>
      </c>
      <c r="K15" s="20" t="s">
        <v>2692</v>
      </c>
      <c r="L15" s="31">
        <f>VLOOKUP($B15,PickedPlayers!D:Q,9,FALSE)</f>
        <v>0</v>
      </c>
      <c r="M15" s="30" t="str">
        <f>VLOOKUP($C15,Fixtures!A:I,5,FALSE)</f>
        <v>AUS</v>
      </c>
      <c r="N15" s="20" t="s">
        <v>2692</v>
      </c>
      <c r="O15" s="31">
        <f>VLOOKUP($B15,PickedPlayers!D:Q,10,FALSE)</f>
        <v>0</v>
      </c>
      <c r="P15" s="30" t="str">
        <f>VLOOKUP($C15,Fixtures!A:I,6,FALSE)</f>
        <v>POR</v>
      </c>
      <c r="Q15" s="20" t="s">
        <v>2692</v>
      </c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2677</v>
      </c>
      <c r="B16" s="19" t="s">
        <v>306</v>
      </c>
      <c r="C16" s="29" t="s">
        <v>66</v>
      </c>
      <c r="D16" s="30" t="str">
        <f>VLOOKUP($C16,Fixtures!A:I,2,FALSE)</f>
        <v>IRQ</v>
      </c>
      <c r="E16" s="20" t="s">
        <v>2692</v>
      </c>
      <c r="F16" s="31">
        <f>VLOOKUP($B16,PickedPlayers!D:Q,7,FALSE)</f>
        <v>0</v>
      </c>
      <c r="G16" s="30" t="str">
        <f>VLOOKUP($C16,Fixtures!A:I,3,FALSE)</f>
        <v>SEN</v>
      </c>
      <c r="H16" s="20" t="s">
        <v>2687</v>
      </c>
      <c r="I16" s="31">
        <f>VLOOKUP($B16,PickedPlayers!D:Q,8,FALSE)</f>
        <v>0</v>
      </c>
      <c r="J16" s="30" t="str">
        <f>VLOOKUP($C16,Fixtures!A:I,4,FALSE)</f>
        <v>FRA</v>
      </c>
      <c r="K16" s="20" t="s">
        <v>2685</v>
      </c>
      <c r="L16" s="31">
        <f>VLOOKUP($B16,PickedPlayers!D:Q,9,FALSE)</f>
        <v>0</v>
      </c>
      <c r="M16" s="30" t="str">
        <f>VLOOKUP($C16,Fixtures!A:I,5,FALSE)</f>
        <v>IVO</v>
      </c>
      <c r="N16" s="20" t="s">
        <v>2691</v>
      </c>
      <c r="O16" s="31">
        <f>VLOOKUP($B16,PickedPlayers!D:Q,10,FALSE)</f>
        <v>0</v>
      </c>
      <c r="P16" s="30" t="str">
        <f>VLOOKUP($C16,Fixtures!A:I,6,FALSE)</f>
        <v>BRA</v>
      </c>
      <c r="Q16" s="20" t="s">
        <v>2687</v>
      </c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2677</v>
      </c>
      <c r="B17" s="19" t="s">
        <v>438</v>
      </c>
      <c r="C17" s="29" t="s">
        <v>165</v>
      </c>
      <c r="D17" s="30" t="str">
        <f>VLOOKUP($C17,Fixtures!A:I,2,FALSE)</f>
        <v>QAT</v>
      </c>
      <c r="E17" s="20" t="s">
        <v>2687</v>
      </c>
      <c r="F17" s="31">
        <f>VLOOKUP($B17,PickedPlayers!D:Q,7,FALSE)</f>
        <v>0</v>
      </c>
      <c r="G17" s="30" t="str">
        <f>VLOOKUP($C17,Fixtures!A:I,3,FALSE)</f>
        <v>BOS</v>
      </c>
      <c r="H17" s="20" t="s">
        <v>2695</v>
      </c>
      <c r="I17" s="31">
        <f>VLOOKUP($B17,PickedPlayers!D:Q,8,FALSE)</f>
        <v>0</v>
      </c>
      <c r="J17" s="30" t="str">
        <f>VLOOKUP($C17,Fixtures!A:I,4,FALSE)</f>
        <v>CAN</v>
      </c>
      <c r="K17" s="20" t="s">
        <v>2690</v>
      </c>
      <c r="L17" s="31">
        <f>VLOOKUP($B17,PickedPlayers!D:Q,9,FALSE)</f>
        <v>0</v>
      </c>
      <c r="M17" s="30" t="str">
        <f>VLOOKUP($C17,Fixtures!A:I,5,FALSE)</f>
        <v>ALG</v>
      </c>
      <c r="N17" s="20" t="s">
        <v>2690</v>
      </c>
      <c r="O17" s="31">
        <f>VLOOKUP($B17,PickedPlayers!D:Q,10,FALSE)</f>
        <v>0</v>
      </c>
      <c r="P17" s="30" t="str">
        <f>VLOOKUP($C17,Fixtures!A:I,6,FALSE)</f>
        <v>TBC</v>
      </c>
      <c r="Q17" s="20" t="s">
        <v>2687</v>
      </c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x14ac:dyDescent="0.25">
      <c r="A18" s="28" t="s">
        <v>2677</v>
      </c>
      <c r="B18" s="19" t="s">
        <v>503</v>
      </c>
      <c r="C18" s="29" t="s">
        <v>62</v>
      </c>
      <c r="D18" s="30" t="str">
        <f>VLOOKUP($C18,Fixtures!A:I,2,FALSE)</f>
        <v>TUN</v>
      </c>
      <c r="E18" s="20" t="s">
        <v>2687</v>
      </c>
      <c r="F18" s="31">
        <f>VLOOKUP($B18,PickedPlayers!D:Q,7,FALSE)</f>
        <v>0</v>
      </c>
      <c r="G18" s="30" t="str">
        <f>VLOOKUP($C18,Fixtures!A:I,3,FALSE)</f>
        <v>NED</v>
      </c>
      <c r="H18" s="20" t="s">
        <v>2687</v>
      </c>
      <c r="I18" s="31">
        <f>VLOOKUP($B18,PickedPlayers!D:Q,8,FALSE)</f>
        <v>0</v>
      </c>
      <c r="J18" s="30" t="str">
        <f>VLOOKUP($C18,Fixtures!A:I,4,FALSE)</f>
        <v>JAP</v>
      </c>
      <c r="K18" s="20" t="s">
        <v>2687</v>
      </c>
      <c r="L18" s="31">
        <f>VLOOKUP($B18,PickedPlayers!D:Q,9,FALSE)</f>
        <v>0</v>
      </c>
      <c r="M18" s="30" t="str">
        <f>VLOOKUP($C18,Fixtures!A:I,5,FALSE)</f>
        <v>FRA</v>
      </c>
      <c r="N18" s="20" t="s">
        <v>2695</v>
      </c>
      <c r="O18" s="31">
        <f>VLOOKUP($B18,PickedPlayers!D:Q,10,FALSE)</f>
        <v>0</v>
      </c>
      <c r="P18" s="30" t="str">
        <f>VLOOKUP($C18,Fixtures!A:I,6,FALSE)</f>
        <v>out</v>
      </c>
      <c r="Q18" s="20"/>
      <c r="R18" s="31">
        <f>VLOOKUP($B18,PickedPlayers!D:Q,11,FALSE)</f>
        <v>0</v>
      </c>
      <c r="S18" s="30" t="str">
        <f>VLOOKUP($C18,Fixtures!A:I,7,FALSE)</f>
        <v>out</v>
      </c>
      <c r="T18" s="20"/>
      <c r="U18" s="31">
        <f>VLOOKUP($B18,PickedPlayers!D:Q,12,FALSE)</f>
        <v>0</v>
      </c>
      <c r="V18" s="30" t="str">
        <f>VLOOKUP($C18,Fixtures!A:I,8,FALSE)</f>
        <v>out</v>
      </c>
      <c r="W18" s="20"/>
      <c r="X18" s="31">
        <f>VLOOKUP($B18,PickedPlayers!D:Q,13,FALSE)</f>
        <v>0</v>
      </c>
      <c r="Y18" s="30" t="str">
        <f>VLOOKUP($C18,Fixtures!A:I,9,FALSE)</f>
        <v>out</v>
      </c>
      <c r="Z18" s="20"/>
      <c r="AA18" s="31">
        <f>VLOOKUP($B18,PickedPlayers!D:Q,14,FALSE)</f>
        <v>0</v>
      </c>
    </row>
    <row r="19" spans="1:27" ht="15.75" thickBot="1" x14ac:dyDescent="0.3">
      <c r="A19" s="32" t="s">
        <v>2677</v>
      </c>
      <c r="B19" s="33" t="s">
        <v>527</v>
      </c>
      <c r="C19" s="34" t="s">
        <v>82</v>
      </c>
      <c r="D19" s="30" t="str">
        <f>VLOOKUP($C19,Fixtures!A:I,2,FALSE)</f>
        <v>MEX</v>
      </c>
      <c r="E19" s="35" t="s">
        <v>2688</v>
      </c>
      <c r="F19" s="31">
        <f>VLOOKUP($B19,PickedPlayers!D:Q,7,FALSE)</f>
        <v>0</v>
      </c>
      <c r="G19" s="30" t="str">
        <f>VLOOKUP($C19,Fixtures!A:I,3,FALSE)</f>
        <v>CZE</v>
      </c>
      <c r="H19" s="35" t="s">
        <v>2690</v>
      </c>
      <c r="I19" s="31">
        <f>VLOOKUP($B19,PickedPlayers!D:Q,8,FALSE)</f>
        <v>0</v>
      </c>
      <c r="J19" s="30" t="str">
        <f>VLOOKUP($C19,Fixtures!A:I,4,FALSE)</f>
        <v>KOR</v>
      </c>
      <c r="K19" s="35" t="s">
        <v>2687</v>
      </c>
      <c r="L19" s="31">
        <f>VLOOKUP($B19,PickedPlayers!D:Q,9,FALSE)</f>
        <v>0</v>
      </c>
      <c r="M19" s="30" t="str">
        <f>VLOOKUP($C19,Fixtures!A:I,5,FALSE)</f>
        <v>CAN</v>
      </c>
      <c r="N19" s="35" t="s">
        <v>2687</v>
      </c>
      <c r="O19" s="31">
        <f>VLOOKUP($B19,PickedPlayers!D:Q,10,FALSE)</f>
        <v>0</v>
      </c>
      <c r="P19" s="30" t="str">
        <f>VLOOKUP($C19,Fixtures!A:I,6,FALSE)</f>
        <v>out</v>
      </c>
      <c r="Q19" s="35"/>
      <c r="R19" s="31">
        <f>VLOOKUP($B19,PickedPlayers!D:Q,11,FALSE)</f>
        <v>0</v>
      </c>
      <c r="S19" s="30" t="str">
        <f>VLOOKUP($C19,Fixtures!A:I,7,FALSE)</f>
        <v>out</v>
      </c>
      <c r="T19" s="35"/>
      <c r="U19" s="31">
        <f>VLOOKUP($B19,PickedPlayers!D:Q,12,FALSE)</f>
        <v>0</v>
      </c>
      <c r="V19" s="30" t="str">
        <f>VLOOKUP($C19,Fixtures!A:I,8,FALSE)</f>
        <v>out</v>
      </c>
      <c r="W19" s="35"/>
      <c r="X19" s="31">
        <f>VLOOKUP($B19,PickedPlayers!D:Q,13,FALSE)</f>
        <v>0</v>
      </c>
      <c r="Y19" s="30" t="str">
        <f>VLOOKUP($C19,Fixtures!A:I,9,FALSE)</f>
        <v>out</v>
      </c>
      <c r="Z19" s="35"/>
      <c r="AA19" s="31">
        <f>VLOOKUP($B19,PickedPlayers!D:Q,14,FALSE)</f>
        <v>0</v>
      </c>
    </row>
    <row r="20" spans="1:27" s="18" customFormat="1" x14ac:dyDescent="0.25">
      <c r="A20" s="82"/>
      <c r="B20" s="83"/>
      <c r="C20" s="84"/>
      <c r="D20" s="67"/>
      <c r="E20" s="68"/>
      <c r="F20" s="69"/>
      <c r="G20" s="67"/>
      <c r="H20" s="68"/>
      <c r="I20" s="69"/>
      <c r="J20" s="67"/>
      <c r="K20" s="68"/>
      <c r="L20" s="69"/>
      <c r="M20" s="67"/>
      <c r="N20" s="68"/>
      <c r="O20" s="69"/>
      <c r="P20" s="67"/>
      <c r="Q20" s="68"/>
      <c r="R20" s="69"/>
      <c r="S20" s="67"/>
      <c r="T20" s="68"/>
      <c r="U20" s="69"/>
      <c r="V20" s="67"/>
      <c r="W20" s="68"/>
      <c r="X20" s="69"/>
      <c r="Y20" s="67"/>
      <c r="Z20" s="68"/>
      <c r="AA20" s="69"/>
    </row>
    <row r="21" spans="1:27" s="18" customFormat="1" ht="15.75" thickBot="1" x14ac:dyDescent="0.3">
      <c r="A21" s="85"/>
      <c r="B21" s="86"/>
      <c r="C21" s="87"/>
      <c r="D21" s="70"/>
      <c r="E21" s="71"/>
      <c r="F21" s="72"/>
      <c r="G21" s="70"/>
      <c r="H21" s="71"/>
      <c r="I21" s="72"/>
      <c r="J21" s="70"/>
      <c r="K21" s="71"/>
      <c r="L21" s="72"/>
      <c r="M21" s="70"/>
      <c r="N21" s="71"/>
      <c r="O21" s="72"/>
      <c r="P21" s="70"/>
      <c r="Q21" s="71"/>
      <c r="R21" s="72"/>
      <c r="S21" s="70"/>
      <c r="T21" s="71"/>
      <c r="U21" s="72"/>
      <c r="V21" s="70"/>
      <c r="W21" s="71"/>
      <c r="X21" s="72"/>
      <c r="Y21" s="70"/>
      <c r="Z21" s="71"/>
      <c r="AA21" s="72"/>
    </row>
    <row r="22" spans="1:27" hidden="1" x14ac:dyDescent="0.25">
      <c r="D22" s="21"/>
      <c r="E22" s="21"/>
      <c r="F22" s="21"/>
    </row>
  </sheetData>
  <mergeCells count="18">
    <mergeCell ref="S20:U21"/>
    <mergeCell ref="V20:X21"/>
    <mergeCell ref="Y20:AA21"/>
    <mergeCell ref="S1:U1"/>
    <mergeCell ref="V1:X1"/>
    <mergeCell ref="Y1:AA1"/>
    <mergeCell ref="A1:C1"/>
    <mergeCell ref="D20:F21"/>
    <mergeCell ref="G20:I21"/>
    <mergeCell ref="J20:L21"/>
    <mergeCell ref="A20:C21"/>
    <mergeCell ref="M20:O21"/>
    <mergeCell ref="P20:R21"/>
    <mergeCell ref="D1:F1"/>
    <mergeCell ref="G1:I1"/>
    <mergeCell ref="J1:L1"/>
    <mergeCell ref="M1:O1"/>
    <mergeCell ref="P1:R1"/>
  </mergeCells>
  <conditionalFormatting sqref="E3:E19">
    <cfRule type="containsText" dxfId="224" priority="100" operator="containsText" text="Vice Captain">
      <formula>NOT(ISERROR(SEARCH("Vice Captain",E3)))</formula>
    </cfRule>
    <cfRule type="containsText" dxfId="223" priority="101" operator="containsText" text="Off">
      <formula>NOT(ISERROR(SEARCH("Off",E3)))</formula>
    </cfRule>
    <cfRule type="containsText" dxfId="222" priority="103" operator="containsText" text="Sub">
      <formula>NOT(ISERROR(SEARCH("Sub",E3)))</formula>
    </cfRule>
    <cfRule type="containsText" dxfId="221" priority="104" operator="containsText" text="Captain">
      <formula>NOT(ISERROR(SEARCH("Captain",E3)))</formula>
    </cfRule>
    <cfRule type="containsText" dxfId="220" priority="105" operator="containsText" text="Picked">
      <formula>NOT(ISERROR(SEARCH("Picked",E3)))</formula>
    </cfRule>
  </conditionalFormatting>
  <conditionalFormatting sqref="H3:H19">
    <cfRule type="containsText" dxfId="219" priority="58" operator="containsText" text="Vice Captain">
      <formula>NOT(ISERROR(SEARCH("Vice Captain",H3)))</formula>
    </cfRule>
    <cfRule type="containsText" dxfId="218" priority="59" operator="containsText" text="Off">
      <formula>NOT(ISERROR(SEARCH("Off",H3)))</formula>
    </cfRule>
    <cfRule type="containsText" dxfId="217" priority="60" operator="containsText" text="Sub">
      <formula>NOT(ISERROR(SEARCH("Sub",H3)))</formula>
    </cfRule>
    <cfRule type="containsText" dxfId="216" priority="61" operator="containsText" text="Captain">
      <formula>NOT(ISERROR(SEARCH("Captain",H3)))</formula>
    </cfRule>
    <cfRule type="containsText" dxfId="215" priority="62" operator="containsText" text="Picked">
      <formula>NOT(ISERROR(SEARCH("Picked",H3)))</formula>
    </cfRule>
  </conditionalFormatting>
  <conditionalFormatting sqref="K3:K19">
    <cfRule type="containsText" dxfId="214" priority="53" operator="containsText" text="Vice Captain">
      <formula>NOT(ISERROR(SEARCH("Vice Captain",K3)))</formula>
    </cfRule>
    <cfRule type="containsText" dxfId="213" priority="54" operator="containsText" text="Off">
      <formula>NOT(ISERROR(SEARCH("Off",K3)))</formula>
    </cfRule>
    <cfRule type="containsText" dxfId="212" priority="55" operator="containsText" text="Sub">
      <formula>NOT(ISERROR(SEARCH("Sub",K3)))</formula>
    </cfRule>
    <cfRule type="containsText" dxfId="211" priority="56" operator="containsText" text="Captain">
      <formula>NOT(ISERROR(SEARCH("Captain",K3)))</formula>
    </cfRule>
    <cfRule type="containsText" dxfId="210" priority="57" operator="containsText" text="Picked">
      <formula>NOT(ISERROR(SEARCH("Picked",K3)))</formula>
    </cfRule>
  </conditionalFormatting>
  <conditionalFormatting sqref="M3:M19 P3:P19 S3:S19 V3:V19 Y3:Y19">
    <cfRule type="containsText" dxfId="209" priority="26" operator="containsText" text="tbc">
      <formula>NOT(ISERROR(SEARCH("tbc",M3)))</formula>
    </cfRule>
    <cfRule type="containsText" dxfId="208" priority="27" operator="containsText" text="Out">
      <formula>NOT(ISERROR(SEARCH("Out",M3)))</formula>
    </cfRule>
  </conditionalFormatting>
  <conditionalFormatting sqref="N3:N19">
    <cfRule type="containsText" dxfId="207" priority="1" operator="containsText" text="Vice Captain">
      <formula>NOT(ISERROR(SEARCH("Vice Captain",N3)))</formula>
    </cfRule>
    <cfRule type="containsText" dxfId="206" priority="2" operator="containsText" text="Off">
      <formula>NOT(ISERROR(SEARCH("Off",N3)))</formula>
    </cfRule>
    <cfRule type="containsText" dxfId="205" priority="3" operator="containsText" text="Sub">
      <formula>NOT(ISERROR(SEARCH("Sub",N3)))</formula>
    </cfRule>
    <cfRule type="containsText" dxfId="204" priority="4" operator="containsText" text="Captain">
      <formula>NOT(ISERROR(SEARCH("Captain",N3)))</formula>
    </cfRule>
    <cfRule type="containsText" dxfId="203" priority="5" operator="containsText" text="Picked">
      <formula>NOT(ISERROR(SEARCH("Picked",N3)))</formula>
    </cfRule>
  </conditionalFormatting>
  <conditionalFormatting sqref="Q3:Q19">
    <cfRule type="containsText" dxfId="202" priority="21" operator="containsText" text="Vice Captain">
      <formula>NOT(ISERROR(SEARCH("Vice Captain",Q3)))</formula>
    </cfRule>
    <cfRule type="containsText" dxfId="201" priority="22" operator="containsText" text="Off">
      <formula>NOT(ISERROR(SEARCH("Off",Q3)))</formula>
    </cfRule>
    <cfRule type="containsText" dxfId="200" priority="23" operator="containsText" text="Sub">
      <formula>NOT(ISERROR(SEARCH("Sub",Q3)))</formula>
    </cfRule>
    <cfRule type="containsText" dxfId="199" priority="24" operator="containsText" text="Captain">
      <formula>NOT(ISERROR(SEARCH("Captain",Q3)))</formula>
    </cfRule>
    <cfRule type="containsText" dxfId="198" priority="25" operator="containsText" text="Picked">
      <formula>NOT(ISERROR(SEARCH("Picked",Q3)))</formula>
    </cfRule>
  </conditionalFormatting>
  <conditionalFormatting sqref="T3:T19">
    <cfRule type="containsText" dxfId="197" priority="16" operator="containsText" text="Vice Captain">
      <formula>NOT(ISERROR(SEARCH("Vice Captain",T3)))</formula>
    </cfRule>
    <cfRule type="containsText" dxfId="196" priority="17" operator="containsText" text="Off">
      <formula>NOT(ISERROR(SEARCH("Off",T3)))</formula>
    </cfRule>
    <cfRule type="containsText" dxfId="195" priority="18" operator="containsText" text="Sub">
      <formula>NOT(ISERROR(SEARCH("Sub",T3)))</formula>
    </cfRule>
    <cfRule type="containsText" dxfId="194" priority="19" operator="containsText" text="Captain">
      <formula>NOT(ISERROR(SEARCH("Captain",T3)))</formula>
    </cfRule>
    <cfRule type="containsText" dxfId="193" priority="20" operator="containsText" text="Picked">
      <formula>NOT(ISERROR(SEARCH("Picked",T3)))</formula>
    </cfRule>
  </conditionalFormatting>
  <conditionalFormatting sqref="W3:W19">
    <cfRule type="containsText" dxfId="192" priority="11" operator="containsText" text="Vice Captain">
      <formula>NOT(ISERROR(SEARCH("Vice Captain",W3)))</formula>
    </cfRule>
    <cfRule type="containsText" dxfId="191" priority="12" operator="containsText" text="Off">
      <formula>NOT(ISERROR(SEARCH("Off",W3)))</formula>
    </cfRule>
    <cfRule type="containsText" dxfId="190" priority="13" operator="containsText" text="Sub">
      <formula>NOT(ISERROR(SEARCH("Sub",W3)))</formula>
    </cfRule>
    <cfRule type="containsText" dxfId="189" priority="14" operator="containsText" text="Captain">
      <formula>NOT(ISERROR(SEARCH("Captain",W3)))</formula>
    </cfRule>
    <cfRule type="containsText" dxfId="188" priority="15" operator="containsText" text="Picked">
      <formula>NOT(ISERROR(SEARCH("Picked",W3)))</formula>
    </cfRule>
  </conditionalFormatting>
  <conditionalFormatting sqref="Z3:Z19">
    <cfRule type="containsText" dxfId="187" priority="6" operator="containsText" text="Vice Captain">
      <formula>NOT(ISERROR(SEARCH("Vice Captain",Z3)))</formula>
    </cfRule>
    <cfRule type="containsText" dxfId="186" priority="7" operator="containsText" text="Off">
      <formula>NOT(ISERROR(SEARCH("Off",Z3)))</formula>
    </cfRule>
    <cfRule type="containsText" dxfId="185" priority="8" operator="containsText" text="Sub">
      <formula>NOT(ISERROR(SEARCH("Sub",Z3)))</formula>
    </cfRule>
    <cfRule type="containsText" dxfId="184" priority="9" operator="containsText" text="Captain">
      <formula>NOT(ISERROR(SEARCH("Captain",Z3)))</formula>
    </cfRule>
    <cfRule type="containsText" dxfId="183" priority="10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789895-2678-4F67-BB3A-0C684FD17BDF}">
          <x14:formula1>
            <xm:f>Lookups!$E$2:$E$9</xm:f>
          </x14:formula1>
          <xm:sqref>E5:E19 H5:H19 K5:K19 Z5:Z19 Q5:Q19 N5:N19 W5:W19 T5:T19</xm:sqref>
        </x14:dataValidation>
        <x14:dataValidation type="list" allowBlank="1" showInputMessage="1" showErrorMessage="1" xr:uid="{279FA7BB-C906-48F5-B2B9-2AB0E95FCEB8}">
          <x14:formula1>
            <xm:f>Lookups!$F$2:$F$6</xm:f>
          </x14:formula1>
          <xm:sqref>E3:E4 T3:T4 W3:W4 H3:H4 K3:K4 N3:N4 Q3:Q4 Z3:Z4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2421-769A-4FF3-A120-F5C4D457EC00}">
  <dimension ref="A1:AA22"/>
  <sheetViews>
    <sheetView workbookViewId="0">
      <selection activeCell="M13" sqref="M13"/>
    </sheetView>
  </sheetViews>
  <sheetFormatPr defaultColWidth="9.140625" defaultRowHeight="0" customHeight="1" zeroHeight="1" x14ac:dyDescent="0.25"/>
  <cols>
    <col min="1" max="1" width="9.140625" style="54"/>
    <col min="2" max="2" width="16.28515625" style="54" bestFit="1" customWidth="1"/>
    <col min="3" max="3" width="11.5703125" style="54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73" t="s">
        <v>2698</v>
      </c>
      <c r="B1" s="74"/>
      <c r="C1" s="75"/>
      <c r="D1" s="76" t="s">
        <v>2679</v>
      </c>
      <c r="E1" s="77"/>
      <c r="F1" s="78"/>
      <c r="G1" s="79" t="s">
        <v>2680</v>
      </c>
      <c r="H1" s="80"/>
      <c r="I1" s="81"/>
      <c r="J1" s="79" t="s">
        <v>2681</v>
      </c>
      <c r="K1" s="80"/>
      <c r="L1" s="81"/>
      <c r="M1" s="79" t="s">
        <v>36</v>
      </c>
      <c r="N1" s="80"/>
      <c r="O1" s="81"/>
      <c r="P1" s="79" t="s">
        <v>23</v>
      </c>
      <c r="Q1" s="80"/>
      <c r="R1" s="81"/>
      <c r="S1" s="79" t="s">
        <v>17</v>
      </c>
      <c r="T1" s="80"/>
      <c r="U1" s="81"/>
      <c r="V1" s="79" t="s">
        <v>13</v>
      </c>
      <c r="W1" s="80"/>
      <c r="X1" s="81"/>
      <c r="Y1" s="79" t="s">
        <v>9</v>
      </c>
      <c r="Z1" s="80"/>
      <c r="AA1" s="81"/>
    </row>
    <row r="2" spans="1:27" ht="15" x14ac:dyDescent="0.25">
      <c r="A2" s="22" t="s">
        <v>271</v>
      </c>
      <c r="B2" s="23" t="s">
        <v>268</v>
      </c>
      <c r="C2" s="24" t="s">
        <v>2671</v>
      </c>
      <c r="D2" s="25" t="s">
        <v>2682</v>
      </c>
      <c r="E2" s="26" t="s">
        <v>2683</v>
      </c>
      <c r="F2" s="27" t="s">
        <v>2684</v>
      </c>
      <c r="G2" s="25" t="s">
        <v>2682</v>
      </c>
      <c r="H2" s="26" t="s">
        <v>2683</v>
      </c>
      <c r="I2" s="27" t="s">
        <v>2684</v>
      </c>
      <c r="J2" s="25" t="s">
        <v>2682</v>
      </c>
      <c r="K2" s="26" t="s">
        <v>2683</v>
      </c>
      <c r="L2" s="27" t="s">
        <v>2684</v>
      </c>
      <c r="M2" s="25" t="s">
        <v>2682</v>
      </c>
      <c r="N2" s="26" t="s">
        <v>2683</v>
      </c>
      <c r="O2" s="27" t="s">
        <v>2684</v>
      </c>
      <c r="P2" s="25" t="s">
        <v>2682</v>
      </c>
      <c r="Q2" s="26" t="s">
        <v>2683</v>
      </c>
      <c r="R2" s="27" t="s">
        <v>2684</v>
      </c>
      <c r="S2" s="25" t="s">
        <v>2682</v>
      </c>
      <c r="T2" s="26" t="s">
        <v>2683</v>
      </c>
      <c r="U2" s="27" t="s">
        <v>2684</v>
      </c>
      <c r="V2" s="25" t="s">
        <v>2682</v>
      </c>
      <c r="W2" s="26" t="s">
        <v>2683</v>
      </c>
      <c r="X2" s="27" t="s">
        <v>2684</v>
      </c>
      <c r="Y2" s="25" t="s">
        <v>2682</v>
      </c>
      <c r="Z2" s="26" t="s">
        <v>2683</v>
      </c>
      <c r="AA2" s="27" t="s">
        <v>2684</v>
      </c>
    </row>
    <row r="3" spans="1:27" ht="15" x14ac:dyDescent="0.25">
      <c r="A3" s="28" t="s">
        <v>2673</v>
      </c>
      <c r="B3" s="19" t="s">
        <v>344</v>
      </c>
      <c r="C3" s="29" t="s">
        <v>113</v>
      </c>
      <c r="D3" s="30" t="str">
        <f>VLOOKUP($C3,Fixtures!A:I,2,FALSE)</f>
        <v>EGY</v>
      </c>
      <c r="E3" s="20" t="s">
        <v>2687</v>
      </c>
      <c r="F3" s="31">
        <f>VLOOKUP($B3,PickedPlayers!D:Q,7,FALSE)</f>
        <v>0</v>
      </c>
      <c r="G3" s="30" t="str">
        <f>VLOOKUP($C3,Fixtures!A:I,3,FALSE)</f>
        <v>IRA</v>
      </c>
      <c r="H3" s="20" t="s">
        <v>2687</v>
      </c>
      <c r="I3" s="31">
        <f>VLOOKUP($B3,PickedPlayers!D:Q,8,FALSE)</f>
        <v>0</v>
      </c>
      <c r="J3" s="30" t="str">
        <f>VLOOKUP($C3,Fixtures!A:I,4,FALSE)</f>
        <v>NZL</v>
      </c>
      <c r="K3" s="20" t="s">
        <v>2687</v>
      </c>
      <c r="L3" s="31">
        <f>VLOOKUP($B3,PickedPlayers!D:Q,9,FALSE)</f>
        <v>0</v>
      </c>
      <c r="M3" s="30" t="str">
        <f>VLOOKUP($C3,Fixtures!A:I,5,FALSE)</f>
        <v>SEN</v>
      </c>
      <c r="N3" s="20" t="s">
        <v>2686</v>
      </c>
      <c r="O3" s="31">
        <f>VLOOKUP($B3,PickedPlayers!D:Q,10,FALSE)</f>
        <v>0</v>
      </c>
      <c r="P3" s="30" t="str">
        <f>VLOOKUP($C3,Fixtures!A:I,6,FALSE)</f>
        <v>USA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ht="15" x14ac:dyDescent="0.25">
      <c r="A4" s="28" t="s">
        <v>2673</v>
      </c>
      <c r="B4" s="19" t="s">
        <v>529</v>
      </c>
      <c r="C4" s="29" t="s">
        <v>123</v>
      </c>
      <c r="D4" s="30" t="str">
        <f>VLOOKUP($C4,Fixtures!A:I,2,FALSE)</f>
        <v>CAP</v>
      </c>
      <c r="E4" s="20" t="s">
        <v>2685</v>
      </c>
      <c r="F4" s="31">
        <f>VLOOKUP($B4,PickedPlayers!D:Q,7,FALSE)</f>
        <v>0</v>
      </c>
      <c r="G4" s="30" t="str">
        <f>VLOOKUP($C4,Fixtures!A:I,3,FALSE)</f>
        <v>SAU</v>
      </c>
      <c r="H4" s="20" t="s">
        <v>2686</v>
      </c>
      <c r="I4" s="31">
        <f>VLOOKUP($B4,PickedPlayers!D:Q,8,FALSE)</f>
        <v>0</v>
      </c>
      <c r="J4" s="30" t="str">
        <f>VLOOKUP($C4,Fixtures!A:I,4,FALSE)</f>
        <v>URU</v>
      </c>
      <c r="K4" s="20" t="s">
        <v>2686</v>
      </c>
      <c r="L4" s="31">
        <f>VLOOKUP($B4,PickedPlayers!D:Q,9,FALSE)</f>
        <v>0</v>
      </c>
      <c r="M4" s="30" t="str">
        <f>VLOOKUP($C4,Fixtures!A:I,5,FALSE)</f>
        <v>AUS</v>
      </c>
      <c r="N4" s="20" t="s">
        <v>2687</v>
      </c>
      <c r="O4" s="31">
        <f>VLOOKUP($B4,PickedPlayers!D:Q,10,FALSE)</f>
        <v>0</v>
      </c>
      <c r="P4" s="30" t="str">
        <f>VLOOKUP($C4,Fixtures!A:I,6,FALSE)</f>
        <v>POR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ht="15" x14ac:dyDescent="0.25">
      <c r="A5" s="28" t="s">
        <v>2674</v>
      </c>
      <c r="B5" s="19" t="s">
        <v>314</v>
      </c>
      <c r="C5" s="29" t="s">
        <v>78</v>
      </c>
      <c r="D5" s="30" t="str">
        <f>VLOOKUP($C5,Fixtures!A:I,2,FALSE)</f>
        <v>MOR</v>
      </c>
      <c r="E5" s="20" t="s">
        <v>2687</v>
      </c>
      <c r="F5" s="31">
        <f>VLOOKUP($B5,PickedPlayers!D:Q,7,FALSE)</f>
        <v>0</v>
      </c>
      <c r="G5" s="30" t="str">
        <f>VLOOKUP($C5,Fixtures!A:I,3,FALSE)</f>
        <v>HAI</v>
      </c>
      <c r="H5" s="20" t="s">
        <v>2687</v>
      </c>
      <c r="I5" s="31">
        <f>VLOOKUP($B5,PickedPlayers!D:Q,8,FALSE)</f>
        <v>0</v>
      </c>
      <c r="J5" s="30" t="str">
        <f>VLOOKUP($C5,Fixtures!A:I,4,FALSE)</f>
        <v>SCO</v>
      </c>
      <c r="K5" s="20" t="s">
        <v>2687</v>
      </c>
      <c r="L5" s="31">
        <f>VLOOKUP($B5,PickedPlayers!D:Q,9,FALSE)</f>
        <v>0</v>
      </c>
      <c r="M5" s="30" t="str">
        <f>VLOOKUP($C5,Fixtures!A:I,5,FALSE)</f>
        <v>JAP</v>
      </c>
      <c r="N5" s="20" t="s">
        <v>2687</v>
      </c>
      <c r="O5" s="31">
        <f>VLOOKUP($B5,PickedPlayers!D:Q,10,FALSE)</f>
        <v>0</v>
      </c>
      <c r="P5" s="30" t="str">
        <f>VLOOKUP($C5,Fixtures!A:I,6,FALSE)</f>
        <v>NOR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ht="15" x14ac:dyDescent="0.25">
      <c r="A6" s="28" t="s">
        <v>2674</v>
      </c>
      <c r="B6" s="19" t="s">
        <v>356</v>
      </c>
      <c r="C6" s="29" t="s">
        <v>109</v>
      </c>
      <c r="D6" s="30" t="str">
        <f>VLOOKUP($C6,Fixtures!A:I,2,FALSE)</f>
        <v>CRO</v>
      </c>
      <c r="E6" s="20" t="s">
        <v>2692</v>
      </c>
      <c r="F6" s="31">
        <f>VLOOKUP($B6,PickedPlayers!D:Q,7,FALSE)</f>
        <v>0</v>
      </c>
      <c r="G6" s="30" t="str">
        <f>VLOOKUP($C6,Fixtures!A:I,3,FALSE)</f>
        <v>GHA</v>
      </c>
      <c r="H6" s="20" t="s">
        <v>2687</v>
      </c>
      <c r="I6" s="31">
        <f>VLOOKUP($B6,PickedPlayers!D:Q,8,FALSE)</f>
        <v>0</v>
      </c>
      <c r="J6" s="30" t="str">
        <f>VLOOKUP($C6,Fixtures!A:I,4,FALSE)</f>
        <v>PAN</v>
      </c>
      <c r="K6" s="20" t="s">
        <v>2687</v>
      </c>
      <c r="L6" s="31">
        <f>VLOOKUP($B6,PickedPlayers!D:Q,9,FALSE)</f>
        <v>0</v>
      </c>
      <c r="M6" s="30" t="str">
        <f>VLOOKUP($C6,Fixtures!A:I,5,FALSE)</f>
        <v>CON</v>
      </c>
      <c r="N6" s="20" t="s">
        <v>2687</v>
      </c>
      <c r="O6" s="31">
        <f>VLOOKUP($B6,PickedPlayers!D:Q,10,FALSE)</f>
        <v>0</v>
      </c>
      <c r="P6" s="30" t="str">
        <f>VLOOKUP($C6,Fixtures!A:I,6,FALSE)</f>
        <v>MEX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ht="15" x14ac:dyDescent="0.25">
      <c r="A7" s="28" t="s">
        <v>2674</v>
      </c>
      <c r="B7" s="19" t="s">
        <v>422</v>
      </c>
      <c r="C7" s="29" t="s">
        <v>78</v>
      </c>
      <c r="D7" s="30" t="str">
        <f>VLOOKUP($C7,Fixtures!A:I,2,FALSE)</f>
        <v>MOR</v>
      </c>
      <c r="E7" s="20" t="s">
        <v>2685</v>
      </c>
      <c r="F7" s="31">
        <f>VLOOKUP($B7,PickedPlayers!D:Q,7,FALSE)</f>
        <v>0</v>
      </c>
      <c r="G7" s="30" t="str">
        <f>VLOOKUP($C7,Fixtures!A:I,3,FALSE)</f>
        <v>HAI</v>
      </c>
      <c r="H7" s="20" t="s">
        <v>2685</v>
      </c>
      <c r="I7" s="31">
        <f>VLOOKUP($B7,PickedPlayers!D:Q,8,FALSE)</f>
        <v>0</v>
      </c>
      <c r="J7" s="30" t="str">
        <f>VLOOKUP($C7,Fixtures!A:I,4,FALSE)</f>
        <v>SCO</v>
      </c>
      <c r="K7" s="20" t="s">
        <v>2687</v>
      </c>
      <c r="L7" s="31">
        <f>VLOOKUP($B7,PickedPlayers!D:Q,9,FALSE)</f>
        <v>0</v>
      </c>
      <c r="M7" s="30" t="str">
        <f>VLOOKUP($C7,Fixtures!A:I,5,FALSE)</f>
        <v>JAP</v>
      </c>
      <c r="N7" s="20" t="s">
        <v>2689</v>
      </c>
      <c r="O7" s="31">
        <f>VLOOKUP($B7,PickedPlayers!D:Q,10,FALSE)</f>
        <v>0</v>
      </c>
      <c r="P7" s="30" t="str">
        <f>VLOOKUP($C7,Fixtures!A:I,6,FALSE)</f>
        <v>NOR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ht="15" x14ac:dyDescent="0.25">
      <c r="A8" s="28" t="s">
        <v>2674</v>
      </c>
      <c r="B8" s="19" t="s">
        <v>467</v>
      </c>
      <c r="C8" s="29" t="s">
        <v>61</v>
      </c>
      <c r="D8" s="30" t="str">
        <f>VLOOKUP($C8,Fixtures!A:I,2,FALSE)</f>
        <v>SEN</v>
      </c>
      <c r="E8" s="20" t="s">
        <v>2687</v>
      </c>
      <c r="F8" s="31">
        <f>VLOOKUP($B8,PickedPlayers!D:Q,7,FALSE)</f>
        <v>0</v>
      </c>
      <c r="G8" s="30" t="str">
        <f>VLOOKUP($C8,Fixtures!A:I,3,FALSE)</f>
        <v>IRQ</v>
      </c>
      <c r="H8" s="20" t="s">
        <v>2687</v>
      </c>
      <c r="I8" s="31">
        <f>VLOOKUP($B8,PickedPlayers!D:Q,8,FALSE)</f>
        <v>0</v>
      </c>
      <c r="J8" s="30" t="str">
        <f>VLOOKUP($C8,Fixtures!A:I,4,FALSE)</f>
        <v>NOR</v>
      </c>
      <c r="K8" s="20" t="s">
        <v>2687</v>
      </c>
      <c r="L8" s="31">
        <f>VLOOKUP($B8,PickedPlayers!D:Q,9,FALSE)</f>
        <v>0</v>
      </c>
      <c r="M8" s="30" t="str">
        <f>VLOOKUP($C8,Fixtures!A:I,5,FALSE)</f>
        <v>SWE</v>
      </c>
      <c r="N8" s="20" t="s">
        <v>2687</v>
      </c>
      <c r="O8" s="31">
        <f>VLOOKUP($B8,PickedPlayers!D:Q,10,FALSE)</f>
        <v>0</v>
      </c>
      <c r="P8" s="30" t="str">
        <f>VLOOKUP($C8,Fixtures!A:I,6,FALSE)</f>
        <v>PAR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ht="15" x14ac:dyDescent="0.25">
      <c r="A9" s="28" t="s">
        <v>2674</v>
      </c>
      <c r="B9" s="19" t="s">
        <v>487</v>
      </c>
      <c r="C9" s="29" t="s">
        <v>83</v>
      </c>
      <c r="D9" s="30" t="str">
        <f>VLOOKUP($C9,Fixtures!A:I,2,FALSE)</f>
        <v>BOS</v>
      </c>
      <c r="E9" s="20" t="s">
        <v>2685</v>
      </c>
      <c r="F9" s="31">
        <f>VLOOKUP($B9,PickedPlayers!D:Q,7,FALSE)</f>
        <v>0</v>
      </c>
      <c r="G9" s="30" t="str">
        <f>VLOOKUP($C9,Fixtures!A:I,3,FALSE)</f>
        <v>QAT</v>
      </c>
      <c r="H9" s="20" t="s">
        <v>2687</v>
      </c>
      <c r="I9" s="31">
        <f>VLOOKUP($B9,PickedPlayers!D:Q,8,FALSE)</f>
        <v>0</v>
      </c>
      <c r="J9" s="30" t="str">
        <f>VLOOKUP($C9,Fixtures!A:I,4,FALSE)</f>
        <v>SWI</v>
      </c>
      <c r="K9" s="20" t="s">
        <v>2685</v>
      </c>
      <c r="L9" s="31">
        <f>VLOOKUP($B9,PickedPlayers!D:Q,9,FALSE)</f>
        <v>0</v>
      </c>
      <c r="M9" s="30" t="str">
        <f>VLOOKUP($C9,Fixtures!A:I,5,FALSE)</f>
        <v>SOU</v>
      </c>
      <c r="N9" s="20" t="s">
        <v>2687</v>
      </c>
      <c r="O9" s="31">
        <f>VLOOKUP($B9,PickedPlayers!D:Q,10,FALSE)</f>
        <v>0</v>
      </c>
      <c r="P9" s="30" t="str">
        <f>VLOOKUP($C9,Fixtures!A:I,6,FALSE)</f>
        <v>MOR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ht="15" x14ac:dyDescent="0.25">
      <c r="A10" s="28" t="s">
        <v>2675</v>
      </c>
      <c r="B10" s="19" t="s">
        <v>380</v>
      </c>
      <c r="C10" s="29" t="s">
        <v>109</v>
      </c>
      <c r="D10" s="30" t="str">
        <f>VLOOKUP($C10,Fixtures!A:I,2,FALSE)</f>
        <v>CRO</v>
      </c>
      <c r="E10" s="20" t="s">
        <v>2691</v>
      </c>
      <c r="F10" s="31">
        <f>VLOOKUP($B10,PickedPlayers!D:Q,7,FALSE)</f>
        <v>0</v>
      </c>
      <c r="G10" s="30" t="str">
        <f>VLOOKUP($C10,Fixtures!A:I,3,FALSE)</f>
        <v>GHA</v>
      </c>
      <c r="H10" s="20" t="s">
        <v>2687</v>
      </c>
      <c r="I10" s="31">
        <f>VLOOKUP($B10,PickedPlayers!D:Q,8,FALSE)</f>
        <v>0</v>
      </c>
      <c r="J10" s="30" t="str">
        <f>VLOOKUP($C10,Fixtures!A:I,4,FALSE)</f>
        <v>PAN</v>
      </c>
      <c r="K10" s="20" t="s">
        <v>2687</v>
      </c>
      <c r="L10" s="31">
        <f>VLOOKUP($B10,PickedPlayers!D:Q,9,FALSE)</f>
        <v>0</v>
      </c>
      <c r="M10" s="30" t="str">
        <f>VLOOKUP($C10,Fixtures!A:I,5,FALSE)</f>
        <v>CON</v>
      </c>
      <c r="N10" s="20" t="s">
        <v>2687</v>
      </c>
      <c r="O10" s="31">
        <f>VLOOKUP($B10,PickedPlayers!D:Q,10,FALSE)</f>
        <v>0</v>
      </c>
      <c r="P10" s="30" t="str">
        <f>VLOOKUP($C10,Fixtures!A:I,6,FALSE)</f>
        <v>MEX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ht="15" x14ac:dyDescent="0.25">
      <c r="A11" s="28" t="s">
        <v>2675</v>
      </c>
      <c r="B11" s="19" t="s">
        <v>406</v>
      </c>
      <c r="C11" s="29" t="s">
        <v>123</v>
      </c>
      <c r="D11" s="30" t="str">
        <f>VLOOKUP($C11,Fixtures!A:I,2,FALSE)</f>
        <v>CAP</v>
      </c>
      <c r="E11" s="20" t="s">
        <v>2687</v>
      </c>
      <c r="F11" s="31">
        <f>VLOOKUP($B11,PickedPlayers!D:Q,7,FALSE)</f>
        <v>0</v>
      </c>
      <c r="G11" s="30" t="str">
        <f>VLOOKUP($C11,Fixtures!A:I,3,FALSE)</f>
        <v>SAU</v>
      </c>
      <c r="H11" s="20" t="s">
        <v>2685</v>
      </c>
      <c r="I11" s="31">
        <f>VLOOKUP($B11,PickedPlayers!D:Q,8,FALSE)</f>
        <v>0</v>
      </c>
      <c r="J11" s="30" t="str">
        <f>VLOOKUP($C11,Fixtures!A:I,4,FALSE)</f>
        <v>URU</v>
      </c>
      <c r="K11" s="20" t="s">
        <v>2687</v>
      </c>
      <c r="L11" s="31">
        <f>VLOOKUP($B11,PickedPlayers!D:Q,9,FALSE)</f>
        <v>0</v>
      </c>
      <c r="M11" s="30" t="str">
        <f>VLOOKUP($C11,Fixtures!A:I,5,FALSE)</f>
        <v>AUS</v>
      </c>
      <c r="N11" s="20" t="s">
        <v>2687</v>
      </c>
      <c r="O11" s="31">
        <f>VLOOKUP($B11,PickedPlayers!D:Q,10,FALSE)</f>
        <v>0</v>
      </c>
      <c r="P11" s="30" t="str">
        <f>VLOOKUP($C11,Fixtures!A:I,6,FALSE)</f>
        <v>POR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ht="15" x14ac:dyDescent="0.25">
      <c r="A12" s="28" t="s">
        <v>2675</v>
      </c>
      <c r="B12" s="19" t="s">
        <v>428</v>
      </c>
      <c r="C12" s="29" t="s">
        <v>70</v>
      </c>
      <c r="D12" s="30" t="str">
        <f>VLOOKUP($C12,Fixtures!A:I,2,FALSE)</f>
        <v>BRA</v>
      </c>
      <c r="E12" s="20" t="s">
        <v>2687</v>
      </c>
      <c r="F12" s="31">
        <f>VLOOKUP($B12,PickedPlayers!D:Q,7,FALSE)</f>
        <v>0</v>
      </c>
      <c r="G12" s="30" t="str">
        <f>VLOOKUP($C12,Fixtures!A:I,3,FALSE)</f>
        <v>SCO</v>
      </c>
      <c r="H12" s="20" t="s">
        <v>2687</v>
      </c>
      <c r="I12" s="31">
        <f>VLOOKUP($B12,PickedPlayers!D:Q,8,FALSE)</f>
        <v>0</v>
      </c>
      <c r="J12" s="30" t="str">
        <f>VLOOKUP($C12,Fixtures!A:I,4,FALSE)</f>
        <v>HAI</v>
      </c>
      <c r="K12" s="20" t="s">
        <v>2687</v>
      </c>
      <c r="L12" s="31">
        <f>VLOOKUP($B12,PickedPlayers!D:Q,9,FALSE)</f>
        <v>0</v>
      </c>
      <c r="M12" s="30" t="str">
        <f>VLOOKUP($C12,Fixtures!A:I,5,FALSE)</f>
        <v>NED</v>
      </c>
      <c r="N12" s="20" t="s">
        <v>2687</v>
      </c>
      <c r="O12" s="31">
        <f>VLOOKUP($B12,PickedPlayers!D:Q,10,FALSE)</f>
        <v>0</v>
      </c>
      <c r="P12" s="30" t="str">
        <f>VLOOKUP($C12,Fixtures!A:I,6,FALSE)</f>
        <v>CAN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ht="15" x14ac:dyDescent="0.25">
      <c r="A13" s="28" t="s">
        <v>2675</v>
      </c>
      <c r="B13" s="19" t="s">
        <v>511</v>
      </c>
      <c r="C13" s="29" t="s">
        <v>74</v>
      </c>
      <c r="D13" s="30" t="str">
        <f>VLOOKUP($C13,Fixtures!A:I,2,FALSE)</f>
        <v>CUR</v>
      </c>
      <c r="E13" s="20" t="s">
        <v>2687</v>
      </c>
      <c r="F13" s="31">
        <f>VLOOKUP($B13,PickedPlayers!D:Q,7,FALSE)</f>
        <v>0</v>
      </c>
      <c r="G13" s="30" t="str">
        <f>VLOOKUP($C13,Fixtures!A:I,3,FALSE)</f>
        <v>IVO</v>
      </c>
      <c r="H13" s="20" t="s">
        <v>2687</v>
      </c>
      <c r="I13" s="31">
        <f>VLOOKUP($B13,PickedPlayers!D:Q,8,FALSE)</f>
        <v>0</v>
      </c>
      <c r="J13" s="30" t="str">
        <f>VLOOKUP($C13,Fixtures!A:I,4,FALSE)</f>
        <v>ECU</v>
      </c>
      <c r="K13" s="20" t="s">
        <v>2689</v>
      </c>
      <c r="L13" s="31">
        <f>VLOOKUP($B13,PickedPlayers!D:Q,9,FALSE)</f>
        <v>0</v>
      </c>
      <c r="M13" s="58" t="s">
        <v>2693</v>
      </c>
      <c r="N13" s="59"/>
      <c r="O13" s="60"/>
      <c r="P13" s="58" t="s">
        <v>2693</v>
      </c>
      <c r="Q13" s="59"/>
      <c r="R13" s="60"/>
      <c r="S13" s="58" t="s">
        <v>2693</v>
      </c>
      <c r="T13" s="59"/>
      <c r="U13" s="60"/>
      <c r="V13" s="58" t="s">
        <v>2693</v>
      </c>
      <c r="W13" s="59"/>
      <c r="X13" s="60"/>
      <c r="Y13" s="30" t="str">
        <f>VLOOKUP($C13,Fixtures!A:I,9,FALSE)</f>
        <v>out</v>
      </c>
      <c r="Z13" s="20"/>
      <c r="AA13" s="31">
        <f>VLOOKUP($B13,PickedPlayers!D:Q,14,FALSE)</f>
        <v>0</v>
      </c>
    </row>
    <row r="14" spans="1:27" ht="15" x14ac:dyDescent="0.25">
      <c r="A14" s="28" t="s">
        <v>2675</v>
      </c>
      <c r="B14" s="19" t="s">
        <v>549</v>
      </c>
      <c r="C14" s="29" t="s">
        <v>165</v>
      </c>
      <c r="D14" s="30"/>
      <c r="E14" s="20"/>
      <c r="F14" s="31"/>
      <c r="G14" s="30"/>
      <c r="H14" s="20"/>
      <c r="I14" s="31"/>
      <c r="J14" s="30"/>
      <c r="K14" s="20"/>
      <c r="L14" s="31"/>
      <c r="M14" s="30" t="str">
        <f>VLOOKUP($C14,Fixtures!A:I,5,FALSE)</f>
        <v>ALG</v>
      </c>
      <c r="N14" s="20" t="s">
        <v>2687</v>
      </c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ht="15" x14ac:dyDescent="0.25">
      <c r="A15" s="28" t="s">
        <v>2677</v>
      </c>
      <c r="B15" s="19" t="s">
        <v>287</v>
      </c>
      <c r="C15" s="29" t="s">
        <v>61</v>
      </c>
      <c r="D15" s="30" t="str">
        <f>VLOOKUP($C15,Fixtures!A:I,2,FALSE)</f>
        <v>SEN</v>
      </c>
      <c r="E15" s="20" t="s">
        <v>2687</v>
      </c>
      <c r="F15" s="31">
        <f>VLOOKUP($B15,PickedPlayers!D:Q,7,FALSE)</f>
        <v>0</v>
      </c>
      <c r="G15" s="30" t="str">
        <f>VLOOKUP($C15,Fixtures!A:I,3,FALSE)</f>
        <v>IRQ</v>
      </c>
      <c r="H15" s="20" t="s">
        <v>2691</v>
      </c>
      <c r="I15" s="31">
        <f>VLOOKUP($B15,PickedPlayers!D:Q,8,FALSE)</f>
        <v>0</v>
      </c>
      <c r="J15" s="30" t="str">
        <f>VLOOKUP($C15,Fixtures!A:I,4,FALSE)</f>
        <v>NOR</v>
      </c>
      <c r="K15" s="20" t="s">
        <v>2692</v>
      </c>
      <c r="L15" s="31">
        <f>VLOOKUP($B15,PickedPlayers!D:Q,9,FALSE)</f>
        <v>0</v>
      </c>
      <c r="M15" s="30" t="str">
        <f>VLOOKUP($C15,Fixtures!A:I,5,FALSE)</f>
        <v>SWE</v>
      </c>
      <c r="N15" s="20" t="s">
        <v>2691</v>
      </c>
      <c r="O15" s="31">
        <f>VLOOKUP($B15,PickedPlayers!D:Q,10,FALSE)</f>
        <v>0</v>
      </c>
      <c r="P15" s="30" t="str">
        <f>VLOOKUP($C15,Fixtures!A:I,6,FALSE)</f>
        <v>PAR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ht="15" x14ac:dyDescent="0.25">
      <c r="A16" s="28" t="s">
        <v>2677</v>
      </c>
      <c r="B16" s="19" t="s">
        <v>304</v>
      </c>
      <c r="C16" s="29" t="s">
        <v>78</v>
      </c>
      <c r="D16" s="30" t="str">
        <f>VLOOKUP($C16,Fixtures!A:I,2,FALSE)</f>
        <v>MOR</v>
      </c>
      <c r="E16" s="20" t="s">
        <v>2687</v>
      </c>
      <c r="F16" s="31">
        <f>VLOOKUP($B16,PickedPlayers!D:Q,7,FALSE)</f>
        <v>0</v>
      </c>
      <c r="G16" s="30" t="str">
        <f>VLOOKUP($C16,Fixtures!A:I,3,FALSE)</f>
        <v>HAI</v>
      </c>
      <c r="H16" s="20" t="s">
        <v>2692</v>
      </c>
      <c r="I16" s="31">
        <f>VLOOKUP($B16,PickedPlayers!D:Q,8,FALSE)</f>
        <v>0</v>
      </c>
      <c r="J16" s="30" t="str">
        <f>VLOOKUP($C16,Fixtures!A:I,4,FALSE)</f>
        <v>SCO</v>
      </c>
      <c r="K16" s="20" t="s">
        <v>2691</v>
      </c>
      <c r="L16" s="31">
        <f>VLOOKUP($B16,PickedPlayers!D:Q,9,FALSE)</f>
        <v>0</v>
      </c>
      <c r="M16" s="30" t="str">
        <f>VLOOKUP($C16,Fixtures!A:I,5,FALSE)</f>
        <v>JAP</v>
      </c>
      <c r="N16" s="20" t="s">
        <v>2692</v>
      </c>
      <c r="O16" s="31">
        <f>VLOOKUP($B16,PickedPlayers!D:Q,10,FALSE)</f>
        <v>0</v>
      </c>
      <c r="P16" s="30" t="str">
        <f>VLOOKUP($C16,Fixtures!A:I,6,FALSE)</f>
        <v>NOR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ht="15" x14ac:dyDescent="0.25">
      <c r="A17" s="28" t="s">
        <v>2677</v>
      </c>
      <c r="B17" s="19" t="s">
        <v>366</v>
      </c>
      <c r="C17" s="29" t="s">
        <v>101</v>
      </c>
      <c r="D17" s="30" t="str">
        <f>VLOOKUP($C17,Fixtures!A:I,2,FALSE)</f>
        <v>CON</v>
      </c>
      <c r="E17" s="20" t="s">
        <v>2690</v>
      </c>
      <c r="F17" s="31">
        <f>VLOOKUP($B17,PickedPlayers!D:Q,7,FALSE)</f>
        <v>0</v>
      </c>
      <c r="G17" s="30" t="str">
        <f>VLOOKUP($C17,Fixtures!A:I,3,FALSE)</f>
        <v>UZB</v>
      </c>
      <c r="H17" s="20" t="s">
        <v>2695</v>
      </c>
      <c r="I17" s="31">
        <f>VLOOKUP($B17,PickedPlayers!D:Q,8,FALSE)</f>
        <v>0</v>
      </c>
      <c r="J17" s="30" t="str">
        <f>VLOOKUP($C17,Fixtures!A:I,4,FALSE)</f>
        <v>COL</v>
      </c>
      <c r="K17" s="20" t="s">
        <v>2690</v>
      </c>
      <c r="L17" s="31">
        <f>VLOOKUP($B17,PickedPlayers!D:Q,9,FALSE)</f>
        <v>0</v>
      </c>
      <c r="M17" s="30" t="str">
        <f>VLOOKUP($C17,Fixtures!A:I,5,FALSE)</f>
        <v>CRO</v>
      </c>
      <c r="N17" s="20" t="s">
        <v>2690</v>
      </c>
      <c r="O17" s="31">
        <f>VLOOKUP($B17,PickedPlayers!D:Q,10,FALSE)</f>
        <v>0</v>
      </c>
      <c r="P17" s="30" t="str">
        <f>VLOOKUP($C17,Fixtures!A:I,6,FALSE)</f>
        <v>SPA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" x14ac:dyDescent="0.25">
      <c r="A18" s="28" t="s">
        <v>2677</v>
      </c>
      <c r="B18" s="19" t="s">
        <v>446</v>
      </c>
      <c r="C18" s="29" t="s">
        <v>126</v>
      </c>
      <c r="D18" s="30" t="str">
        <f>VLOOKUP($C18,Fixtures!A:I,2,FALSE)</f>
        <v>FRA</v>
      </c>
      <c r="E18" s="20" t="s">
        <v>2695</v>
      </c>
      <c r="F18" s="31">
        <f>VLOOKUP($B18,PickedPlayers!D:Q,7,FALSE)</f>
        <v>0</v>
      </c>
      <c r="G18" s="30" t="str">
        <f>VLOOKUP($C18,Fixtures!A:I,3,FALSE)</f>
        <v>NOR</v>
      </c>
      <c r="H18" s="20" t="s">
        <v>2687</v>
      </c>
      <c r="I18" s="31">
        <f>VLOOKUP($B18,PickedPlayers!D:Q,8,FALSE)</f>
        <v>0</v>
      </c>
      <c r="J18" s="30" t="str">
        <f>VLOOKUP($C18,Fixtures!A:I,4,FALSE)</f>
        <v>IRQ</v>
      </c>
      <c r="K18" s="20" t="s">
        <v>2687</v>
      </c>
      <c r="L18" s="31">
        <f>VLOOKUP($B18,PickedPlayers!D:Q,9,FALSE)</f>
        <v>0</v>
      </c>
      <c r="M18" s="30" t="str">
        <f>VLOOKUP($C18,Fixtures!A:I,5,FALSE)</f>
        <v>BEL</v>
      </c>
      <c r="N18" s="20" t="s">
        <v>2695</v>
      </c>
      <c r="O18" s="31">
        <f>VLOOKUP($B18,PickedPlayers!D:Q,10,FALSE)</f>
        <v>0</v>
      </c>
      <c r="P18" s="30" t="str">
        <f>VLOOKUP($C18,Fixtures!A:I,6,FALSE)</f>
        <v>out</v>
      </c>
      <c r="Q18" s="20"/>
      <c r="R18" s="31">
        <f>VLOOKUP($B18,PickedPlayers!D:Q,11,FALSE)</f>
        <v>0</v>
      </c>
      <c r="S18" s="30" t="str">
        <f>VLOOKUP($C18,Fixtures!A:I,7,FALSE)</f>
        <v>out</v>
      </c>
      <c r="T18" s="20"/>
      <c r="U18" s="31">
        <f>VLOOKUP($B18,PickedPlayers!D:Q,12,FALSE)</f>
        <v>0</v>
      </c>
      <c r="V18" s="30" t="str">
        <f>VLOOKUP($C18,Fixtures!A:I,8,FALSE)</f>
        <v>out</v>
      </c>
      <c r="W18" s="20"/>
      <c r="X18" s="31">
        <f>VLOOKUP($B18,PickedPlayers!D:Q,13,FALSE)</f>
        <v>0</v>
      </c>
      <c r="Y18" s="30" t="str">
        <f>VLOOKUP($C18,Fixtures!A:I,9,FALSE)</f>
        <v>out</v>
      </c>
      <c r="Z18" s="20"/>
      <c r="AA18" s="31">
        <f>VLOOKUP($B18,PickedPlayers!D:Q,14,FALSE)</f>
        <v>0</v>
      </c>
    </row>
    <row r="19" spans="1:27" ht="15.75" thickBot="1" x14ac:dyDescent="0.3">
      <c r="A19" s="32" t="s">
        <v>2677</v>
      </c>
      <c r="B19" s="33" t="s">
        <v>489</v>
      </c>
      <c r="C19" s="34" t="s">
        <v>153</v>
      </c>
      <c r="D19" s="30" t="str">
        <f>VLOOKUP($C19,Fixtures!A:I,2,FALSE)</f>
        <v>SOU</v>
      </c>
      <c r="E19" s="35" t="s">
        <v>2687</v>
      </c>
      <c r="F19" s="31">
        <f>VLOOKUP($B19,PickedPlayers!D:Q,7,FALSE)</f>
        <v>0</v>
      </c>
      <c r="G19" s="30" t="str">
        <f>VLOOKUP($C19,Fixtures!A:I,3,FALSE)</f>
        <v>KOR</v>
      </c>
      <c r="H19" s="35" t="s">
        <v>2689</v>
      </c>
      <c r="I19" s="31">
        <f>VLOOKUP($B19,PickedPlayers!D:Q,8,FALSE)</f>
        <v>0</v>
      </c>
      <c r="J19" s="30" t="str">
        <f>VLOOKUP($C19,Fixtures!A:I,4,FALSE)</f>
        <v>CZE</v>
      </c>
      <c r="K19" s="35" t="s">
        <v>2695</v>
      </c>
      <c r="L19" s="31">
        <f>VLOOKUP($B19,PickedPlayers!D:Q,9,FALSE)</f>
        <v>0</v>
      </c>
      <c r="M19" s="30" t="str">
        <f>VLOOKUP($C19,Fixtures!A:I,5,FALSE)</f>
        <v>ECU</v>
      </c>
      <c r="N19" s="35" t="s">
        <v>2688</v>
      </c>
      <c r="O19" s="31">
        <f>VLOOKUP($B19,PickedPlayers!D:Q,10,FALSE)</f>
        <v>0</v>
      </c>
      <c r="P19" s="30" t="str">
        <f>VLOOKUP($C19,Fixtures!A:I,6,FALSE)</f>
        <v>ENG</v>
      </c>
      <c r="Q19" s="35"/>
      <c r="R19" s="31">
        <f>VLOOKUP($B19,PickedPlayers!D:Q,11,FALSE)</f>
        <v>0</v>
      </c>
      <c r="S19" s="30" t="str">
        <f>VLOOKUP($C19,Fixtures!A:I,7,FALSE)</f>
        <v>TBC</v>
      </c>
      <c r="T19" s="35"/>
      <c r="U19" s="31">
        <f>VLOOKUP($B19,PickedPlayers!D:Q,12,FALSE)</f>
        <v>0</v>
      </c>
      <c r="V19" s="30" t="str">
        <f>VLOOKUP($C19,Fixtures!A:I,8,FALSE)</f>
        <v>TBC</v>
      </c>
      <c r="W19" s="35"/>
      <c r="X19" s="31">
        <f>VLOOKUP($B19,PickedPlayers!D:Q,13,FALSE)</f>
        <v>0</v>
      </c>
      <c r="Y19" s="30" t="str">
        <f>VLOOKUP($C19,Fixtures!A:I,9,FALSE)</f>
        <v>TBC</v>
      </c>
      <c r="Z19" s="35"/>
      <c r="AA19" s="31">
        <f>VLOOKUP($B19,PickedPlayers!D:Q,14,FALSE)</f>
        <v>0</v>
      </c>
    </row>
    <row r="20" spans="1:27" s="18" customFormat="1" ht="15" x14ac:dyDescent="0.25">
      <c r="A20" s="50"/>
      <c r="B20" s="51"/>
      <c r="C20" s="51"/>
      <c r="D20" s="67"/>
      <c r="E20" s="68"/>
      <c r="F20" s="69"/>
      <c r="G20" s="67"/>
      <c r="H20" s="68"/>
      <c r="I20" s="69"/>
      <c r="J20" s="67"/>
      <c r="K20" s="68"/>
      <c r="L20" s="69"/>
      <c r="M20" s="67"/>
      <c r="N20" s="68"/>
      <c r="O20" s="69"/>
      <c r="P20" s="67"/>
      <c r="Q20" s="68"/>
      <c r="R20" s="69"/>
      <c r="S20" s="67"/>
      <c r="T20" s="68"/>
      <c r="U20" s="69"/>
      <c r="V20" s="67"/>
      <c r="W20" s="68"/>
      <c r="X20" s="69"/>
      <c r="Y20" s="67"/>
      <c r="Z20" s="68"/>
      <c r="AA20" s="69"/>
    </row>
    <row r="21" spans="1:27" s="18" customFormat="1" ht="15.75" thickBot="1" x14ac:dyDescent="0.3">
      <c r="A21" s="52"/>
      <c r="B21" s="53"/>
      <c r="C21" s="53"/>
      <c r="D21" s="70"/>
      <c r="E21" s="71"/>
      <c r="F21" s="72"/>
      <c r="G21" s="70"/>
      <c r="H21" s="71"/>
      <c r="I21" s="72"/>
      <c r="J21" s="70"/>
      <c r="K21" s="71"/>
      <c r="L21" s="72"/>
      <c r="M21" s="70"/>
      <c r="N21" s="71"/>
      <c r="O21" s="72"/>
      <c r="P21" s="70"/>
      <c r="Q21" s="71"/>
      <c r="R21" s="72"/>
      <c r="S21" s="70"/>
      <c r="T21" s="71"/>
      <c r="U21" s="72"/>
      <c r="V21" s="70"/>
      <c r="W21" s="71"/>
      <c r="X21" s="72"/>
      <c r="Y21" s="70"/>
      <c r="Z21" s="71"/>
      <c r="AA21" s="72"/>
    </row>
    <row r="22" spans="1:27" ht="15" hidden="1" customHeight="1" x14ac:dyDescent="0.25">
      <c r="D22" s="21"/>
      <c r="E22" s="21"/>
      <c r="F22" s="21"/>
    </row>
  </sheetData>
  <mergeCells count="17">
    <mergeCell ref="V20:X21"/>
    <mergeCell ref="Y20:AA21"/>
    <mergeCell ref="S1:U1"/>
    <mergeCell ref="V1:X1"/>
    <mergeCell ref="Y1:AA1"/>
    <mergeCell ref="P20:R21"/>
    <mergeCell ref="S20:U21"/>
    <mergeCell ref="A1:C1"/>
    <mergeCell ref="D1:F1"/>
    <mergeCell ref="G1:I1"/>
    <mergeCell ref="J1:L1"/>
    <mergeCell ref="M1:O1"/>
    <mergeCell ref="P1:R1"/>
    <mergeCell ref="D20:F21"/>
    <mergeCell ref="G20:I21"/>
    <mergeCell ref="J20:L21"/>
    <mergeCell ref="M20:O21"/>
  </mergeCells>
  <conditionalFormatting sqref="E3:E19">
    <cfRule type="containsText" dxfId="182" priority="60" operator="containsText" text="Vice Captain">
      <formula>NOT(ISERROR(SEARCH("Vice Captain",E3)))</formula>
    </cfRule>
    <cfRule type="containsText" dxfId="181" priority="61" operator="containsText" text="Off">
      <formula>NOT(ISERROR(SEARCH("Off",E3)))</formula>
    </cfRule>
    <cfRule type="containsText" dxfId="180" priority="62" operator="containsText" text="Sub">
      <formula>NOT(ISERROR(SEARCH("Sub",E3)))</formula>
    </cfRule>
    <cfRule type="containsText" dxfId="179" priority="63" operator="containsText" text="Captain">
      <formula>NOT(ISERROR(SEARCH("Captain",E3)))</formula>
    </cfRule>
    <cfRule type="containsText" dxfId="178" priority="64" operator="containsText" text="Picked">
      <formula>NOT(ISERROR(SEARCH("Picked",E3)))</formula>
    </cfRule>
  </conditionalFormatting>
  <conditionalFormatting sqref="H3:H19">
    <cfRule type="containsText" dxfId="177" priority="53" operator="containsText" text="Vice Captain">
      <formula>NOT(ISERROR(SEARCH("Vice Captain",H3)))</formula>
    </cfRule>
    <cfRule type="containsText" dxfId="176" priority="54" operator="containsText" text="Off">
      <formula>NOT(ISERROR(SEARCH("Off",H3)))</formula>
    </cfRule>
    <cfRule type="containsText" dxfId="175" priority="55" operator="containsText" text="Sub">
      <formula>NOT(ISERROR(SEARCH("Sub",H3)))</formula>
    </cfRule>
    <cfRule type="containsText" dxfId="174" priority="56" operator="containsText" text="Captain">
      <formula>NOT(ISERROR(SEARCH("Captain",H3)))</formula>
    </cfRule>
    <cfRule type="containsText" dxfId="173" priority="57" operator="containsText" text="Picked">
      <formula>NOT(ISERROR(SEARCH("Picked",H3)))</formula>
    </cfRule>
  </conditionalFormatting>
  <conditionalFormatting sqref="K3:K19">
    <cfRule type="containsText" dxfId="172" priority="48" operator="containsText" text="Vice Captain">
      <formula>NOT(ISERROR(SEARCH("Vice Captain",K3)))</formula>
    </cfRule>
    <cfRule type="containsText" dxfId="171" priority="49" operator="containsText" text="Off">
      <formula>NOT(ISERROR(SEARCH("Off",K3)))</formula>
    </cfRule>
    <cfRule type="containsText" dxfId="170" priority="50" operator="containsText" text="Sub">
      <formula>NOT(ISERROR(SEARCH("Sub",K3)))</formula>
    </cfRule>
    <cfRule type="containsText" dxfId="169" priority="51" operator="containsText" text="Captain">
      <formula>NOT(ISERROR(SEARCH("Captain",K3)))</formula>
    </cfRule>
    <cfRule type="containsText" dxfId="168" priority="52" operator="containsText" text="Picked">
      <formula>NOT(ISERROR(SEARCH("Picked",K3)))</formula>
    </cfRule>
  </conditionalFormatting>
  <conditionalFormatting sqref="M3:M19 P3:P19 S3:S19 V3:V19">
    <cfRule type="containsText" dxfId="167" priority="21" operator="containsText" text="tbc">
      <formula>NOT(ISERROR(SEARCH("tbc",M3)))</formula>
    </cfRule>
    <cfRule type="containsText" dxfId="166" priority="22" operator="containsText" text="Out">
      <formula>NOT(ISERROR(SEARCH("Out",M3)))</formula>
    </cfRule>
  </conditionalFormatting>
  <conditionalFormatting sqref="N3:N19">
    <cfRule type="containsText" dxfId="165" priority="16" operator="containsText" text="Vice Captain">
      <formula>NOT(ISERROR(SEARCH("Vice Captain",N3)))</formula>
    </cfRule>
    <cfRule type="containsText" dxfId="164" priority="17" operator="containsText" text="Off">
      <formula>NOT(ISERROR(SEARCH("Off",N3)))</formula>
    </cfRule>
    <cfRule type="containsText" dxfId="163" priority="18" operator="containsText" text="Sub">
      <formula>NOT(ISERROR(SEARCH("Sub",N3)))</formula>
    </cfRule>
    <cfRule type="containsText" dxfId="162" priority="19" operator="containsText" text="Captain">
      <formula>NOT(ISERROR(SEARCH("Captain",N3)))</formula>
    </cfRule>
    <cfRule type="containsText" dxfId="161" priority="20" operator="containsText" text="Picked">
      <formula>NOT(ISERROR(SEARCH("Picked",N3)))</formula>
    </cfRule>
  </conditionalFormatting>
  <conditionalFormatting sqref="Q3:Q19">
    <cfRule type="containsText" dxfId="160" priority="11" operator="containsText" text="Vice Captain">
      <formula>NOT(ISERROR(SEARCH("Vice Captain",Q3)))</formula>
    </cfRule>
    <cfRule type="containsText" dxfId="159" priority="12" operator="containsText" text="Off">
      <formula>NOT(ISERROR(SEARCH("Off",Q3)))</formula>
    </cfRule>
    <cfRule type="containsText" dxfId="158" priority="13" operator="containsText" text="Sub">
      <formula>NOT(ISERROR(SEARCH("Sub",Q3)))</formula>
    </cfRule>
    <cfRule type="containsText" dxfId="157" priority="14" operator="containsText" text="Captain">
      <formula>NOT(ISERROR(SEARCH("Captain",Q3)))</formula>
    </cfRule>
    <cfRule type="containsText" dxfId="156" priority="15" operator="containsText" text="Picked">
      <formula>NOT(ISERROR(SEARCH("Picked",Q3)))</formula>
    </cfRule>
  </conditionalFormatting>
  <conditionalFormatting sqref="T3:T19">
    <cfRule type="containsText" dxfId="155" priority="6" operator="containsText" text="Vice Captain">
      <formula>NOT(ISERROR(SEARCH("Vice Captain",T3)))</formula>
    </cfRule>
    <cfRule type="containsText" dxfId="154" priority="7" operator="containsText" text="Off">
      <formula>NOT(ISERROR(SEARCH("Off",T3)))</formula>
    </cfRule>
    <cfRule type="containsText" dxfId="153" priority="8" operator="containsText" text="Sub">
      <formula>NOT(ISERROR(SEARCH("Sub",T3)))</formula>
    </cfRule>
    <cfRule type="containsText" dxfId="152" priority="9" operator="containsText" text="Captain">
      <formula>NOT(ISERROR(SEARCH("Captain",T3)))</formula>
    </cfRule>
    <cfRule type="containsText" dxfId="151" priority="10" operator="containsText" text="Picked">
      <formula>NOT(ISERROR(SEARCH("Picked",T3)))</formula>
    </cfRule>
  </conditionalFormatting>
  <conditionalFormatting sqref="W3:W19">
    <cfRule type="containsText" dxfId="150" priority="1" operator="containsText" text="Vice Captain">
      <formula>NOT(ISERROR(SEARCH("Vice Captain",W3)))</formula>
    </cfRule>
    <cfRule type="containsText" dxfId="149" priority="2" operator="containsText" text="Off">
      <formula>NOT(ISERROR(SEARCH("Off",W3)))</formula>
    </cfRule>
    <cfRule type="containsText" dxfId="148" priority="3" operator="containsText" text="Sub">
      <formula>NOT(ISERROR(SEARCH("Sub",W3)))</formula>
    </cfRule>
    <cfRule type="containsText" dxfId="147" priority="4" operator="containsText" text="Captain">
      <formula>NOT(ISERROR(SEARCH("Captain",W3)))</formula>
    </cfRule>
    <cfRule type="containsText" dxfId="146" priority="5" operator="containsText" text="Picked">
      <formula>NOT(ISERROR(SEARCH("Picked",W3)))</formula>
    </cfRule>
  </conditionalFormatting>
  <conditionalFormatting sqref="Y3:Y19">
    <cfRule type="containsText" dxfId="145" priority="58" operator="containsText" text="tbc">
      <formula>NOT(ISERROR(SEARCH("tbc",Y3)))</formula>
    </cfRule>
    <cfRule type="containsText" dxfId="144" priority="59" operator="containsText" text="Out">
      <formula>NOT(ISERROR(SEARCH("Out",Y3)))</formula>
    </cfRule>
  </conditionalFormatting>
  <conditionalFormatting sqref="Z3:Z19">
    <cfRule type="containsText" dxfId="143" priority="23" operator="containsText" text="Vice Captain">
      <formula>NOT(ISERROR(SEARCH("Vice Captain",Z3)))</formula>
    </cfRule>
    <cfRule type="containsText" dxfId="142" priority="24" operator="containsText" text="Off">
      <formula>NOT(ISERROR(SEARCH("Off",Z3)))</formula>
    </cfRule>
    <cfRule type="containsText" dxfId="141" priority="25" operator="containsText" text="Sub">
      <formula>NOT(ISERROR(SEARCH("Sub",Z3)))</formula>
    </cfRule>
    <cfRule type="containsText" dxfId="140" priority="26" operator="containsText" text="Captain">
      <formula>NOT(ISERROR(SEARCH("Captain",Z3)))</formula>
    </cfRule>
    <cfRule type="containsText" dxfId="139" priority="27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E5224CD-EED1-4A1B-95EB-9BF5E370548C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8FFADD6D-E718-4C54-A8B4-FDC39B0CC678}">
          <x14:formula1>
            <xm:f>Lookups!$E$2:$E$9</xm:f>
          </x14:formula1>
          <xm:sqref>E5:E19 H5:H19 K5:K19 Z5:Z19 N5:N19 Q5:Q19 W5:W19 T5:T19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D4E4-FC07-4C1C-B595-AA559958F1D4}">
  <dimension ref="A1:AA22"/>
  <sheetViews>
    <sheetView workbookViewId="0">
      <selection activeCell="M6" sqref="M6"/>
    </sheetView>
  </sheetViews>
  <sheetFormatPr defaultColWidth="9.140625" defaultRowHeight="0" customHeight="1" zeroHeight="1" x14ac:dyDescent="0.25"/>
  <cols>
    <col min="1" max="1" width="9.140625" style="54"/>
    <col min="2" max="2" width="15" style="54" bestFit="1" customWidth="1"/>
    <col min="3" max="3" width="11.5703125" style="54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73" t="s">
        <v>2698</v>
      </c>
      <c r="B1" s="74"/>
      <c r="C1" s="75"/>
      <c r="D1" s="76" t="s">
        <v>2679</v>
      </c>
      <c r="E1" s="77"/>
      <c r="F1" s="78"/>
      <c r="G1" s="79" t="s">
        <v>2680</v>
      </c>
      <c r="H1" s="80"/>
      <c r="I1" s="81"/>
      <c r="J1" s="79" t="s">
        <v>2681</v>
      </c>
      <c r="K1" s="80"/>
      <c r="L1" s="81"/>
      <c r="M1" s="79" t="s">
        <v>36</v>
      </c>
      <c r="N1" s="80"/>
      <c r="O1" s="81"/>
      <c r="P1" s="79" t="s">
        <v>23</v>
      </c>
      <c r="Q1" s="80"/>
      <c r="R1" s="81"/>
      <c r="S1" s="79" t="s">
        <v>17</v>
      </c>
      <c r="T1" s="80"/>
      <c r="U1" s="81"/>
      <c r="V1" s="79" t="s">
        <v>13</v>
      </c>
      <c r="W1" s="80"/>
      <c r="X1" s="81"/>
      <c r="Y1" s="79" t="s">
        <v>9</v>
      </c>
      <c r="Z1" s="80"/>
      <c r="AA1" s="81"/>
    </row>
    <row r="2" spans="1:27" ht="15" x14ac:dyDescent="0.25">
      <c r="A2" s="22" t="s">
        <v>271</v>
      </c>
      <c r="B2" s="23" t="s">
        <v>268</v>
      </c>
      <c r="C2" s="24" t="s">
        <v>2671</v>
      </c>
      <c r="D2" s="25" t="s">
        <v>2682</v>
      </c>
      <c r="E2" s="26" t="s">
        <v>2683</v>
      </c>
      <c r="F2" s="27" t="s">
        <v>2684</v>
      </c>
      <c r="G2" s="25" t="s">
        <v>2682</v>
      </c>
      <c r="H2" s="26" t="s">
        <v>2683</v>
      </c>
      <c r="I2" s="27" t="s">
        <v>2684</v>
      </c>
      <c r="J2" s="25" t="s">
        <v>2682</v>
      </c>
      <c r="K2" s="26" t="s">
        <v>2683</v>
      </c>
      <c r="L2" s="27" t="s">
        <v>2684</v>
      </c>
      <c r="M2" s="25" t="s">
        <v>2682</v>
      </c>
      <c r="N2" s="26" t="s">
        <v>2683</v>
      </c>
      <c r="O2" s="27" t="s">
        <v>2684</v>
      </c>
      <c r="P2" s="25" t="s">
        <v>2682</v>
      </c>
      <c r="Q2" s="26" t="s">
        <v>2683</v>
      </c>
      <c r="R2" s="27" t="s">
        <v>2684</v>
      </c>
      <c r="S2" s="25" t="s">
        <v>2682</v>
      </c>
      <c r="T2" s="26" t="s">
        <v>2683</v>
      </c>
      <c r="U2" s="27" t="s">
        <v>2684</v>
      </c>
      <c r="V2" s="25" t="s">
        <v>2682</v>
      </c>
      <c r="W2" s="26" t="s">
        <v>2683</v>
      </c>
      <c r="X2" s="27" t="s">
        <v>2684</v>
      </c>
      <c r="Y2" s="25" t="s">
        <v>2682</v>
      </c>
      <c r="Z2" s="26" t="s">
        <v>2683</v>
      </c>
      <c r="AA2" s="27" t="s">
        <v>2684</v>
      </c>
    </row>
    <row r="3" spans="1:27" ht="15" x14ac:dyDescent="0.25">
      <c r="A3" s="28" t="s">
        <v>2673</v>
      </c>
      <c r="B3" s="19" t="s">
        <v>368</v>
      </c>
      <c r="C3" s="29" t="s">
        <v>61</v>
      </c>
      <c r="D3" s="30" t="str">
        <f>VLOOKUP($C3,Fixtures!A:I,2,FALSE)</f>
        <v>SEN</v>
      </c>
      <c r="E3" s="20" t="s">
        <v>2686</v>
      </c>
      <c r="F3" s="31">
        <f>VLOOKUP($B3,PickedPlayers!D:Q,7,FALSE)</f>
        <v>0</v>
      </c>
      <c r="G3" s="30" t="str">
        <f>VLOOKUP($C3,Fixtures!A:I,3,FALSE)</f>
        <v>IRQ</v>
      </c>
      <c r="H3" s="20" t="s">
        <v>2687</v>
      </c>
      <c r="I3" s="31">
        <f>VLOOKUP($B3,PickedPlayers!D:Q,8,FALSE)</f>
        <v>0</v>
      </c>
      <c r="J3" s="30" t="str">
        <f>VLOOKUP($C3,Fixtures!A:I,4,FALSE)</f>
        <v>NOR</v>
      </c>
      <c r="K3" s="20" t="s">
        <v>2686</v>
      </c>
      <c r="L3" s="31">
        <f>VLOOKUP($B3,PickedPlayers!D:Q,9,FALSE)</f>
        <v>0</v>
      </c>
      <c r="M3" s="30" t="str">
        <f>VLOOKUP($C3,Fixtures!A:I,5,FALSE)</f>
        <v>SWE</v>
      </c>
      <c r="N3" s="20" t="s">
        <v>2687</v>
      </c>
      <c r="O3" s="31">
        <f>VLOOKUP($B3,PickedPlayers!D:Q,10,FALSE)</f>
        <v>0</v>
      </c>
      <c r="P3" s="30" t="str">
        <f>VLOOKUP($C3,Fixtures!A:I,6,FALSE)</f>
        <v>PAR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ht="15" x14ac:dyDescent="0.25">
      <c r="A4" s="28" t="s">
        <v>2673</v>
      </c>
      <c r="B4" s="19" t="s">
        <v>465</v>
      </c>
      <c r="C4" s="29" t="s">
        <v>101</v>
      </c>
      <c r="D4" s="30" t="str">
        <f>VLOOKUP($C4,Fixtures!A:I,2,FALSE)</f>
        <v>CON</v>
      </c>
      <c r="E4" s="20" t="s">
        <v>2687</v>
      </c>
      <c r="F4" s="31">
        <f>VLOOKUP($B4,PickedPlayers!D:Q,7,FALSE)</f>
        <v>0</v>
      </c>
      <c r="G4" s="30" t="str">
        <f>VLOOKUP($C4,Fixtures!A:I,3,FALSE)</f>
        <v>UZB</v>
      </c>
      <c r="H4" s="20" t="s">
        <v>2686</v>
      </c>
      <c r="I4" s="31">
        <f>VLOOKUP($B4,PickedPlayers!D:Q,8,FALSE)</f>
        <v>0</v>
      </c>
      <c r="J4" s="30" t="str">
        <f>VLOOKUP($C4,Fixtures!A:I,4,FALSE)</f>
        <v>COL</v>
      </c>
      <c r="K4" s="20" t="s">
        <v>2687</v>
      </c>
      <c r="L4" s="31">
        <f>VLOOKUP($B4,PickedPlayers!D:Q,9,FALSE)</f>
        <v>0</v>
      </c>
      <c r="M4" s="30" t="str">
        <f>VLOOKUP($C4,Fixtures!A:I,5,FALSE)</f>
        <v>CRO</v>
      </c>
      <c r="N4" s="20" t="s">
        <v>2686</v>
      </c>
      <c r="O4" s="31">
        <f>VLOOKUP($B4,PickedPlayers!D:Q,10,FALSE)</f>
        <v>0</v>
      </c>
      <c r="P4" s="30" t="str">
        <f>VLOOKUP($C4,Fixtures!A:I,6,FALSE)</f>
        <v>SPA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ht="15" x14ac:dyDescent="0.25">
      <c r="A5" s="28" t="s">
        <v>2674</v>
      </c>
      <c r="B5" s="19" t="s">
        <v>378</v>
      </c>
      <c r="C5" s="29" t="s">
        <v>123</v>
      </c>
      <c r="D5" s="30" t="str">
        <f>VLOOKUP($C5,Fixtures!A:I,2,FALSE)</f>
        <v>CAP</v>
      </c>
      <c r="E5" s="20" t="s">
        <v>2687</v>
      </c>
      <c r="F5" s="31">
        <f>VLOOKUP($B5,PickedPlayers!D:Q,7,FALSE)</f>
        <v>0</v>
      </c>
      <c r="G5" s="30" t="str">
        <f>VLOOKUP($C5,Fixtures!A:I,3,FALSE)</f>
        <v>SAU</v>
      </c>
      <c r="H5" s="20" t="s">
        <v>2687</v>
      </c>
      <c r="I5" s="31">
        <f>VLOOKUP($B5,PickedPlayers!D:Q,8,FALSE)</f>
        <v>0</v>
      </c>
      <c r="J5" s="30" t="str">
        <f>VLOOKUP($C5,Fixtures!A:I,4,FALSE)</f>
        <v>URU</v>
      </c>
      <c r="K5" s="20" t="s">
        <v>2687</v>
      </c>
      <c r="L5" s="31">
        <f>VLOOKUP($B5,PickedPlayers!D:Q,9,FALSE)</f>
        <v>0</v>
      </c>
      <c r="M5" s="30" t="str">
        <f>VLOOKUP($C5,Fixtures!A:I,5,FALSE)</f>
        <v>AUS</v>
      </c>
      <c r="N5" s="20" t="s">
        <v>2687</v>
      </c>
      <c r="O5" s="31">
        <f>VLOOKUP($B5,PickedPlayers!D:Q,10,FALSE)</f>
        <v>0</v>
      </c>
      <c r="P5" s="30" t="str">
        <f>VLOOKUP($C5,Fixtures!A:I,6,FALSE)</f>
        <v>POR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ht="15" x14ac:dyDescent="0.25">
      <c r="A6" s="28" t="s">
        <v>2674</v>
      </c>
      <c r="B6" s="19" t="s">
        <v>424</v>
      </c>
      <c r="C6" s="29" t="s">
        <v>40</v>
      </c>
      <c r="D6" s="30" t="str">
        <f>VLOOKUP($C6,Fixtures!A:I,2,FALSE)</f>
        <v>ALG</v>
      </c>
      <c r="E6" s="20" t="s">
        <v>2685</v>
      </c>
      <c r="F6" s="31">
        <f>VLOOKUP($B6,PickedPlayers!D:Q,7,FALSE)</f>
        <v>0</v>
      </c>
      <c r="G6" s="30" t="str">
        <f>VLOOKUP($C6,Fixtures!A:I,3,FALSE)</f>
        <v>AUT</v>
      </c>
      <c r="H6" s="20" t="s">
        <v>2689</v>
      </c>
      <c r="I6" s="31">
        <f>VLOOKUP($B6,PickedPlayers!D:Q,8,FALSE)</f>
        <v>0</v>
      </c>
      <c r="J6" s="30" t="str">
        <f>VLOOKUP($C6,Fixtures!A:I,4,FALSE)</f>
        <v>JOR</v>
      </c>
      <c r="K6" s="20" t="s">
        <v>2687</v>
      </c>
      <c r="L6" s="31">
        <f>VLOOKUP($B6,PickedPlayers!D:Q,9,FALSE)</f>
        <v>0</v>
      </c>
      <c r="M6" s="58" t="s">
        <v>2693</v>
      </c>
      <c r="N6" s="59"/>
      <c r="O6" s="60"/>
      <c r="P6" s="58" t="s">
        <v>2693</v>
      </c>
      <c r="Q6" s="59"/>
      <c r="R6" s="60"/>
      <c r="S6" s="58" t="s">
        <v>2693</v>
      </c>
      <c r="T6" s="59"/>
      <c r="U6" s="60"/>
      <c r="V6" s="58" t="s">
        <v>2693</v>
      </c>
      <c r="W6" s="59"/>
      <c r="X6" s="60"/>
      <c r="Y6" s="58" t="s">
        <v>2693</v>
      </c>
      <c r="Z6" s="59"/>
      <c r="AA6" s="60"/>
    </row>
    <row r="7" spans="1:27" ht="15" x14ac:dyDescent="0.25">
      <c r="A7" s="28" t="s">
        <v>2674</v>
      </c>
      <c r="B7" s="19" t="s">
        <v>485</v>
      </c>
      <c r="C7" s="29" t="s">
        <v>74</v>
      </c>
      <c r="D7" s="30" t="str">
        <f>VLOOKUP($C7,Fixtures!A:I,2,FALSE)</f>
        <v>CUR</v>
      </c>
      <c r="E7" s="20" t="s">
        <v>2687</v>
      </c>
      <c r="F7" s="31">
        <f>VLOOKUP($B7,PickedPlayers!D:Q,7,FALSE)</f>
        <v>0</v>
      </c>
      <c r="G7" s="30" t="str">
        <f>VLOOKUP($C7,Fixtures!A:I,3,FALSE)</f>
        <v>IVO</v>
      </c>
      <c r="H7" s="20" t="s">
        <v>2690</v>
      </c>
      <c r="I7" s="31">
        <f>VLOOKUP($B7,PickedPlayers!D:Q,8,FALSE)</f>
        <v>0</v>
      </c>
      <c r="J7" s="30" t="str">
        <f>VLOOKUP($C7,Fixtures!A:I,4,FALSE)</f>
        <v>ECU</v>
      </c>
      <c r="K7" s="20" t="s">
        <v>2690</v>
      </c>
      <c r="L7" s="31">
        <f>VLOOKUP($B7,PickedPlayers!D:Q,9,FALSE)</f>
        <v>0</v>
      </c>
      <c r="M7" s="30" t="str">
        <f>VLOOKUP($C7,Fixtures!A:I,5,FALSE)</f>
        <v>PAR</v>
      </c>
      <c r="N7" s="20" t="s">
        <v>2687</v>
      </c>
      <c r="O7" s="31">
        <f>VLOOKUP($B7,PickedPlayers!D:Q,10,FALSE)</f>
        <v>0</v>
      </c>
      <c r="P7" s="30" t="str">
        <f>VLOOKUP($C7,Fixtures!A:I,6,FALSE)</f>
        <v>out</v>
      </c>
      <c r="Q7" s="20"/>
      <c r="R7" s="31">
        <f>VLOOKUP($B7,PickedPlayers!D:Q,11,FALSE)</f>
        <v>0</v>
      </c>
      <c r="S7" s="30" t="str">
        <f>VLOOKUP($C7,Fixtures!A:I,7,FALSE)</f>
        <v>out</v>
      </c>
      <c r="T7" s="20"/>
      <c r="U7" s="31">
        <f>VLOOKUP($B7,PickedPlayers!D:Q,12,FALSE)</f>
        <v>0</v>
      </c>
      <c r="V7" s="30" t="str">
        <f>VLOOKUP($C7,Fixtures!A:I,8,FALSE)</f>
        <v>out</v>
      </c>
      <c r="W7" s="20"/>
      <c r="X7" s="31">
        <f>VLOOKUP($B7,PickedPlayers!D:Q,13,FALSE)</f>
        <v>0</v>
      </c>
      <c r="Y7" s="30" t="str">
        <f>VLOOKUP($C7,Fixtures!A:I,9,FALSE)</f>
        <v>out</v>
      </c>
      <c r="Z7" s="20"/>
      <c r="AA7" s="31">
        <f>VLOOKUP($B7,PickedPlayers!D:Q,14,FALSE)</f>
        <v>0</v>
      </c>
    </row>
    <row r="8" spans="1:27" ht="15" x14ac:dyDescent="0.25">
      <c r="A8" s="28" t="s">
        <v>2674</v>
      </c>
      <c r="B8" s="19" t="s">
        <v>509</v>
      </c>
      <c r="C8" s="29" t="s">
        <v>40</v>
      </c>
      <c r="D8" s="30" t="str">
        <f>VLOOKUP($C8,Fixtures!A:I,2,FALSE)</f>
        <v>ALG</v>
      </c>
      <c r="E8" s="20" t="s">
        <v>2689</v>
      </c>
      <c r="F8" s="31">
        <f>VLOOKUP($B8,PickedPlayers!D:Q,7,FALSE)</f>
        <v>0</v>
      </c>
      <c r="G8" s="30" t="str">
        <f>VLOOKUP($C8,Fixtures!A:I,3,FALSE)</f>
        <v>AUT</v>
      </c>
      <c r="H8" s="20" t="s">
        <v>2687</v>
      </c>
      <c r="I8" s="31">
        <f>VLOOKUP($B8,PickedPlayers!D:Q,8,FALSE)</f>
        <v>0</v>
      </c>
      <c r="J8" s="30" t="str">
        <f>VLOOKUP($C8,Fixtures!A:I,4,FALSE)</f>
        <v>JOR</v>
      </c>
      <c r="K8" s="20" t="s">
        <v>2685</v>
      </c>
      <c r="L8" s="31">
        <f>VLOOKUP($B8,PickedPlayers!D:Q,9,FALSE)</f>
        <v>0</v>
      </c>
      <c r="M8" s="30" t="str">
        <f>VLOOKUP($C8,Fixtures!A:I,5,FALSE)</f>
        <v>CAP</v>
      </c>
      <c r="N8" s="20" t="s">
        <v>2687</v>
      </c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ht="15" x14ac:dyDescent="0.25">
      <c r="A9" s="28" t="s">
        <v>2674</v>
      </c>
      <c r="B9" s="19" t="s">
        <v>531</v>
      </c>
      <c r="C9" s="29" t="s">
        <v>78</v>
      </c>
      <c r="D9" s="30" t="str">
        <f>VLOOKUP($C9,Fixtures!A:I,2,FALSE)</f>
        <v>MOR</v>
      </c>
      <c r="E9" s="20" t="s">
        <v>2687</v>
      </c>
      <c r="F9" s="31">
        <f>VLOOKUP($B9,PickedPlayers!D:Q,7,FALSE)</f>
        <v>0</v>
      </c>
      <c r="G9" s="30" t="str">
        <f>VLOOKUP($C9,Fixtures!A:I,3,FALSE)</f>
        <v>HAI</v>
      </c>
      <c r="H9" s="20" t="s">
        <v>2687</v>
      </c>
      <c r="I9" s="31">
        <f>VLOOKUP($B9,PickedPlayers!D:Q,8,FALSE)</f>
        <v>0</v>
      </c>
      <c r="J9" s="30" t="str">
        <f>VLOOKUP($C9,Fixtures!A:I,4,FALSE)</f>
        <v>SCO</v>
      </c>
      <c r="K9" s="20" t="s">
        <v>2687</v>
      </c>
      <c r="L9" s="31">
        <f>VLOOKUP($B9,PickedPlayers!D:Q,9,FALSE)</f>
        <v>0</v>
      </c>
      <c r="M9" s="30" t="str">
        <f>VLOOKUP($C9,Fixtures!A:I,5,FALSE)</f>
        <v>JAP</v>
      </c>
      <c r="N9" s="20" t="s">
        <v>2688</v>
      </c>
      <c r="O9" s="31">
        <f>VLOOKUP($B9,PickedPlayers!D:Q,10,FALSE)</f>
        <v>0</v>
      </c>
      <c r="P9" s="30" t="str">
        <f>VLOOKUP($C9,Fixtures!A:I,6,FALSE)</f>
        <v>NOR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ht="15" x14ac:dyDescent="0.25">
      <c r="A10" s="28" t="s">
        <v>2674</v>
      </c>
      <c r="B10" s="19" t="s">
        <v>550</v>
      </c>
      <c r="C10" s="29" t="s">
        <v>40</v>
      </c>
      <c r="D10" s="30"/>
      <c r="E10" s="20"/>
      <c r="F10" s="31"/>
      <c r="G10" s="30"/>
      <c r="H10" s="20"/>
      <c r="I10" s="31"/>
      <c r="J10" s="30"/>
      <c r="K10" s="20"/>
      <c r="L10" s="31"/>
      <c r="M10" s="30" t="str">
        <f>VLOOKUP($C10,Fixtures!A:I,5,FALSE)</f>
        <v>CAP</v>
      </c>
      <c r="N10" s="20" t="s">
        <v>2687</v>
      </c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ht="15" x14ac:dyDescent="0.25">
      <c r="A11" s="28" t="s">
        <v>2675</v>
      </c>
      <c r="B11" s="19" t="s">
        <v>342</v>
      </c>
      <c r="C11" s="29" t="s">
        <v>74</v>
      </c>
      <c r="D11" s="30" t="str">
        <f>VLOOKUP($C11,Fixtures!A:I,2,FALSE)</f>
        <v>CUR</v>
      </c>
      <c r="E11" s="20" t="s">
        <v>2687</v>
      </c>
      <c r="F11" s="31">
        <f>VLOOKUP($B11,PickedPlayers!D:Q,7,FALSE)</f>
        <v>0</v>
      </c>
      <c r="G11" s="30" t="str">
        <f>VLOOKUP($C11,Fixtures!A:I,3,FALSE)</f>
        <v>IVO</v>
      </c>
      <c r="H11" s="20" t="s">
        <v>2687</v>
      </c>
      <c r="I11" s="31">
        <f>VLOOKUP($B11,PickedPlayers!D:Q,8,FALSE)</f>
        <v>0</v>
      </c>
      <c r="J11" s="30" t="str">
        <f>VLOOKUP($C11,Fixtures!A:I,4,FALSE)</f>
        <v>ECU</v>
      </c>
      <c r="K11" s="20" t="s">
        <v>2687</v>
      </c>
      <c r="L11" s="31">
        <f>VLOOKUP($B11,PickedPlayers!D:Q,9,FALSE)</f>
        <v>0</v>
      </c>
      <c r="M11" s="30" t="str">
        <f>VLOOKUP($C11,Fixtures!A:I,5,FALSE)</f>
        <v>PAR</v>
      </c>
      <c r="N11" s="20" t="s">
        <v>2687</v>
      </c>
      <c r="O11" s="31">
        <f>VLOOKUP($B11,PickedPlayers!D:Q,10,FALSE)</f>
        <v>0</v>
      </c>
      <c r="P11" s="30" t="str">
        <f>VLOOKUP($C11,Fixtures!A:I,6,FALSE)</f>
        <v>out</v>
      </c>
      <c r="Q11" s="20"/>
      <c r="R11" s="31">
        <f>VLOOKUP($B11,PickedPlayers!D:Q,11,FALSE)</f>
        <v>0</v>
      </c>
      <c r="S11" s="30" t="str">
        <f>VLOOKUP($C11,Fixtures!A:I,7,FALSE)</f>
        <v>out</v>
      </c>
      <c r="T11" s="20"/>
      <c r="U11" s="31">
        <f>VLOOKUP($B11,PickedPlayers!D:Q,12,FALSE)</f>
        <v>0</v>
      </c>
      <c r="V11" s="30" t="str">
        <f>VLOOKUP($C11,Fixtures!A:I,8,FALSE)</f>
        <v>out</v>
      </c>
      <c r="W11" s="20"/>
      <c r="X11" s="31">
        <f>VLOOKUP($B11,PickedPlayers!D:Q,13,FALSE)</f>
        <v>0</v>
      </c>
      <c r="Y11" s="30" t="str">
        <f>VLOOKUP($C11,Fixtures!A:I,9,FALSE)</f>
        <v>out</v>
      </c>
      <c r="Z11" s="20"/>
      <c r="AA11" s="31">
        <f>VLOOKUP($B11,PickedPlayers!D:Q,14,FALSE)</f>
        <v>0</v>
      </c>
    </row>
    <row r="12" spans="1:27" ht="15" x14ac:dyDescent="0.25">
      <c r="A12" s="28" t="s">
        <v>2675</v>
      </c>
      <c r="B12" s="19" t="s">
        <v>408</v>
      </c>
      <c r="C12" s="29" t="s">
        <v>78</v>
      </c>
      <c r="D12" s="30" t="str">
        <f>VLOOKUP($C12,Fixtures!A:I,2,FALSE)</f>
        <v>MOR</v>
      </c>
      <c r="E12" s="20" t="s">
        <v>2687</v>
      </c>
      <c r="F12" s="31">
        <f>VLOOKUP($B12,PickedPlayers!D:Q,7,FALSE)</f>
        <v>0</v>
      </c>
      <c r="G12" s="30" t="str">
        <f>VLOOKUP($C12,Fixtures!A:I,3,FALSE)</f>
        <v>HAI</v>
      </c>
      <c r="H12" s="20" t="s">
        <v>2687</v>
      </c>
      <c r="I12" s="31">
        <f>VLOOKUP($B12,PickedPlayers!D:Q,8,FALSE)</f>
        <v>0</v>
      </c>
      <c r="J12" s="30" t="str">
        <f>VLOOKUP($C12,Fixtures!A:I,4,FALSE)</f>
        <v>SCO</v>
      </c>
      <c r="K12" s="20" t="s">
        <v>2691</v>
      </c>
      <c r="L12" s="31">
        <f>VLOOKUP($B12,PickedPlayers!D:Q,9,FALSE)</f>
        <v>0</v>
      </c>
      <c r="M12" s="30" t="str">
        <f>VLOOKUP($C12,Fixtures!A:I,5,FALSE)</f>
        <v>JAP</v>
      </c>
      <c r="N12" s="20" t="s">
        <v>2687</v>
      </c>
      <c r="O12" s="31">
        <f>VLOOKUP($B12,PickedPlayers!D:Q,10,FALSE)</f>
        <v>0</v>
      </c>
      <c r="P12" s="30" t="str">
        <f>VLOOKUP($C12,Fixtures!A:I,6,FALSE)</f>
        <v>NOR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ht="15" x14ac:dyDescent="0.25">
      <c r="A13" s="28" t="s">
        <v>2675</v>
      </c>
      <c r="B13" s="19" t="s">
        <v>426</v>
      </c>
      <c r="C13" s="29" t="s">
        <v>101</v>
      </c>
      <c r="D13" s="30" t="str">
        <f>VLOOKUP($C13,Fixtures!A:I,2,FALSE)</f>
        <v>CON</v>
      </c>
      <c r="E13" s="20" t="s">
        <v>2687</v>
      </c>
      <c r="F13" s="31">
        <f>VLOOKUP($B13,PickedPlayers!D:Q,7,FALSE)</f>
        <v>0</v>
      </c>
      <c r="G13" s="30" t="str">
        <f>VLOOKUP($C13,Fixtures!A:I,3,FALSE)</f>
        <v>UZB</v>
      </c>
      <c r="H13" s="20" t="s">
        <v>2687</v>
      </c>
      <c r="I13" s="31">
        <f>VLOOKUP($B13,PickedPlayers!D:Q,8,FALSE)</f>
        <v>0</v>
      </c>
      <c r="J13" s="30" t="str">
        <f>VLOOKUP($C13,Fixtures!A:I,4,FALSE)</f>
        <v>COL</v>
      </c>
      <c r="K13" s="20" t="s">
        <v>2687</v>
      </c>
      <c r="L13" s="31">
        <f>VLOOKUP($B13,PickedPlayers!D:Q,9,FALSE)</f>
        <v>0</v>
      </c>
      <c r="M13" s="30" t="str">
        <f>VLOOKUP($C13,Fixtures!A:I,5,FALSE)</f>
        <v>CRO</v>
      </c>
      <c r="N13" s="20" t="s">
        <v>2687</v>
      </c>
      <c r="O13" s="31">
        <f>VLOOKUP($B13,PickedPlayers!D:Q,10,FALSE)</f>
        <v>0</v>
      </c>
      <c r="P13" s="30" t="str">
        <f>VLOOKUP($C13,Fixtures!A:I,6,FALSE)</f>
        <v>SPA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ht="15" x14ac:dyDescent="0.25">
      <c r="A14" s="28" t="s">
        <v>2675</v>
      </c>
      <c r="B14" s="19" t="s">
        <v>448</v>
      </c>
      <c r="C14" s="29" t="s">
        <v>113</v>
      </c>
      <c r="D14" s="30" t="str">
        <f>VLOOKUP($C14,Fixtures!A:I,2,FALSE)</f>
        <v>EGY</v>
      </c>
      <c r="E14" s="20" t="s">
        <v>2687</v>
      </c>
      <c r="F14" s="31">
        <f>VLOOKUP($B14,PickedPlayers!D:Q,7,FALSE)</f>
        <v>0</v>
      </c>
      <c r="G14" s="30" t="str">
        <f>VLOOKUP($C14,Fixtures!A:I,3,FALSE)</f>
        <v>IRA</v>
      </c>
      <c r="H14" s="20" t="s">
        <v>2687</v>
      </c>
      <c r="I14" s="31">
        <f>VLOOKUP($B14,PickedPlayers!D:Q,8,FALSE)</f>
        <v>0</v>
      </c>
      <c r="J14" s="30" t="str">
        <f>VLOOKUP($C14,Fixtures!A:I,4,FALSE)</f>
        <v>NZL</v>
      </c>
      <c r="K14" s="20" t="s">
        <v>2692</v>
      </c>
      <c r="L14" s="31">
        <f>VLOOKUP($B14,PickedPlayers!D:Q,9,FALSE)</f>
        <v>0</v>
      </c>
      <c r="M14" s="30" t="str">
        <f>VLOOKUP($C14,Fixtures!A:I,5,FALSE)</f>
        <v>SEN</v>
      </c>
      <c r="N14" s="20" t="s">
        <v>2695</v>
      </c>
      <c r="O14" s="31">
        <f>VLOOKUP($B14,PickedPlayers!D:Q,10,FALSE)</f>
        <v>0</v>
      </c>
      <c r="P14" s="30" t="str">
        <f>VLOOKUP($C14,Fixtures!A:I,6,FALSE)</f>
        <v>USA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ht="15" x14ac:dyDescent="0.25">
      <c r="A15" s="28" t="s">
        <v>2677</v>
      </c>
      <c r="B15" s="19" t="s">
        <v>290</v>
      </c>
      <c r="C15" s="29" t="s">
        <v>40</v>
      </c>
      <c r="D15" s="30" t="str">
        <f>VLOOKUP($C15,Fixtures!A:I,2,FALSE)</f>
        <v>ALG</v>
      </c>
      <c r="E15" s="48" t="s">
        <v>2692</v>
      </c>
      <c r="F15" s="31">
        <f>VLOOKUP($B15,PickedPlayers!D:Q,7,FALSE)</f>
        <v>0</v>
      </c>
      <c r="G15" s="30" t="str">
        <f>VLOOKUP($C15,Fixtures!A:I,3,FALSE)</f>
        <v>AUT</v>
      </c>
      <c r="H15" s="20" t="s">
        <v>2692</v>
      </c>
      <c r="I15" s="31">
        <f>VLOOKUP($B15,PickedPlayers!D:Q,8,FALSE)</f>
        <v>0</v>
      </c>
      <c r="J15" s="30" t="str">
        <f>VLOOKUP($C15,Fixtures!A:I,4,FALSE)</f>
        <v>JOR</v>
      </c>
      <c r="K15" s="20" t="s">
        <v>2687</v>
      </c>
      <c r="L15" s="31">
        <f>VLOOKUP($B15,PickedPlayers!D:Q,9,FALSE)</f>
        <v>0</v>
      </c>
      <c r="M15" s="30" t="str">
        <f>VLOOKUP($C15,Fixtures!A:I,5,FALSE)</f>
        <v>CAP</v>
      </c>
      <c r="N15" s="20" t="s">
        <v>2692</v>
      </c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ht="15" x14ac:dyDescent="0.25">
      <c r="A16" s="28" t="s">
        <v>2677</v>
      </c>
      <c r="B16" s="19" t="s">
        <v>302</v>
      </c>
      <c r="C16" s="29" t="s">
        <v>78</v>
      </c>
      <c r="D16" s="30" t="str">
        <f>VLOOKUP($C16,Fixtures!A:I,2,FALSE)</f>
        <v>MOR</v>
      </c>
      <c r="E16" s="20" t="s">
        <v>2695</v>
      </c>
      <c r="F16" s="31">
        <f>VLOOKUP($B16,PickedPlayers!D:Q,7,FALSE)</f>
        <v>0</v>
      </c>
      <c r="G16" s="30" t="str">
        <f>VLOOKUP($C16,Fixtures!A:I,3,FALSE)</f>
        <v>HAI</v>
      </c>
      <c r="H16" s="20" t="s">
        <v>2691</v>
      </c>
      <c r="I16" s="31">
        <f>VLOOKUP($B16,PickedPlayers!D:Q,8,FALSE)</f>
        <v>0</v>
      </c>
      <c r="J16" s="30" t="str">
        <f>VLOOKUP($C16,Fixtures!A:I,4,FALSE)</f>
        <v>SCO</v>
      </c>
      <c r="K16" s="20" t="s">
        <v>2689</v>
      </c>
      <c r="L16" s="31">
        <f>VLOOKUP($B16,PickedPlayers!D:Q,9,FALSE)</f>
        <v>0</v>
      </c>
      <c r="M16" s="30" t="str">
        <f>VLOOKUP($C16,Fixtures!A:I,5,FALSE)</f>
        <v>JAP</v>
      </c>
      <c r="N16" s="20" t="s">
        <v>2689</v>
      </c>
      <c r="O16" s="31">
        <f>VLOOKUP($B16,PickedPlayers!D:Q,10,FALSE)</f>
        <v>0</v>
      </c>
      <c r="P16" s="30" t="str">
        <f>VLOOKUP($C16,Fixtures!A:I,6,FALSE)</f>
        <v>NOR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ht="15" x14ac:dyDescent="0.25">
      <c r="A17" s="28" t="s">
        <v>2677</v>
      </c>
      <c r="B17" s="19" t="s">
        <v>316</v>
      </c>
      <c r="C17" s="29" t="s">
        <v>74</v>
      </c>
      <c r="D17" s="30" t="str">
        <f>VLOOKUP($C17,Fixtures!A:I,2,FALSE)</f>
        <v>CUR</v>
      </c>
      <c r="E17" s="20" t="s">
        <v>2687</v>
      </c>
      <c r="F17" s="31">
        <f>VLOOKUP($B17,PickedPlayers!D:Q,7,FALSE)</f>
        <v>0</v>
      </c>
      <c r="G17" s="30" t="str">
        <f>VLOOKUP($C17,Fixtures!A:I,3,FALSE)</f>
        <v>IVO</v>
      </c>
      <c r="H17" s="20" t="s">
        <v>2695</v>
      </c>
      <c r="I17" s="31">
        <f>VLOOKUP($B17,PickedPlayers!D:Q,8,FALSE)</f>
        <v>0</v>
      </c>
      <c r="J17" s="30" t="str">
        <f>VLOOKUP($C17,Fixtures!A:I,4,FALSE)</f>
        <v>ECU</v>
      </c>
      <c r="K17" s="20" t="s">
        <v>2695</v>
      </c>
      <c r="L17" s="31">
        <f>VLOOKUP($B17,PickedPlayers!D:Q,9,FALSE)</f>
        <v>0</v>
      </c>
      <c r="M17" s="30" t="str">
        <f>VLOOKUP($C17,Fixtures!A:I,5,FALSE)</f>
        <v>PAR</v>
      </c>
      <c r="N17" s="20" t="s">
        <v>2691</v>
      </c>
      <c r="O17" s="31">
        <f>VLOOKUP($B17,PickedPlayers!D:Q,10,FALSE)</f>
        <v>0</v>
      </c>
      <c r="P17" s="30" t="str">
        <f>VLOOKUP($C17,Fixtures!A:I,6,FALSE)</f>
        <v>out</v>
      </c>
      <c r="Q17" s="20"/>
      <c r="R17" s="31">
        <f>VLOOKUP($B17,PickedPlayers!D:Q,11,FALSE)</f>
        <v>0</v>
      </c>
      <c r="S17" s="30" t="str">
        <f>VLOOKUP($C17,Fixtures!A:I,7,FALSE)</f>
        <v>out</v>
      </c>
      <c r="T17" s="20"/>
      <c r="U17" s="31">
        <f>VLOOKUP($B17,PickedPlayers!D:Q,12,FALSE)</f>
        <v>0</v>
      </c>
      <c r="V17" s="30" t="str">
        <f>VLOOKUP($C17,Fixtures!A:I,8,FALSE)</f>
        <v>out</v>
      </c>
      <c r="W17" s="20"/>
      <c r="X17" s="31">
        <f>VLOOKUP($B17,PickedPlayers!D:Q,13,FALSE)</f>
        <v>0</v>
      </c>
      <c r="Y17" s="30" t="str">
        <f>VLOOKUP($C17,Fixtures!A:I,9,FALSE)</f>
        <v>out</v>
      </c>
      <c r="Z17" s="20"/>
      <c r="AA17" s="31">
        <f>VLOOKUP($B17,PickedPlayers!D:Q,14,FALSE)</f>
        <v>0</v>
      </c>
    </row>
    <row r="18" spans="1:27" ht="15" x14ac:dyDescent="0.25">
      <c r="A18" s="28" t="s">
        <v>2677</v>
      </c>
      <c r="B18" s="19" t="s">
        <v>354</v>
      </c>
      <c r="C18" s="29" t="s">
        <v>61</v>
      </c>
      <c r="D18" s="30" t="str">
        <f>VLOOKUP($C18,Fixtures!A:I,2,FALSE)</f>
        <v>SEN</v>
      </c>
      <c r="E18" s="20" t="s">
        <v>2688</v>
      </c>
      <c r="F18" s="31">
        <f>VLOOKUP($B18,PickedPlayers!D:Q,7,FALSE)</f>
        <v>0</v>
      </c>
      <c r="G18" s="30" t="str">
        <f>VLOOKUP($C18,Fixtures!A:I,3,FALSE)</f>
        <v>IRQ</v>
      </c>
      <c r="H18" s="20" t="s">
        <v>2687</v>
      </c>
      <c r="I18" s="31">
        <f>VLOOKUP($B18,PickedPlayers!D:Q,8,FALSE)</f>
        <v>0</v>
      </c>
      <c r="J18" s="30" t="str">
        <f>VLOOKUP($C18,Fixtures!A:I,4,FALSE)</f>
        <v>NOR</v>
      </c>
      <c r="K18" s="20" t="s">
        <v>2687</v>
      </c>
      <c r="L18" s="31">
        <f>VLOOKUP($B18,PickedPlayers!D:Q,9,FALSE)</f>
        <v>0</v>
      </c>
      <c r="M18" s="30" t="str">
        <f>VLOOKUP($C18,Fixtures!A:I,5,FALSE)</f>
        <v>SWE</v>
      </c>
      <c r="N18" s="20" t="s">
        <v>2687</v>
      </c>
      <c r="O18" s="31">
        <f>VLOOKUP($B18,PickedPlayers!D:Q,10,FALSE)</f>
        <v>0</v>
      </c>
      <c r="P18" s="30" t="str">
        <f>VLOOKUP($C18,Fixtures!A:I,6,FALSE)</f>
        <v>PAR</v>
      </c>
      <c r="Q18" s="20"/>
      <c r="R18" s="31">
        <f>VLOOKUP($B18,PickedPlayers!D:Q,11,FALSE)</f>
        <v>0</v>
      </c>
      <c r="S18" s="30" t="str">
        <f>VLOOKUP($C18,Fixtures!A:I,7,FALSE)</f>
        <v>TBC</v>
      </c>
      <c r="T18" s="20"/>
      <c r="U18" s="31">
        <f>VLOOKUP($B18,PickedPlayers!D:Q,12,FALSE)</f>
        <v>0</v>
      </c>
      <c r="V18" s="30" t="str">
        <f>VLOOKUP($C18,Fixtures!A:I,8,FALSE)</f>
        <v>TBC</v>
      </c>
      <c r="W18" s="20"/>
      <c r="X18" s="31">
        <f>VLOOKUP($B18,PickedPlayers!D:Q,13,FALSE)</f>
        <v>0</v>
      </c>
      <c r="Y18" s="30" t="str">
        <f>VLOOKUP($C18,Fixtures!A:I,9,FALSE)</f>
        <v>TBC</v>
      </c>
      <c r="Z18" s="20"/>
      <c r="AA18" s="31">
        <f>VLOOKUP($B18,PickedPlayers!D:Q,14,FALSE)</f>
        <v>0</v>
      </c>
    </row>
    <row r="19" spans="1:27" ht="15.75" thickBot="1" x14ac:dyDescent="0.3">
      <c r="A19" s="32" t="s">
        <v>2677</v>
      </c>
      <c r="B19" s="33" t="s">
        <v>491</v>
      </c>
      <c r="C19" s="34" t="s">
        <v>123</v>
      </c>
      <c r="D19" s="30" t="str">
        <f>VLOOKUP($C19,Fixtures!A:I,2,FALSE)</f>
        <v>CAP</v>
      </c>
      <c r="E19" s="35" t="s">
        <v>2691</v>
      </c>
      <c r="F19" s="31">
        <f>VLOOKUP($B19,PickedPlayers!D:Q,7,FALSE)</f>
        <v>0</v>
      </c>
      <c r="G19" s="30" t="str">
        <f>VLOOKUP($C19,Fixtures!A:I,3,FALSE)</f>
        <v>SAU</v>
      </c>
      <c r="H19" s="35" t="s">
        <v>2688</v>
      </c>
      <c r="I19" s="31">
        <f>VLOOKUP($B19,PickedPlayers!D:Q,8,FALSE)</f>
        <v>0</v>
      </c>
      <c r="J19" s="30" t="str">
        <f>VLOOKUP($C19,Fixtures!A:I,4,FALSE)</f>
        <v>URU</v>
      </c>
      <c r="K19" s="35" t="s">
        <v>2687</v>
      </c>
      <c r="L19" s="31">
        <f>VLOOKUP($B19,PickedPlayers!D:Q,9,FALSE)</f>
        <v>0</v>
      </c>
      <c r="M19" s="30" t="str">
        <f>VLOOKUP($C19,Fixtures!A:I,5,FALSE)</f>
        <v>AUS</v>
      </c>
      <c r="N19" s="35" t="s">
        <v>2690</v>
      </c>
      <c r="O19" s="31">
        <f>VLOOKUP($B19,PickedPlayers!D:Q,10,FALSE)</f>
        <v>0</v>
      </c>
      <c r="P19" s="30" t="str">
        <f>VLOOKUP($C19,Fixtures!A:I,6,FALSE)</f>
        <v>POR</v>
      </c>
      <c r="Q19" s="35"/>
      <c r="R19" s="31">
        <f>VLOOKUP($B19,PickedPlayers!D:Q,11,FALSE)</f>
        <v>0</v>
      </c>
      <c r="S19" s="30" t="str">
        <f>VLOOKUP($C19,Fixtures!A:I,7,FALSE)</f>
        <v>TBC</v>
      </c>
      <c r="T19" s="35"/>
      <c r="U19" s="31">
        <f>VLOOKUP($B19,PickedPlayers!D:Q,12,FALSE)</f>
        <v>0</v>
      </c>
      <c r="V19" s="30" t="str">
        <f>VLOOKUP($C19,Fixtures!A:I,8,FALSE)</f>
        <v>TBC</v>
      </c>
      <c r="W19" s="35"/>
      <c r="X19" s="31">
        <f>VLOOKUP($B19,PickedPlayers!D:Q,13,FALSE)</f>
        <v>0</v>
      </c>
      <c r="Y19" s="30" t="str">
        <f>VLOOKUP($C19,Fixtures!A:I,9,FALSE)</f>
        <v>TBC</v>
      </c>
      <c r="Z19" s="35"/>
      <c r="AA19" s="31">
        <f>VLOOKUP($B19,PickedPlayers!D:Q,14,FALSE)</f>
        <v>0</v>
      </c>
    </row>
    <row r="20" spans="1:27" s="18" customFormat="1" ht="15" x14ac:dyDescent="0.25">
      <c r="A20" s="50"/>
      <c r="B20" s="51"/>
      <c r="C20" s="51"/>
      <c r="D20" s="67"/>
      <c r="E20" s="68"/>
      <c r="F20" s="69"/>
      <c r="G20" s="67"/>
      <c r="H20" s="68"/>
      <c r="I20" s="69"/>
      <c r="J20" s="67"/>
      <c r="K20" s="68"/>
      <c r="L20" s="69"/>
      <c r="M20" s="67"/>
      <c r="N20" s="68"/>
      <c r="O20" s="69"/>
      <c r="P20" s="67"/>
      <c r="Q20" s="68"/>
      <c r="R20" s="69"/>
      <c r="S20" s="67"/>
      <c r="T20" s="68"/>
      <c r="U20" s="69"/>
      <c r="V20" s="67"/>
      <c r="W20" s="68"/>
      <c r="X20" s="69"/>
      <c r="Y20" s="67"/>
      <c r="Z20" s="68"/>
      <c r="AA20" s="69"/>
    </row>
    <row r="21" spans="1:27" s="18" customFormat="1" ht="15.75" thickBot="1" x14ac:dyDescent="0.3">
      <c r="A21" s="52"/>
      <c r="B21" s="53"/>
      <c r="C21" s="53"/>
      <c r="D21" s="70"/>
      <c r="E21" s="71"/>
      <c r="F21" s="72"/>
      <c r="G21" s="70"/>
      <c r="H21" s="71"/>
      <c r="I21" s="72"/>
      <c r="J21" s="70"/>
      <c r="K21" s="71"/>
      <c r="L21" s="72"/>
      <c r="M21" s="70"/>
      <c r="N21" s="71"/>
      <c r="O21" s="72"/>
      <c r="P21" s="70"/>
      <c r="Q21" s="71"/>
      <c r="R21" s="72"/>
      <c r="S21" s="70"/>
      <c r="T21" s="71"/>
      <c r="U21" s="72"/>
      <c r="V21" s="70"/>
      <c r="W21" s="71"/>
      <c r="X21" s="72"/>
      <c r="Y21" s="70"/>
      <c r="Z21" s="71"/>
      <c r="AA21" s="72"/>
    </row>
    <row r="22" spans="1:27" ht="15" hidden="1" customHeight="1" x14ac:dyDescent="0.25">
      <c r="D22" s="21"/>
      <c r="E22" s="21"/>
      <c r="F22" s="21"/>
    </row>
  </sheetData>
  <mergeCells count="17">
    <mergeCell ref="V20:X21"/>
    <mergeCell ref="Y20:AA21"/>
    <mergeCell ref="S1:U1"/>
    <mergeCell ref="V1:X1"/>
    <mergeCell ref="Y1:AA1"/>
    <mergeCell ref="P20:R21"/>
    <mergeCell ref="S20:U21"/>
    <mergeCell ref="A1:C1"/>
    <mergeCell ref="D1:F1"/>
    <mergeCell ref="G1:I1"/>
    <mergeCell ref="J1:L1"/>
    <mergeCell ref="M1:O1"/>
    <mergeCell ref="P1:R1"/>
    <mergeCell ref="D20:F21"/>
    <mergeCell ref="G20:I21"/>
    <mergeCell ref="J20:L21"/>
    <mergeCell ref="M20:O21"/>
  </mergeCells>
  <conditionalFormatting sqref="E3:E19">
    <cfRule type="containsText" dxfId="138" priority="65" operator="containsText" text="Vice Captain">
      <formula>NOT(ISERROR(SEARCH("Vice Captain",E3)))</formula>
    </cfRule>
    <cfRule type="containsText" dxfId="137" priority="66" operator="containsText" text="Off">
      <formula>NOT(ISERROR(SEARCH("Off",E3)))</formula>
    </cfRule>
    <cfRule type="containsText" dxfId="136" priority="67" operator="containsText" text="Sub">
      <formula>NOT(ISERROR(SEARCH("Sub",E3)))</formula>
    </cfRule>
    <cfRule type="containsText" dxfId="135" priority="68" operator="containsText" text="Captain">
      <formula>NOT(ISERROR(SEARCH("Captain",E3)))</formula>
    </cfRule>
    <cfRule type="containsText" dxfId="134" priority="69" operator="containsText" text="Picked">
      <formula>NOT(ISERROR(SEARCH("Picked",E3)))</formula>
    </cfRule>
  </conditionalFormatting>
  <conditionalFormatting sqref="H3:H19">
    <cfRule type="containsText" dxfId="133" priority="58" operator="containsText" text="Vice Captain">
      <formula>NOT(ISERROR(SEARCH("Vice Captain",H3)))</formula>
    </cfRule>
    <cfRule type="containsText" dxfId="132" priority="59" operator="containsText" text="Off">
      <formula>NOT(ISERROR(SEARCH("Off",H3)))</formula>
    </cfRule>
    <cfRule type="containsText" dxfId="131" priority="60" operator="containsText" text="Sub">
      <formula>NOT(ISERROR(SEARCH("Sub",H3)))</formula>
    </cfRule>
    <cfRule type="containsText" dxfId="130" priority="61" operator="containsText" text="Captain">
      <formula>NOT(ISERROR(SEARCH("Captain",H3)))</formula>
    </cfRule>
    <cfRule type="containsText" dxfId="129" priority="62" operator="containsText" text="Picked">
      <formula>NOT(ISERROR(SEARCH("Picked",H3)))</formula>
    </cfRule>
  </conditionalFormatting>
  <conditionalFormatting sqref="K3:K19">
    <cfRule type="containsText" dxfId="128" priority="53" operator="containsText" text="Vice Captain">
      <formula>NOT(ISERROR(SEARCH("Vice Captain",K3)))</formula>
    </cfRule>
    <cfRule type="containsText" dxfId="127" priority="54" operator="containsText" text="Off">
      <formula>NOT(ISERROR(SEARCH("Off",K3)))</formula>
    </cfRule>
    <cfRule type="containsText" dxfId="126" priority="55" operator="containsText" text="Sub">
      <formula>NOT(ISERROR(SEARCH("Sub",K3)))</formula>
    </cfRule>
    <cfRule type="containsText" dxfId="125" priority="56" operator="containsText" text="Captain">
      <formula>NOT(ISERROR(SEARCH("Captain",K3)))</formula>
    </cfRule>
    <cfRule type="containsText" dxfId="124" priority="57" operator="containsText" text="Picked">
      <formula>NOT(ISERROR(SEARCH("Picked",K3)))</formula>
    </cfRule>
  </conditionalFormatting>
  <conditionalFormatting sqref="M3:M19 P3:P19 S3:S19 V3:V19 Y3:Y19">
    <cfRule type="containsText" dxfId="123" priority="26" operator="containsText" text="tbc">
      <formula>NOT(ISERROR(SEARCH("tbc",M3)))</formula>
    </cfRule>
    <cfRule type="containsText" dxfId="122" priority="27" operator="containsText" text="Out">
      <formula>NOT(ISERROR(SEARCH("Out",M3)))</formula>
    </cfRule>
  </conditionalFormatting>
  <conditionalFormatting sqref="N3:N19">
    <cfRule type="containsText" dxfId="121" priority="1" operator="containsText" text="Vice Captain">
      <formula>NOT(ISERROR(SEARCH("Vice Captain",N3)))</formula>
    </cfRule>
    <cfRule type="containsText" dxfId="120" priority="2" operator="containsText" text="Off">
      <formula>NOT(ISERROR(SEARCH("Off",N3)))</formula>
    </cfRule>
    <cfRule type="containsText" dxfId="119" priority="3" operator="containsText" text="Sub">
      <formula>NOT(ISERROR(SEARCH("Sub",N3)))</formula>
    </cfRule>
    <cfRule type="containsText" dxfId="118" priority="4" operator="containsText" text="Captain">
      <formula>NOT(ISERROR(SEARCH("Captain",N3)))</formula>
    </cfRule>
    <cfRule type="containsText" dxfId="117" priority="5" operator="containsText" text="Picked">
      <formula>NOT(ISERROR(SEARCH("Picked",N3)))</formula>
    </cfRule>
  </conditionalFormatting>
  <conditionalFormatting sqref="Q3:Q19">
    <cfRule type="containsText" dxfId="116" priority="21" operator="containsText" text="Vice Captain">
      <formula>NOT(ISERROR(SEARCH("Vice Captain",Q3)))</formula>
    </cfRule>
    <cfRule type="containsText" dxfId="115" priority="22" operator="containsText" text="Off">
      <formula>NOT(ISERROR(SEARCH("Off",Q3)))</formula>
    </cfRule>
    <cfRule type="containsText" dxfId="114" priority="23" operator="containsText" text="Sub">
      <formula>NOT(ISERROR(SEARCH("Sub",Q3)))</formula>
    </cfRule>
    <cfRule type="containsText" dxfId="113" priority="24" operator="containsText" text="Captain">
      <formula>NOT(ISERROR(SEARCH("Captain",Q3)))</formula>
    </cfRule>
    <cfRule type="containsText" dxfId="112" priority="25" operator="containsText" text="Picked">
      <formula>NOT(ISERROR(SEARCH("Picked",Q3)))</formula>
    </cfRule>
  </conditionalFormatting>
  <conditionalFormatting sqref="T3:T19">
    <cfRule type="containsText" dxfId="111" priority="16" operator="containsText" text="Vice Captain">
      <formula>NOT(ISERROR(SEARCH("Vice Captain",T3)))</formula>
    </cfRule>
    <cfRule type="containsText" dxfId="110" priority="17" operator="containsText" text="Off">
      <formula>NOT(ISERROR(SEARCH("Off",T3)))</formula>
    </cfRule>
    <cfRule type="containsText" dxfId="109" priority="18" operator="containsText" text="Sub">
      <formula>NOT(ISERROR(SEARCH("Sub",T3)))</formula>
    </cfRule>
    <cfRule type="containsText" dxfId="108" priority="19" operator="containsText" text="Captain">
      <formula>NOT(ISERROR(SEARCH("Captain",T3)))</formula>
    </cfRule>
    <cfRule type="containsText" dxfId="107" priority="20" operator="containsText" text="Picked">
      <formula>NOT(ISERROR(SEARCH("Picked",T3)))</formula>
    </cfRule>
  </conditionalFormatting>
  <conditionalFormatting sqref="W3:W19">
    <cfRule type="containsText" dxfId="106" priority="11" operator="containsText" text="Vice Captain">
      <formula>NOT(ISERROR(SEARCH("Vice Captain",W3)))</formula>
    </cfRule>
    <cfRule type="containsText" dxfId="105" priority="12" operator="containsText" text="Off">
      <formula>NOT(ISERROR(SEARCH("Off",W3)))</formula>
    </cfRule>
    <cfRule type="containsText" dxfId="104" priority="13" operator="containsText" text="Sub">
      <formula>NOT(ISERROR(SEARCH("Sub",W3)))</formula>
    </cfRule>
    <cfRule type="containsText" dxfId="103" priority="14" operator="containsText" text="Captain">
      <formula>NOT(ISERROR(SEARCH("Captain",W3)))</formula>
    </cfRule>
    <cfRule type="containsText" dxfId="102" priority="15" operator="containsText" text="Picked">
      <formula>NOT(ISERROR(SEARCH("Picked",W3)))</formula>
    </cfRule>
  </conditionalFormatting>
  <conditionalFormatting sqref="Z3:Z19">
    <cfRule type="containsText" dxfId="101" priority="6" operator="containsText" text="Vice Captain">
      <formula>NOT(ISERROR(SEARCH("Vice Captain",Z3)))</formula>
    </cfRule>
    <cfRule type="containsText" dxfId="100" priority="7" operator="containsText" text="Off">
      <formula>NOT(ISERROR(SEARCH("Off",Z3)))</formula>
    </cfRule>
    <cfRule type="containsText" dxfId="99" priority="8" operator="containsText" text="Sub">
      <formula>NOT(ISERROR(SEARCH("Sub",Z3)))</formula>
    </cfRule>
    <cfRule type="containsText" dxfId="98" priority="9" operator="containsText" text="Captain">
      <formula>NOT(ISERROR(SEARCH("Captain",Z3)))</formula>
    </cfRule>
    <cfRule type="containsText" dxfId="97" priority="10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BB2D5F-5059-49FD-88AC-F4F9035A8CE4}">
          <x14:formula1>
            <xm:f>Lookups!$E$2:$E$9</xm:f>
          </x14:formula1>
          <xm:sqref>E5:E19 H5:H19 K5:K19 Q5:Q19 Z5:Z19 N5:N19 W5:W19 T5:T19</xm:sqref>
        </x14:dataValidation>
        <x14:dataValidation type="list" allowBlank="1" showInputMessage="1" showErrorMessage="1" xr:uid="{83499EA0-A887-428E-AEF5-C8611D29EECF}">
          <x14:formula1>
            <xm:f>Lookups!$F$2:$F$6</xm:f>
          </x14:formula1>
          <xm:sqref>E3:E4 T3:T4 W3:W4 H3:H4 K3:K4 N3:N4 Q3:Q4 Z3:Z4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FC7D-7D8A-4266-848E-E7AD6CDEFB3A}">
  <dimension ref="A1:AA22"/>
  <sheetViews>
    <sheetView workbookViewId="0">
      <selection activeCell="N17" sqref="N17"/>
    </sheetView>
  </sheetViews>
  <sheetFormatPr defaultColWidth="9.140625" defaultRowHeight="15" customHeight="1" zeroHeight="1" x14ac:dyDescent="0.25"/>
  <cols>
    <col min="1" max="1" width="9.140625" style="54"/>
    <col min="2" max="2" width="15" style="54" bestFit="1" customWidth="1"/>
    <col min="3" max="3" width="11.5703125" style="54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73" t="s">
        <v>2678</v>
      </c>
      <c r="B1" s="74"/>
      <c r="C1" s="75"/>
      <c r="D1" s="76" t="s">
        <v>2679</v>
      </c>
      <c r="E1" s="77"/>
      <c r="F1" s="78"/>
      <c r="G1" s="79" t="s">
        <v>2680</v>
      </c>
      <c r="H1" s="80"/>
      <c r="I1" s="81"/>
      <c r="J1" s="79" t="s">
        <v>2681</v>
      </c>
      <c r="K1" s="80"/>
      <c r="L1" s="81"/>
      <c r="M1" s="79" t="s">
        <v>36</v>
      </c>
      <c r="N1" s="80"/>
      <c r="O1" s="81"/>
      <c r="P1" s="79" t="s">
        <v>23</v>
      </c>
      <c r="Q1" s="80"/>
      <c r="R1" s="81"/>
      <c r="S1" s="79" t="s">
        <v>17</v>
      </c>
      <c r="T1" s="80"/>
      <c r="U1" s="81"/>
      <c r="V1" s="79" t="s">
        <v>13</v>
      </c>
      <c r="W1" s="80"/>
      <c r="X1" s="81"/>
      <c r="Y1" s="79" t="s">
        <v>9</v>
      </c>
      <c r="Z1" s="80"/>
      <c r="AA1" s="81"/>
    </row>
    <row r="2" spans="1:27" x14ac:dyDescent="0.25">
      <c r="A2" s="22" t="s">
        <v>271</v>
      </c>
      <c r="B2" s="23" t="s">
        <v>268</v>
      </c>
      <c r="C2" s="24" t="s">
        <v>2671</v>
      </c>
      <c r="D2" s="25" t="s">
        <v>2682</v>
      </c>
      <c r="E2" s="26" t="s">
        <v>2683</v>
      </c>
      <c r="F2" s="27" t="s">
        <v>2684</v>
      </c>
      <c r="G2" s="25" t="s">
        <v>2682</v>
      </c>
      <c r="H2" s="26" t="s">
        <v>2683</v>
      </c>
      <c r="I2" s="27" t="s">
        <v>2684</v>
      </c>
      <c r="J2" s="25" t="s">
        <v>2682</v>
      </c>
      <c r="K2" s="26" t="s">
        <v>2683</v>
      </c>
      <c r="L2" s="27" t="s">
        <v>2684</v>
      </c>
      <c r="M2" s="25" t="s">
        <v>2682</v>
      </c>
      <c r="N2" s="26" t="s">
        <v>2683</v>
      </c>
      <c r="O2" s="27" t="s">
        <v>2684</v>
      </c>
      <c r="P2" s="25" t="s">
        <v>2682</v>
      </c>
      <c r="Q2" s="26" t="s">
        <v>2683</v>
      </c>
      <c r="R2" s="27" t="s">
        <v>2684</v>
      </c>
      <c r="S2" s="25" t="s">
        <v>2682</v>
      </c>
      <c r="T2" s="26" t="s">
        <v>2683</v>
      </c>
      <c r="U2" s="27" t="s">
        <v>2684</v>
      </c>
      <c r="V2" s="25" t="s">
        <v>2682</v>
      </c>
      <c r="W2" s="26" t="s">
        <v>2683</v>
      </c>
      <c r="X2" s="27" t="s">
        <v>2684</v>
      </c>
      <c r="Y2" s="25" t="s">
        <v>2682</v>
      </c>
      <c r="Z2" s="26" t="s">
        <v>2683</v>
      </c>
      <c r="AA2" s="27" t="s">
        <v>2684</v>
      </c>
    </row>
    <row r="3" spans="1:27" x14ac:dyDescent="0.25">
      <c r="A3" s="28" t="s">
        <v>2673</v>
      </c>
      <c r="B3" s="19" t="s">
        <v>340</v>
      </c>
      <c r="C3" s="29" t="s">
        <v>40</v>
      </c>
      <c r="D3" s="30" t="str">
        <f>VLOOKUP($C3,Fixtures!A:I,2,FALSE)</f>
        <v>ALG</v>
      </c>
      <c r="E3" s="20" t="s">
        <v>2687</v>
      </c>
      <c r="F3" s="31">
        <f>VLOOKUP($B3,PickedPlayers!D:Q,7,FALSE)</f>
        <v>0</v>
      </c>
      <c r="G3" s="30" t="str">
        <f>VLOOKUP($C3,Fixtures!A:I,3,FALSE)</f>
        <v>AUT</v>
      </c>
      <c r="H3" s="20" t="s">
        <v>2687</v>
      </c>
      <c r="I3" s="31">
        <f>VLOOKUP($B3,PickedPlayers!D:Q,8,FALSE)</f>
        <v>0</v>
      </c>
      <c r="J3" s="30" t="str">
        <f>VLOOKUP($C3,Fixtures!A:I,4,FALSE)</f>
        <v>JOR</v>
      </c>
      <c r="K3" s="20" t="s">
        <v>2687</v>
      </c>
      <c r="L3" s="31">
        <f>VLOOKUP($B3,PickedPlayers!D:Q,9,FALSE)</f>
        <v>0</v>
      </c>
      <c r="M3" s="30" t="str">
        <f>VLOOKUP($C3,Fixtures!A:I,5,FALSE)</f>
        <v>CAP</v>
      </c>
      <c r="N3" s="20" t="s">
        <v>2687</v>
      </c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2673</v>
      </c>
      <c r="B4" s="19" t="s">
        <v>507</v>
      </c>
      <c r="C4" s="29" t="s">
        <v>165</v>
      </c>
      <c r="D4" s="30" t="str">
        <f>VLOOKUP($C4,Fixtures!A:I,2,FALSE)</f>
        <v>QAT</v>
      </c>
      <c r="E4" s="20" t="s">
        <v>2686</v>
      </c>
      <c r="F4" s="31">
        <f>VLOOKUP($B4,PickedPlayers!D:Q,7,FALSE)</f>
        <v>0</v>
      </c>
      <c r="G4" s="30" t="str">
        <f>VLOOKUP($C4,Fixtures!A:I,3,FALSE)</f>
        <v>BOS</v>
      </c>
      <c r="H4" s="20" t="s">
        <v>2686</v>
      </c>
      <c r="I4" s="31">
        <f>VLOOKUP($B4,PickedPlayers!D:Q,8,FALSE)</f>
        <v>0</v>
      </c>
      <c r="J4" s="30" t="str">
        <f>VLOOKUP($C4,Fixtures!A:I,4,FALSE)</f>
        <v>CAN</v>
      </c>
      <c r="K4" s="20" t="s">
        <v>2686</v>
      </c>
      <c r="L4" s="31">
        <f>VLOOKUP($B4,PickedPlayers!D:Q,9,FALSE)</f>
        <v>0</v>
      </c>
      <c r="M4" s="30" t="str">
        <f>VLOOKUP($C4,Fixtures!A:I,5,FALSE)</f>
        <v>ALG</v>
      </c>
      <c r="N4" s="20" t="s">
        <v>2686</v>
      </c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2674</v>
      </c>
      <c r="B5" s="19" t="s">
        <v>362</v>
      </c>
      <c r="C5" s="29" t="s">
        <v>69</v>
      </c>
      <c r="D5" s="30" t="str">
        <f>VLOOKUP($C5,Fixtures!A:I,2,FALSE)</f>
        <v>JAP</v>
      </c>
      <c r="E5" s="20" t="s">
        <v>2687</v>
      </c>
      <c r="F5" s="31">
        <f>VLOOKUP($B5,PickedPlayers!D:Q,7,FALSE)</f>
        <v>0</v>
      </c>
      <c r="G5" s="30" t="str">
        <f>VLOOKUP($C5,Fixtures!A:I,3,FALSE)</f>
        <v>SWE</v>
      </c>
      <c r="H5" s="20" t="s">
        <v>2689</v>
      </c>
      <c r="I5" s="31">
        <f>VLOOKUP($B5,PickedPlayers!D:Q,8,FALSE)</f>
        <v>0</v>
      </c>
      <c r="J5" s="30" t="str">
        <f>VLOOKUP($C5,Fixtures!A:I,4,FALSE)</f>
        <v>TUN</v>
      </c>
      <c r="K5" s="20" t="s">
        <v>2687</v>
      </c>
      <c r="L5" s="31">
        <f>VLOOKUP($B5,PickedPlayers!D:Q,9,FALSE)</f>
        <v>0</v>
      </c>
      <c r="M5" s="30" t="str">
        <f>VLOOKUP($C5,Fixtures!A:I,5,FALSE)</f>
        <v>MOR</v>
      </c>
      <c r="N5" s="20" t="s">
        <v>2689</v>
      </c>
      <c r="O5" s="31">
        <f>VLOOKUP($B5,PickedPlayers!D:Q,10,FALSE)</f>
        <v>0</v>
      </c>
      <c r="P5" s="30" t="str">
        <f>VLOOKUP($C5,Fixtures!A:I,6,FALSE)</f>
        <v>out</v>
      </c>
      <c r="Q5" s="20"/>
      <c r="R5" s="31">
        <f>VLOOKUP($B5,PickedPlayers!D:Q,11,FALSE)</f>
        <v>0</v>
      </c>
      <c r="S5" s="30" t="str">
        <f>VLOOKUP($C5,Fixtures!A:I,7,FALSE)</f>
        <v>out</v>
      </c>
      <c r="T5" s="20"/>
      <c r="U5" s="31">
        <f>VLOOKUP($B5,PickedPlayers!D:Q,12,FALSE)</f>
        <v>0</v>
      </c>
      <c r="V5" s="30" t="str">
        <f>VLOOKUP($C5,Fixtures!A:I,8,FALSE)</f>
        <v>out</v>
      </c>
      <c r="W5" s="20"/>
      <c r="X5" s="31">
        <f>VLOOKUP($B5,PickedPlayers!D:Q,13,FALSE)</f>
        <v>0</v>
      </c>
      <c r="Y5" s="30" t="str">
        <f>VLOOKUP($C5,Fixtures!A:I,9,FALSE)</f>
        <v>out</v>
      </c>
      <c r="Z5" s="20"/>
      <c r="AA5" s="31">
        <f>VLOOKUP($B5,PickedPlayers!D:Q,14,FALSE)</f>
        <v>0</v>
      </c>
    </row>
    <row r="6" spans="1:27" x14ac:dyDescent="0.25">
      <c r="A6" s="28" t="s">
        <v>2674</v>
      </c>
      <c r="B6" s="19" t="s">
        <v>402</v>
      </c>
      <c r="C6" s="29" t="s">
        <v>123</v>
      </c>
      <c r="D6" s="30" t="str">
        <f>VLOOKUP($C6,Fixtures!A:I,2,FALSE)</f>
        <v>CAP</v>
      </c>
      <c r="E6" s="20" t="s">
        <v>2685</v>
      </c>
      <c r="F6" s="31">
        <f>VLOOKUP($B6,PickedPlayers!D:Q,7,FALSE)</f>
        <v>0</v>
      </c>
      <c r="G6" s="30" t="str">
        <f>VLOOKUP($C6,Fixtures!A:I,3,FALSE)</f>
        <v>SAU</v>
      </c>
      <c r="H6" s="20" t="s">
        <v>2687</v>
      </c>
      <c r="I6" s="31">
        <f>VLOOKUP($B6,PickedPlayers!D:Q,8,FALSE)</f>
        <v>0</v>
      </c>
      <c r="J6" s="30" t="str">
        <f>VLOOKUP($C6,Fixtures!A:I,4,FALSE)</f>
        <v>URU</v>
      </c>
      <c r="K6" s="20" t="s">
        <v>2685</v>
      </c>
      <c r="L6" s="31">
        <f>VLOOKUP($B6,PickedPlayers!D:Q,9,FALSE)</f>
        <v>0</v>
      </c>
      <c r="M6" s="30" t="str">
        <f>VLOOKUP($C6,Fixtures!A:I,5,FALSE)</f>
        <v>AUS</v>
      </c>
      <c r="N6" s="20" t="s">
        <v>2687</v>
      </c>
      <c r="O6" s="31">
        <f>VLOOKUP($B6,PickedPlayers!D:Q,10,FALSE)</f>
        <v>0</v>
      </c>
      <c r="P6" s="30" t="str">
        <f>VLOOKUP($C6,Fixtures!A:I,6,FALSE)</f>
        <v>POR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2674</v>
      </c>
      <c r="B7" s="19" t="s">
        <v>432</v>
      </c>
      <c r="C7" s="29" t="s">
        <v>113</v>
      </c>
      <c r="D7" s="30" t="str">
        <f>VLOOKUP($C7,Fixtures!A:I,2,FALSE)</f>
        <v>EGY</v>
      </c>
      <c r="E7" s="20" t="s">
        <v>2687</v>
      </c>
      <c r="F7" s="31">
        <f>VLOOKUP($B7,PickedPlayers!D:Q,7,FALSE)</f>
        <v>0</v>
      </c>
      <c r="G7" s="30" t="str">
        <f>VLOOKUP($C7,Fixtures!A:I,3,FALSE)</f>
        <v>IRA</v>
      </c>
      <c r="H7" s="20" t="s">
        <v>2687</v>
      </c>
      <c r="I7" s="31">
        <f>VLOOKUP($B7,PickedPlayers!D:Q,8,FALSE)</f>
        <v>0</v>
      </c>
      <c r="J7" s="30" t="str">
        <f>VLOOKUP($C7,Fixtures!A:I,4,FALSE)</f>
        <v>NZL</v>
      </c>
      <c r="K7" s="20" t="s">
        <v>2687</v>
      </c>
      <c r="L7" s="31">
        <f>VLOOKUP($B7,PickedPlayers!D:Q,9,FALSE)</f>
        <v>0</v>
      </c>
      <c r="M7" s="30" t="str">
        <f>VLOOKUP($C7,Fixtures!A:I,5,FALSE)</f>
        <v>SEN</v>
      </c>
      <c r="N7" s="20" t="s">
        <v>2687</v>
      </c>
      <c r="O7" s="31">
        <f>VLOOKUP($B7,PickedPlayers!D:Q,10,FALSE)</f>
        <v>0</v>
      </c>
      <c r="P7" s="30" t="str">
        <f>VLOOKUP($C7,Fixtures!A:I,6,FALSE)</f>
        <v>USA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2674</v>
      </c>
      <c r="B8" s="19" t="s">
        <v>442</v>
      </c>
      <c r="C8" s="29" t="s">
        <v>109</v>
      </c>
      <c r="D8" s="30" t="str">
        <f>VLOOKUP($C8,Fixtures!A:I,2,FALSE)</f>
        <v>CRO</v>
      </c>
      <c r="E8" s="20" t="s">
        <v>2689</v>
      </c>
      <c r="F8" s="31">
        <f>VLOOKUP($B8,PickedPlayers!D:Q,7,FALSE)</f>
        <v>0</v>
      </c>
      <c r="G8" s="30" t="str">
        <f>VLOOKUP($C8,Fixtures!A:I,3,FALSE)</f>
        <v>GHA</v>
      </c>
      <c r="H8" s="20" t="s">
        <v>2687</v>
      </c>
      <c r="I8" s="31">
        <f>VLOOKUP($B8,PickedPlayers!D:Q,8,FALSE)</f>
        <v>0</v>
      </c>
      <c r="J8" s="30" t="str">
        <f>VLOOKUP($C8,Fixtures!A:I,4,FALSE)</f>
        <v>PAN</v>
      </c>
      <c r="K8" s="20" t="s">
        <v>2687</v>
      </c>
      <c r="L8" s="31">
        <f>VLOOKUP($B8,PickedPlayers!D:Q,9,FALSE)</f>
        <v>0</v>
      </c>
      <c r="M8" s="30" t="str">
        <f>VLOOKUP($C8,Fixtures!A:I,5,FALSE)</f>
        <v>CON</v>
      </c>
      <c r="N8" s="20" t="s">
        <v>2687</v>
      </c>
      <c r="O8" s="31">
        <f>VLOOKUP($B8,PickedPlayers!D:Q,10,FALSE)</f>
        <v>0</v>
      </c>
      <c r="P8" s="30" t="str">
        <f>VLOOKUP($C8,Fixtures!A:I,6,FALSE)</f>
        <v>MEX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2674</v>
      </c>
      <c r="B9" s="19" t="s">
        <v>493</v>
      </c>
      <c r="C9" s="29" t="s">
        <v>74</v>
      </c>
      <c r="D9" s="30" t="str">
        <f>VLOOKUP($C9,Fixtures!A:I,2,FALSE)</f>
        <v>CUR</v>
      </c>
      <c r="E9" s="20" t="s">
        <v>2692</v>
      </c>
      <c r="F9" s="31">
        <f>VLOOKUP($B9,PickedPlayers!D:Q,7,FALSE)</f>
        <v>0</v>
      </c>
      <c r="G9" s="30" t="str">
        <f>VLOOKUP($C9,Fixtures!A:I,3,FALSE)</f>
        <v>IVO</v>
      </c>
      <c r="H9" s="20" t="s">
        <v>2687</v>
      </c>
      <c r="I9" s="31">
        <f>VLOOKUP($B9,PickedPlayers!D:Q,8,FALSE)</f>
        <v>0</v>
      </c>
      <c r="J9" s="30" t="str">
        <f>VLOOKUP($C9,Fixtures!A:I,4,FALSE)</f>
        <v>ECU</v>
      </c>
      <c r="K9" s="20" t="s">
        <v>2689</v>
      </c>
      <c r="L9" s="31">
        <f>VLOOKUP($B9,PickedPlayers!D:Q,9,FALSE)</f>
        <v>0</v>
      </c>
      <c r="M9" s="58" t="s">
        <v>2693</v>
      </c>
      <c r="N9" s="59"/>
      <c r="O9" s="60"/>
      <c r="P9" s="58" t="s">
        <v>2693</v>
      </c>
      <c r="Q9" s="59"/>
      <c r="R9" s="60"/>
      <c r="S9" s="58" t="s">
        <v>2693</v>
      </c>
      <c r="T9" s="59"/>
      <c r="U9" s="60"/>
      <c r="V9" s="58" t="s">
        <v>2693</v>
      </c>
      <c r="W9" s="59"/>
      <c r="X9" s="60"/>
      <c r="Y9" s="58" t="s">
        <v>2693</v>
      </c>
      <c r="Z9" s="59"/>
      <c r="AA9" s="60"/>
    </row>
    <row r="10" spans="1:27" x14ac:dyDescent="0.25">
      <c r="A10" s="28" t="s">
        <v>2674</v>
      </c>
      <c r="B10" s="19" t="s">
        <v>539</v>
      </c>
      <c r="C10" s="29" t="s">
        <v>74</v>
      </c>
      <c r="D10" s="30"/>
      <c r="E10" s="20"/>
      <c r="F10" s="31"/>
      <c r="G10" s="30"/>
      <c r="H10" s="20"/>
      <c r="I10" s="31"/>
      <c r="J10" s="30"/>
      <c r="K10" s="20"/>
      <c r="L10" s="31"/>
      <c r="M10" s="30" t="str">
        <f>VLOOKUP($C10,Fixtures!A:I,5,FALSE)</f>
        <v>PAR</v>
      </c>
      <c r="N10" s="20" t="s">
        <v>2687</v>
      </c>
      <c r="O10" s="31">
        <f>VLOOKUP($B10,PickedPlayers!D:Q,10,FALSE)</f>
        <v>0</v>
      </c>
      <c r="P10" s="30" t="str">
        <f>VLOOKUP($C10,Fixtures!A:I,6,FALSE)</f>
        <v>out</v>
      </c>
      <c r="Q10" s="20"/>
      <c r="R10" s="31">
        <f>VLOOKUP($B10,PickedPlayers!D:Q,11,FALSE)</f>
        <v>0</v>
      </c>
      <c r="S10" s="30" t="str">
        <f>VLOOKUP($C10,Fixtures!A:I,7,FALSE)</f>
        <v>out</v>
      </c>
      <c r="T10" s="20"/>
      <c r="U10" s="31">
        <f>VLOOKUP($B10,PickedPlayers!D:Q,12,FALSE)</f>
        <v>0</v>
      </c>
      <c r="V10" s="30" t="str">
        <f>VLOOKUP($C10,Fixtures!A:I,8,FALSE)</f>
        <v>out</v>
      </c>
      <c r="W10" s="20"/>
      <c r="X10" s="31">
        <f>VLOOKUP($B10,PickedPlayers!D:Q,13,FALSE)</f>
        <v>0</v>
      </c>
      <c r="Y10" s="30" t="str">
        <f>VLOOKUP($C10,Fixtures!A:I,9,FALSE)</f>
        <v>out</v>
      </c>
      <c r="Z10" s="20"/>
      <c r="AA10" s="31">
        <f>VLOOKUP($B10,PickedPlayers!D:Q,14,FALSE)</f>
        <v>0</v>
      </c>
    </row>
    <row r="11" spans="1:27" x14ac:dyDescent="0.25">
      <c r="A11" s="28" t="s">
        <v>2675</v>
      </c>
      <c r="B11" s="19" t="s">
        <v>293</v>
      </c>
      <c r="C11" s="29" t="s">
        <v>101</v>
      </c>
      <c r="D11" s="30" t="str">
        <f>VLOOKUP($C11,Fixtures!A:I,2,FALSE)</f>
        <v>CON</v>
      </c>
      <c r="E11" s="20" t="s">
        <v>2687</v>
      </c>
      <c r="F11" s="31">
        <f>VLOOKUP($B11,PickedPlayers!D:Q,7,FALSE)</f>
        <v>0</v>
      </c>
      <c r="G11" s="30" t="str">
        <f>VLOOKUP($C11,Fixtures!A:I,3,FALSE)</f>
        <v>UZB</v>
      </c>
      <c r="H11" s="20" t="s">
        <v>2687</v>
      </c>
      <c r="I11" s="31">
        <f>VLOOKUP($B11,PickedPlayers!D:Q,8,FALSE)</f>
        <v>0</v>
      </c>
      <c r="J11" s="30" t="str">
        <f>VLOOKUP($C11,Fixtures!A:I,4,FALSE)</f>
        <v>COL</v>
      </c>
      <c r="K11" s="20" t="s">
        <v>2687</v>
      </c>
      <c r="L11" s="31">
        <f>VLOOKUP($B11,PickedPlayers!D:Q,9,FALSE)</f>
        <v>0</v>
      </c>
      <c r="M11" s="30" t="str">
        <f>VLOOKUP($C11,Fixtures!A:I,5,FALSE)</f>
        <v>CRO</v>
      </c>
      <c r="N11" s="20" t="s">
        <v>2687</v>
      </c>
      <c r="O11" s="31">
        <f>VLOOKUP($B11,PickedPlayers!D:Q,10,FALSE)</f>
        <v>0</v>
      </c>
      <c r="P11" s="30" t="str">
        <f>VLOOKUP($C11,Fixtures!A:I,6,FALSE)</f>
        <v>SPA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2675</v>
      </c>
      <c r="B12" s="19" t="s">
        <v>384</v>
      </c>
      <c r="C12" s="29" t="s">
        <v>123</v>
      </c>
      <c r="D12" s="30" t="str">
        <f>VLOOKUP($C12,Fixtures!A:I,2,FALSE)</f>
        <v>CAP</v>
      </c>
      <c r="E12" s="20" t="s">
        <v>2687</v>
      </c>
      <c r="F12" s="31">
        <f>VLOOKUP($B12,PickedPlayers!D:Q,7,FALSE)</f>
        <v>0</v>
      </c>
      <c r="G12" s="30" t="str">
        <f>VLOOKUP($C12,Fixtures!A:I,3,FALSE)</f>
        <v>SAU</v>
      </c>
      <c r="H12" s="20" t="s">
        <v>2687</v>
      </c>
      <c r="I12" s="31">
        <f>VLOOKUP($B12,PickedPlayers!D:Q,8,FALSE)</f>
        <v>0</v>
      </c>
      <c r="J12" s="30" t="str">
        <f>VLOOKUP($C12,Fixtures!A:I,4,FALSE)</f>
        <v>URU</v>
      </c>
      <c r="K12" s="20" t="s">
        <v>2687</v>
      </c>
      <c r="L12" s="31">
        <f>VLOOKUP($B12,PickedPlayers!D:Q,9,FALSE)</f>
        <v>0</v>
      </c>
      <c r="M12" s="30" t="str">
        <f>VLOOKUP($C12,Fixtures!A:I,5,FALSE)</f>
        <v>AUS</v>
      </c>
      <c r="N12" s="20" t="s">
        <v>2687</v>
      </c>
      <c r="O12" s="31">
        <f>VLOOKUP($B12,PickedPlayers!D:Q,10,FALSE)</f>
        <v>0</v>
      </c>
      <c r="P12" s="30" t="str">
        <f>VLOOKUP($C12,Fixtures!A:I,6,FALSE)</f>
        <v>POR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2675</v>
      </c>
      <c r="B13" s="19" t="s">
        <v>471</v>
      </c>
      <c r="C13" s="29" t="s">
        <v>69</v>
      </c>
      <c r="D13" s="30" t="str">
        <f>VLOOKUP($C13,Fixtures!A:I,2,FALSE)</f>
        <v>JAP</v>
      </c>
      <c r="E13" s="20" t="s">
        <v>2687</v>
      </c>
      <c r="F13" s="31">
        <f>VLOOKUP($B13,PickedPlayers!D:Q,7,FALSE)</f>
        <v>0</v>
      </c>
      <c r="G13" s="30" t="str">
        <f>VLOOKUP($C13,Fixtures!A:I,3,FALSE)</f>
        <v>SWE</v>
      </c>
      <c r="H13" s="20" t="s">
        <v>2687</v>
      </c>
      <c r="I13" s="31">
        <f>VLOOKUP($B13,PickedPlayers!D:Q,8,FALSE)</f>
        <v>0</v>
      </c>
      <c r="J13" s="30" t="str">
        <f>VLOOKUP($C13,Fixtures!A:I,4,FALSE)</f>
        <v>TUN</v>
      </c>
      <c r="K13" s="20" t="s">
        <v>2687</v>
      </c>
      <c r="L13" s="31">
        <f>VLOOKUP($B13,PickedPlayers!D:Q,9,FALSE)</f>
        <v>0</v>
      </c>
      <c r="M13" s="30" t="str">
        <f>VLOOKUP($C13,Fixtures!A:I,5,FALSE)</f>
        <v>MOR</v>
      </c>
      <c r="N13" s="20" t="s">
        <v>2690</v>
      </c>
      <c r="O13" s="31">
        <f>VLOOKUP($B13,PickedPlayers!D:Q,10,FALSE)</f>
        <v>0</v>
      </c>
      <c r="P13" s="30" t="str">
        <f>VLOOKUP($C13,Fixtures!A:I,6,FALSE)</f>
        <v>out</v>
      </c>
      <c r="Q13" s="20"/>
      <c r="R13" s="31">
        <f>VLOOKUP($B13,PickedPlayers!D:Q,11,FALSE)</f>
        <v>0</v>
      </c>
      <c r="S13" s="30" t="str">
        <f>VLOOKUP($C13,Fixtures!A:I,7,FALSE)</f>
        <v>out</v>
      </c>
      <c r="T13" s="20"/>
      <c r="U13" s="31">
        <f>VLOOKUP($B13,PickedPlayers!D:Q,12,FALSE)</f>
        <v>0</v>
      </c>
      <c r="V13" s="30" t="str">
        <f>VLOOKUP($C13,Fixtures!A:I,8,FALSE)</f>
        <v>out</v>
      </c>
      <c r="W13" s="20"/>
      <c r="X13" s="31">
        <f>VLOOKUP($B13,PickedPlayers!D:Q,13,FALSE)</f>
        <v>0</v>
      </c>
      <c r="Y13" s="30" t="str">
        <f>VLOOKUP($C13,Fixtures!A:I,9,FALSE)</f>
        <v>out</v>
      </c>
      <c r="Z13" s="20"/>
      <c r="AA13" s="31">
        <f>VLOOKUP($B13,PickedPlayers!D:Q,14,FALSE)</f>
        <v>0</v>
      </c>
    </row>
    <row r="14" spans="1:27" x14ac:dyDescent="0.25">
      <c r="A14" s="28" t="s">
        <v>2675</v>
      </c>
      <c r="B14" s="19" t="s">
        <v>533</v>
      </c>
      <c r="C14" s="29" t="s">
        <v>2699</v>
      </c>
      <c r="D14" s="30" t="str">
        <f>VLOOKUP($C14,Fixtures!A:I,2,FALSE)</f>
        <v>ECU</v>
      </c>
      <c r="E14" s="20" t="s">
        <v>2687</v>
      </c>
      <c r="F14" s="31">
        <f>VLOOKUP($B14,PickedPlayers!D:Q,7,FALSE)</f>
        <v>0</v>
      </c>
      <c r="G14" s="30" t="str">
        <f>VLOOKUP($C14,Fixtures!A:I,3,FALSE)</f>
        <v>GER</v>
      </c>
      <c r="H14" s="20" t="s">
        <v>2690</v>
      </c>
      <c r="I14" s="31">
        <f>VLOOKUP($B14,PickedPlayers!D:Q,8,FALSE)</f>
        <v>0</v>
      </c>
      <c r="J14" s="30" t="str">
        <f>VLOOKUP($C14,Fixtures!A:I,4,FALSE)</f>
        <v>CUR</v>
      </c>
      <c r="K14" s="20" t="s">
        <v>2687</v>
      </c>
      <c r="L14" s="31">
        <f>VLOOKUP($B14,PickedPlayers!D:Q,9,FALSE)</f>
        <v>0</v>
      </c>
      <c r="M14" s="30" t="str">
        <f>VLOOKUP($C14,Fixtures!A:I,5,FALSE)</f>
        <v>NOR</v>
      </c>
      <c r="N14" s="20" t="s">
        <v>2687</v>
      </c>
      <c r="O14" s="31">
        <f>VLOOKUP($B14,PickedPlayers!D:Q,10,FALSE)</f>
        <v>0</v>
      </c>
      <c r="P14" s="30" t="str">
        <f>VLOOKUP($C14,Fixtures!A:I,6,FALSE)</f>
        <v>out</v>
      </c>
      <c r="Q14" s="20"/>
      <c r="R14" s="31">
        <f>VLOOKUP($B14,PickedPlayers!D:Q,11,FALSE)</f>
        <v>0</v>
      </c>
      <c r="S14" s="30" t="str">
        <f>VLOOKUP($C14,Fixtures!A:I,7,FALSE)</f>
        <v>out</v>
      </c>
      <c r="T14" s="20"/>
      <c r="U14" s="31">
        <f>VLOOKUP($B14,PickedPlayers!D:Q,12,FALSE)</f>
        <v>0</v>
      </c>
      <c r="V14" s="30" t="str">
        <f>VLOOKUP($C14,Fixtures!A:I,8,FALSE)</f>
        <v>out</v>
      </c>
      <c r="W14" s="20"/>
      <c r="X14" s="31">
        <f>VLOOKUP($B14,PickedPlayers!D:Q,13,FALSE)</f>
        <v>0</v>
      </c>
      <c r="Y14" s="30" t="str">
        <f>VLOOKUP($C14,Fixtures!A:I,9,FALSE)</f>
        <v>out</v>
      </c>
      <c r="Z14" s="20"/>
      <c r="AA14" s="31">
        <f>VLOOKUP($B14,PickedPlayers!D:Q,14,FALSE)</f>
        <v>0</v>
      </c>
    </row>
    <row r="15" spans="1:27" x14ac:dyDescent="0.25">
      <c r="A15" s="28" t="s">
        <v>2677</v>
      </c>
      <c r="B15" s="19" t="s">
        <v>300</v>
      </c>
      <c r="C15" s="29" t="s">
        <v>40</v>
      </c>
      <c r="D15" s="30" t="str">
        <f>VLOOKUP($C15,Fixtures!A:I,2,FALSE)</f>
        <v>ALG</v>
      </c>
      <c r="E15" s="20" t="s">
        <v>2691</v>
      </c>
      <c r="F15" s="31">
        <f>VLOOKUP($B15,PickedPlayers!D:Q,7,FALSE)</f>
        <v>0</v>
      </c>
      <c r="G15" s="30" t="str">
        <f>VLOOKUP($C15,Fixtures!A:I,3,FALSE)</f>
        <v>AUT</v>
      </c>
      <c r="H15" s="20" t="s">
        <v>2687</v>
      </c>
      <c r="I15" s="31">
        <f>VLOOKUP($B15,PickedPlayers!D:Q,8,FALSE)</f>
        <v>0</v>
      </c>
      <c r="J15" s="30" t="str">
        <f>VLOOKUP($C15,Fixtures!A:I,4,FALSE)</f>
        <v>JOR</v>
      </c>
      <c r="K15" s="20" t="s">
        <v>2688</v>
      </c>
      <c r="L15" s="31">
        <f>VLOOKUP($B15,PickedPlayers!D:Q,9,FALSE)</f>
        <v>0</v>
      </c>
      <c r="M15" s="30" t="str">
        <f>VLOOKUP($C15,Fixtures!A:I,5,FALSE)</f>
        <v>CAP</v>
      </c>
      <c r="N15" s="20" t="s">
        <v>2688</v>
      </c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2677</v>
      </c>
      <c r="B16" s="19" t="s">
        <v>318</v>
      </c>
      <c r="C16" s="29" t="s">
        <v>109</v>
      </c>
      <c r="D16" s="30" t="str">
        <f>VLOOKUP($C16,Fixtures!A:I,2,FALSE)</f>
        <v>CRO</v>
      </c>
      <c r="E16" s="20" t="s">
        <v>2687</v>
      </c>
      <c r="F16" s="31">
        <f>VLOOKUP($B16,PickedPlayers!D:Q,7,FALSE)</f>
        <v>0</v>
      </c>
      <c r="G16" s="30" t="str">
        <f>VLOOKUP($C16,Fixtures!A:I,3,FALSE)</f>
        <v>GHA</v>
      </c>
      <c r="H16" s="20" t="s">
        <v>2695</v>
      </c>
      <c r="I16" s="31">
        <f>VLOOKUP($B16,PickedPlayers!D:Q,8,FALSE)</f>
        <v>0</v>
      </c>
      <c r="J16" s="30" t="str">
        <f>VLOOKUP($C16,Fixtures!A:I,4,FALSE)</f>
        <v>PAN</v>
      </c>
      <c r="K16" s="20" t="s">
        <v>2687</v>
      </c>
      <c r="L16" s="31">
        <f>VLOOKUP($B16,PickedPlayers!D:Q,9,FALSE)</f>
        <v>0</v>
      </c>
      <c r="M16" s="30" t="str">
        <f>VLOOKUP($C16,Fixtures!A:I,5,FALSE)</f>
        <v>CON</v>
      </c>
      <c r="N16" s="20" t="s">
        <v>2687</v>
      </c>
      <c r="O16" s="31">
        <f>VLOOKUP($B16,PickedPlayers!D:Q,10,FALSE)</f>
        <v>0</v>
      </c>
      <c r="P16" s="30" t="str">
        <f>VLOOKUP($C16,Fixtures!A:I,6,FALSE)</f>
        <v>MEX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2677</v>
      </c>
      <c r="B17" s="19" t="s">
        <v>360</v>
      </c>
      <c r="C17" s="29" t="s">
        <v>100</v>
      </c>
      <c r="D17" s="30" t="str">
        <f>VLOOKUP($C17,Fixtures!A:I,2,FALSE)</f>
        <v>UZB</v>
      </c>
      <c r="E17" s="20" t="s">
        <v>2687</v>
      </c>
      <c r="F17" s="31">
        <f>VLOOKUP($B17,PickedPlayers!D:Q,7,FALSE)</f>
        <v>0</v>
      </c>
      <c r="G17" s="30" t="str">
        <f>VLOOKUP($C17,Fixtures!A:I,3,FALSE)</f>
        <v>CON</v>
      </c>
      <c r="H17" s="20" t="s">
        <v>2691</v>
      </c>
      <c r="I17" s="31">
        <f>VLOOKUP($B17,PickedPlayers!D:Q,8,FALSE)</f>
        <v>0</v>
      </c>
      <c r="J17" s="30" t="str">
        <f>VLOOKUP($C17,Fixtures!A:I,4,FALSE)</f>
        <v>POR</v>
      </c>
      <c r="K17" s="20" t="s">
        <v>2687</v>
      </c>
      <c r="L17" s="31">
        <f>VLOOKUP($B17,PickedPlayers!D:Q,9,FALSE)</f>
        <v>0</v>
      </c>
      <c r="M17" s="30" t="str">
        <f>VLOOKUP($C17,Fixtures!A:I,5,FALSE)</f>
        <v>GHA</v>
      </c>
      <c r="N17" s="20" t="s">
        <v>2691</v>
      </c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x14ac:dyDescent="0.25">
      <c r="A18" s="28" t="s">
        <v>2677</v>
      </c>
      <c r="B18" s="19" t="s">
        <v>418</v>
      </c>
      <c r="C18" s="29" t="s">
        <v>46</v>
      </c>
      <c r="D18" s="30" t="str">
        <f>VLOOKUP($C18,Fixtures!A:I,2,FALSE)</f>
        <v>BEL</v>
      </c>
      <c r="E18" s="20" t="s">
        <v>2695</v>
      </c>
      <c r="F18" s="31">
        <f>VLOOKUP($B18,PickedPlayers!D:Q,7,FALSE)</f>
        <v>0</v>
      </c>
      <c r="G18" s="30" t="str">
        <f>VLOOKUP($C18,Fixtures!A:I,3,FALSE)</f>
        <v>NZL</v>
      </c>
      <c r="H18" s="20" t="s">
        <v>2692</v>
      </c>
      <c r="I18" s="31">
        <f>VLOOKUP($B18,PickedPlayers!D:Q,8,FALSE)</f>
        <v>0</v>
      </c>
      <c r="J18" s="30" t="str">
        <f>VLOOKUP($C18,Fixtures!A:I,4,FALSE)</f>
        <v>IRA</v>
      </c>
      <c r="K18" s="20" t="s">
        <v>2692</v>
      </c>
      <c r="L18" s="31">
        <f>VLOOKUP($B18,PickedPlayers!D:Q,9,FALSE)</f>
        <v>0</v>
      </c>
      <c r="M18" s="30" t="str">
        <f>VLOOKUP($C18,Fixtures!A:I,5,FALSE)</f>
        <v>AUS</v>
      </c>
      <c r="N18" s="20" t="s">
        <v>2692</v>
      </c>
      <c r="O18" s="31">
        <f>VLOOKUP($B18,PickedPlayers!D:Q,10,FALSE)</f>
        <v>0</v>
      </c>
      <c r="P18" s="30" t="str">
        <f>VLOOKUP($C18,Fixtures!A:I,6,FALSE)</f>
        <v>TBC</v>
      </c>
      <c r="Q18" s="20"/>
      <c r="R18" s="31">
        <f>VLOOKUP($B18,PickedPlayers!D:Q,11,FALSE)</f>
        <v>0</v>
      </c>
      <c r="S18" s="30" t="str">
        <f>VLOOKUP($C18,Fixtures!A:I,7,FALSE)</f>
        <v>TBC</v>
      </c>
      <c r="T18" s="20"/>
      <c r="U18" s="31">
        <f>VLOOKUP($B18,PickedPlayers!D:Q,12,FALSE)</f>
        <v>0</v>
      </c>
      <c r="V18" s="30" t="str">
        <f>VLOOKUP($C18,Fixtures!A:I,8,FALSE)</f>
        <v>TBC</v>
      </c>
      <c r="W18" s="20"/>
      <c r="X18" s="31">
        <f>VLOOKUP($B18,PickedPlayers!D:Q,13,FALSE)</f>
        <v>0</v>
      </c>
      <c r="Y18" s="30" t="str">
        <f>VLOOKUP($C18,Fixtures!A:I,9,FALSE)</f>
        <v>TBC</v>
      </c>
      <c r="Z18" s="20"/>
      <c r="AA18" s="31">
        <f>VLOOKUP($B18,PickedPlayers!D:Q,14,FALSE)</f>
        <v>0</v>
      </c>
    </row>
    <row r="19" spans="1:27" ht="15.75" thickBot="1" x14ac:dyDescent="0.3">
      <c r="A19" s="32" t="s">
        <v>2677</v>
      </c>
      <c r="B19" s="33" t="s">
        <v>483</v>
      </c>
      <c r="C19" s="34" t="s">
        <v>69</v>
      </c>
      <c r="D19" s="30" t="str">
        <f>VLOOKUP($C19,Fixtures!A:I,2,FALSE)</f>
        <v>JAP</v>
      </c>
      <c r="E19" s="35" t="s">
        <v>2688</v>
      </c>
      <c r="F19" s="31">
        <f>VLOOKUP($B19,PickedPlayers!D:Q,7,FALSE)</f>
        <v>0</v>
      </c>
      <c r="G19" s="30" t="str">
        <f>VLOOKUP($C19,Fixtures!A:I,3,FALSE)</f>
        <v>SWE</v>
      </c>
      <c r="H19" s="35" t="s">
        <v>2688</v>
      </c>
      <c r="I19" s="31">
        <f>VLOOKUP($B19,PickedPlayers!D:Q,8,FALSE)</f>
        <v>0</v>
      </c>
      <c r="J19" s="30" t="str">
        <f>VLOOKUP($C19,Fixtures!A:I,4,FALSE)</f>
        <v>TUN</v>
      </c>
      <c r="K19" s="35" t="s">
        <v>2695</v>
      </c>
      <c r="L19" s="31">
        <f>VLOOKUP($B19,PickedPlayers!D:Q,9,FALSE)</f>
        <v>0</v>
      </c>
      <c r="M19" s="30" t="str">
        <f>VLOOKUP($C19,Fixtures!A:I,5,FALSE)</f>
        <v>MOR</v>
      </c>
      <c r="N19" s="35" t="s">
        <v>2695</v>
      </c>
      <c r="O19" s="31">
        <f>VLOOKUP($B19,PickedPlayers!D:Q,10,FALSE)</f>
        <v>0</v>
      </c>
      <c r="P19" s="30" t="str">
        <f>VLOOKUP($C19,Fixtures!A:I,6,FALSE)</f>
        <v>out</v>
      </c>
      <c r="Q19" s="35"/>
      <c r="R19" s="31">
        <f>VLOOKUP($B19,PickedPlayers!D:Q,11,FALSE)</f>
        <v>0</v>
      </c>
      <c r="S19" s="30" t="str">
        <f>VLOOKUP($C19,Fixtures!A:I,7,FALSE)</f>
        <v>out</v>
      </c>
      <c r="T19" s="35"/>
      <c r="U19" s="31">
        <f>VLOOKUP($B19,PickedPlayers!D:Q,12,FALSE)</f>
        <v>0</v>
      </c>
      <c r="V19" s="30" t="str">
        <f>VLOOKUP($C19,Fixtures!A:I,8,FALSE)</f>
        <v>out</v>
      </c>
      <c r="W19" s="35"/>
      <c r="X19" s="31">
        <f>VLOOKUP($B19,PickedPlayers!D:Q,13,FALSE)</f>
        <v>0</v>
      </c>
      <c r="Y19" s="30" t="str">
        <f>VLOOKUP($C19,Fixtures!A:I,9,FALSE)</f>
        <v>out</v>
      </c>
      <c r="Z19" s="35"/>
      <c r="AA19" s="31">
        <f>VLOOKUP($B19,PickedPlayers!D:Q,14,FALSE)</f>
        <v>0</v>
      </c>
    </row>
    <row r="20" spans="1:27" s="18" customFormat="1" x14ac:dyDescent="0.25">
      <c r="A20" s="82"/>
      <c r="B20" s="83"/>
      <c r="C20" s="84"/>
      <c r="D20" s="67"/>
      <c r="E20" s="68"/>
      <c r="F20" s="69"/>
      <c r="G20" s="67"/>
      <c r="H20" s="68"/>
      <c r="I20" s="69"/>
      <c r="J20" s="67"/>
      <c r="K20" s="68"/>
      <c r="L20" s="69"/>
      <c r="M20" s="67"/>
      <c r="N20" s="68"/>
      <c r="O20" s="69"/>
      <c r="P20" s="67"/>
      <c r="Q20" s="68"/>
      <c r="R20" s="69"/>
      <c r="S20" s="67"/>
      <c r="T20" s="68"/>
      <c r="U20" s="69"/>
      <c r="V20" s="67"/>
      <c r="W20" s="68"/>
      <c r="X20" s="69"/>
      <c r="Y20" s="67"/>
      <c r="Z20" s="68"/>
      <c r="AA20" s="69"/>
    </row>
    <row r="21" spans="1:27" s="18" customFormat="1" ht="15.75" thickBot="1" x14ac:dyDescent="0.3">
      <c r="A21" s="85"/>
      <c r="B21" s="86"/>
      <c r="C21" s="87"/>
      <c r="D21" s="70"/>
      <c r="E21" s="71"/>
      <c r="F21" s="72"/>
      <c r="G21" s="70"/>
      <c r="H21" s="71"/>
      <c r="I21" s="72"/>
      <c r="J21" s="70"/>
      <c r="K21" s="71"/>
      <c r="L21" s="72"/>
      <c r="M21" s="70"/>
      <c r="N21" s="71"/>
      <c r="O21" s="72"/>
      <c r="P21" s="70"/>
      <c r="Q21" s="71"/>
      <c r="R21" s="72"/>
      <c r="S21" s="70"/>
      <c r="T21" s="71"/>
      <c r="U21" s="72"/>
      <c r="V21" s="70"/>
      <c r="W21" s="71"/>
      <c r="X21" s="72"/>
      <c r="Y21" s="70"/>
      <c r="Z21" s="71"/>
      <c r="AA21" s="72"/>
    </row>
    <row r="22" spans="1:27" ht="15" hidden="1" customHeight="1" x14ac:dyDescent="0.25">
      <c r="D22" s="21"/>
      <c r="E22" s="21"/>
      <c r="F22" s="21"/>
    </row>
  </sheetData>
  <mergeCells count="18">
    <mergeCell ref="V20:X21"/>
    <mergeCell ref="Y20:AA21"/>
    <mergeCell ref="S1:U1"/>
    <mergeCell ref="V1:X1"/>
    <mergeCell ref="Y1:AA1"/>
    <mergeCell ref="P20:R21"/>
    <mergeCell ref="S20:U21"/>
    <mergeCell ref="A1:C1"/>
    <mergeCell ref="D1:F1"/>
    <mergeCell ref="G1:I1"/>
    <mergeCell ref="J1:L1"/>
    <mergeCell ref="M1:O1"/>
    <mergeCell ref="P1:R1"/>
    <mergeCell ref="D20:F21"/>
    <mergeCell ref="G20:I21"/>
    <mergeCell ref="J20:L21"/>
    <mergeCell ref="M20:O21"/>
    <mergeCell ref="A20:C21"/>
  </mergeCells>
  <conditionalFormatting sqref="E3:E19">
    <cfRule type="containsText" dxfId="96" priority="73" operator="containsText" text="Vice Captain">
      <formula>NOT(ISERROR(SEARCH("Vice Captain",E3)))</formula>
    </cfRule>
    <cfRule type="containsText" dxfId="95" priority="74" operator="containsText" text="Off">
      <formula>NOT(ISERROR(SEARCH("Off",E3)))</formula>
    </cfRule>
    <cfRule type="containsText" dxfId="94" priority="75" operator="containsText" text="Sub">
      <formula>NOT(ISERROR(SEARCH("Sub",E3)))</formula>
    </cfRule>
    <cfRule type="containsText" dxfId="93" priority="76" operator="containsText" text="Captain">
      <formula>NOT(ISERROR(SEARCH("Captain",E3)))</formula>
    </cfRule>
    <cfRule type="containsText" dxfId="92" priority="77" operator="containsText" text="Picked">
      <formula>NOT(ISERROR(SEARCH("Picked",E3)))</formula>
    </cfRule>
  </conditionalFormatting>
  <conditionalFormatting sqref="H3:H19">
    <cfRule type="containsText" dxfId="91" priority="66" operator="containsText" text="Vice Captain">
      <formula>NOT(ISERROR(SEARCH("Vice Captain",H3)))</formula>
    </cfRule>
    <cfRule type="containsText" dxfId="90" priority="67" operator="containsText" text="Off">
      <formula>NOT(ISERROR(SEARCH("Off",H3)))</formula>
    </cfRule>
    <cfRule type="containsText" dxfId="89" priority="68" operator="containsText" text="Sub">
      <formula>NOT(ISERROR(SEARCH("Sub",H3)))</formula>
    </cfRule>
    <cfRule type="containsText" dxfId="88" priority="69" operator="containsText" text="Captain">
      <formula>NOT(ISERROR(SEARCH("Captain",H3)))</formula>
    </cfRule>
    <cfRule type="containsText" dxfId="87" priority="70" operator="containsText" text="Picked">
      <formula>NOT(ISERROR(SEARCH("Picked",H3)))</formula>
    </cfRule>
  </conditionalFormatting>
  <conditionalFormatting sqref="K3:K19">
    <cfRule type="containsText" dxfId="86" priority="61" operator="containsText" text="Vice Captain">
      <formula>NOT(ISERROR(SEARCH("Vice Captain",K3)))</formula>
    </cfRule>
    <cfRule type="containsText" dxfId="85" priority="62" operator="containsText" text="Off">
      <formula>NOT(ISERROR(SEARCH("Off",K3)))</formula>
    </cfRule>
    <cfRule type="containsText" dxfId="84" priority="63" operator="containsText" text="Sub">
      <formula>NOT(ISERROR(SEARCH("Sub",K3)))</formula>
    </cfRule>
    <cfRule type="containsText" dxfId="83" priority="64" operator="containsText" text="Captain">
      <formula>NOT(ISERROR(SEARCH("Captain",K3)))</formula>
    </cfRule>
    <cfRule type="containsText" dxfId="82" priority="65" operator="containsText" text="Picked">
      <formula>NOT(ISERROR(SEARCH("Picked",K3)))</formula>
    </cfRule>
  </conditionalFormatting>
  <conditionalFormatting sqref="M3:M19">
    <cfRule type="containsText" dxfId="81" priority="34" operator="containsText" text="tbc">
      <formula>NOT(ISERROR(SEARCH("tbc",M3)))</formula>
    </cfRule>
    <cfRule type="containsText" dxfId="80" priority="35" operator="containsText" text="Out">
      <formula>NOT(ISERROR(SEARCH("Out",M3)))</formula>
    </cfRule>
  </conditionalFormatting>
  <conditionalFormatting sqref="N3:N19">
    <cfRule type="containsText" dxfId="79" priority="29" operator="containsText" text="Vice Captain">
      <formula>NOT(ISERROR(SEARCH("Vice Captain",N3)))</formula>
    </cfRule>
    <cfRule type="containsText" dxfId="78" priority="30" operator="containsText" text="Off">
      <formula>NOT(ISERROR(SEARCH("Off",N3)))</formula>
    </cfRule>
    <cfRule type="containsText" dxfId="77" priority="31" operator="containsText" text="Sub">
      <formula>NOT(ISERROR(SEARCH("Sub",N3)))</formula>
    </cfRule>
    <cfRule type="containsText" dxfId="76" priority="32" operator="containsText" text="Captain">
      <formula>NOT(ISERROR(SEARCH("Captain",N3)))</formula>
    </cfRule>
    <cfRule type="containsText" dxfId="75" priority="33" operator="containsText" text="Picked">
      <formula>NOT(ISERROR(SEARCH("Picked",N3)))</formula>
    </cfRule>
  </conditionalFormatting>
  <conditionalFormatting sqref="P3:P19">
    <cfRule type="containsText" dxfId="74" priority="27" operator="containsText" text="tbc">
      <formula>NOT(ISERROR(SEARCH("tbc",P3)))</formula>
    </cfRule>
    <cfRule type="containsText" dxfId="73" priority="28" operator="containsText" text="Out">
      <formula>NOT(ISERROR(SEARCH("Out",P3)))</formula>
    </cfRule>
  </conditionalFormatting>
  <conditionalFormatting sqref="Q3:Q19">
    <cfRule type="containsText" dxfId="72" priority="22" operator="containsText" text="Vice Captain">
      <formula>NOT(ISERROR(SEARCH("Vice Captain",Q3)))</formula>
    </cfRule>
    <cfRule type="containsText" dxfId="71" priority="23" operator="containsText" text="Off">
      <formula>NOT(ISERROR(SEARCH("Off",Q3)))</formula>
    </cfRule>
    <cfRule type="containsText" dxfId="70" priority="24" operator="containsText" text="Sub">
      <formula>NOT(ISERROR(SEARCH("Sub",Q3)))</formula>
    </cfRule>
    <cfRule type="containsText" dxfId="69" priority="25" operator="containsText" text="Captain">
      <formula>NOT(ISERROR(SEARCH("Captain",Q3)))</formula>
    </cfRule>
    <cfRule type="containsText" dxfId="68" priority="26" operator="containsText" text="Picked">
      <formula>NOT(ISERROR(SEARCH("Picked",Q3)))</formula>
    </cfRule>
  </conditionalFormatting>
  <conditionalFormatting sqref="S3:S19">
    <cfRule type="containsText" dxfId="67" priority="20" operator="containsText" text="tbc">
      <formula>NOT(ISERROR(SEARCH("tbc",S3)))</formula>
    </cfRule>
    <cfRule type="containsText" dxfId="66" priority="21" operator="containsText" text="Out">
      <formula>NOT(ISERROR(SEARCH("Out",S3)))</formula>
    </cfRule>
  </conditionalFormatting>
  <conditionalFormatting sqref="T3:T19">
    <cfRule type="containsText" dxfId="65" priority="15" operator="containsText" text="Vice Captain">
      <formula>NOT(ISERROR(SEARCH("Vice Captain",T3)))</formula>
    </cfRule>
    <cfRule type="containsText" dxfId="64" priority="16" operator="containsText" text="Off">
      <formula>NOT(ISERROR(SEARCH("Off",T3)))</formula>
    </cfRule>
    <cfRule type="containsText" dxfId="63" priority="17" operator="containsText" text="Sub">
      <formula>NOT(ISERROR(SEARCH("Sub",T3)))</formula>
    </cfRule>
    <cfRule type="containsText" dxfId="62" priority="18" operator="containsText" text="Captain">
      <formula>NOT(ISERROR(SEARCH("Captain",T3)))</formula>
    </cfRule>
    <cfRule type="containsText" dxfId="61" priority="19" operator="containsText" text="Picked">
      <formula>NOT(ISERROR(SEARCH("Picked",T3)))</formula>
    </cfRule>
  </conditionalFormatting>
  <conditionalFormatting sqref="V3:V19">
    <cfRule type="containsText" dxfId="60" priority="13" operator="containsText" text="tbc">
      <formula>NOT(ISERROR(SEARCH("tbc",V3)))</formula>
    </cfRule>
    <cfRule type="containsText" dxfId="59" priority="14" operator="containsText" text="Out">
      <formula>NOT(ISERROR(SEARCH("Out",V3)))</formula>
    </cfRule>
  </conditionalFormatting>
  <conditionalFormatting sqref="W3:W19">
    <cfRule type="containsText" dxfId="58" priority="8" operator="containsText" text="Vice Captain">
      <formula>NOT(ISERROR(SEARCH("Vice Captain",W3)))</formula>
    </cfRule>
    <cfRule type="containsText" dxfId="57" priority="9" operator="containsText" text="Off">
      <formula>NOT(ISERROR(SEARCH("Off",W3)))</formula>
    </cfRule>
    <cfRule type="containsText" dxfId="56" priority="10" operator="containsText" text="Sub">
      <formula>NOT(ISERROR(SEARCH("Sub",W3)))</formula>
    </cfRule>
    <cfRule type="containsText" dxfId="55" priority="11" operator="containsText" text="Captain">
      <formula>NOT(ISERROR(SEARCH("Captain",W3)))</formula>
    </cfRule>
    <cfRule type="containsText" dxfId="54" priority="12" operator="containsText" text="Picked">
      <formula>NOT(ISERROR(SEARCH("Picked",W3)))</formula>
    </cfRule>
  </conditionalFormatting>
  <conditionalFormatting sqref="Y3:Y19">
    <cfRule type="containsText" dxfId="53" priority="6" operator="containsText" text="tbc">
      <formula>NOT(ISERROR(SEARCH("tbc",Y3)))</formula>
    </cfRule>
    <cfRule type="containsText" dxfId="52" priority="7" operator="containsText" text="Out">
      <formula>NOT(ISERROR(SEARCH("Out",Y3)))</formula>
    </cfRule>
  </conditionalFormatting>
  <conditionalFormatting sqref="Z3:Z19">
    <cfRule type="containsText" dxfId="51" priority="1" operator="containsText" text="Vice Captain">
      <formula>NOT(ISERROR(SEARCH("Vice Captain",Z3)))</formula>
    </cfRule>
    <cfRule type="containsText" dxfId="50" priority="2" operator="containsText" text="Off">
      <formula>NOT(ISERROR(SEARCH("Off",Z3)))</formula>
    </cfRule>
    <cfRule type="containsText" dxfId="49" priority="3" operator="containsText" text="Sub">
      <formula>NOT(ISERROR(SEARCH("Sub",Z3)))</formula>
    </cfRule>
    <cfRule type="containsText" dxfId="48" priority="4" operator="containsText" text="Captain">
      <formula>NOT(ISERROR(SEARCH("Captain",Z3)))</formula>
    </cfRule>
    <cfRule type="containsText" dxfId="47" priority="5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516A4A-3B1C-427E-948B-0AE203EDB4D1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6D1C79D4-FCA1-46E5-9175-BE525F1902AF}">
          <x14:formula1>
            <xm:f>Lookups!$E$2:$E$9</xm:f>
          </x14:formula1>
          <xm:sqref>E5:E19 Q5:Q19 T5:T19 H5:H19 K5:K19 W5:W19 N5:N19 Z5:Z19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68EE-87FB-4310-8F44-FD32EAF708D1}">
  <dimension ref="A1:AA22"/>
  <sheetViews>
    <sheetView workbookViewId="0">
      <selection activeCell="C14" sqref="C14"/>
    </sheetView>
  </sheetViews>
  <sheetFormatPr defaultColWidth="9.140625" defaultRowHeight="15" customHeight="1" zeroHeight="1" x14ac:dyDescent="0.25"/>
  <cols>
    <col min="1" max="1" width="9.140625" style="54"/>
    <col min="2" max="2" width="15.5703125" style="54" bestFit="1" customWidth="1"/>
    <col min="3" max="3" width="11.5703125" style="54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73" t="s">
        <v>2700</v>
      </c>
      <c r="B1" s="74"/>
      <c r="C1" s="75"/>
      <c r="D1" s="76" t="s">
        <v>2679</v>
      </c>
      <c r="E1" s="77"/>
      <c r="F1" s="78"/>
      <c r="G1" s="79" t="s">
        <v>2680</v>
      </c>
      <c r="H1" s="80"/>
      <c r="I1" s="81"/>
      <c r="J1" s="79" t="s">
        <v>2681</v>
      </c>
      <c r="K1" s="80"/>
      <c r="L1" s="81"/>
      <c r="M1" s="79" t="s">
        <v>36</v>
      </c>
      <c r="N1" s="80"/>
      <c r="O1" s="81"/>
      <c r="P1" s="79" t="s">
        <v>23</v>
      </c>
      <c r="Q1" s="80"/>
      <c r="R1" s="81"/>
      <c r="S1" s="79" t="s">
        <v>17</v>
      </c>
      <c r="T1" s="80"/>
      <c r="U1" s="81"/>
      <c r="V1" s="79" t="s">
        <v>13</v>
      </c>
      <c r="W1" s="80"/>
      <c r="X1" s="81"/>
      <c r="Y1" s="79" t="s">
        <v>9</v>
      </c>
      <c r="Z1" s="80"/>
      <c r="AA1" s="81"/>
    </row>
    <row r="2" spans="1:27" x14ac:dyDescent="0.25">
      <c r="A2" s="22" t="s">
        <v>271</v>
      </c>
      <c r="B2" s="23" t="s">
        <v>268</v>
      </c>
      <c r="C2" s="24" t="s">
        <v>2671</v>
      </c>
      <c r="D2" s="25" t="s">
        <v>2682</v>
      </c>
      <c r="E2" s="26" t="s">
        <v>2683</v>
      </c>
      <c r="F2" s="27" t="s">
        <v>2684</v>
      </c>
      <c r="G2" s="25" t="s">
        <v>2682</v>
      </c>
      <c r="H2" s="26" t="s">
        <v>2683</v>
      </c>
      <c r="I2" s="27" t="s">
        <v>2684</v>
      </c>
      <c r="J2" s="25" t="s">
        <v>2682</v>
      </c>
      <c r="K2" s="26" t="s">
        <v>2683</v>
      </c>
      <c r="L2" s="27" t="s">
        <v>2684</v>
      </c>
      <c r="M2" s="25" t="s">
        <v>2682</v>
      </c>
      <c r="N2" s="26" t="s">
        <v>2683</v>
      </c>
      <c r="O2" s="27" t="s">
        <v>2684</v>
      </c>
      <c r="P2" s="25" t="s">
        <v>2682</v>
      </c>
      <c r="Q2" s="26" t="s">
        <v>2683</v>
      </c>
      <c r="R2" s="27" t="s">
        <v>2684</v>
      </c>
      <c r="S2" s="25" t="s">
        <v>2682</v>
      </c>
      <c r="T2" s="26" t="s">
        <v>2683</v>
      </c>
      <c r="U2" s="27" t="s">
        <v>2684</v>
      </c>
      <c r="V2" s="25" t="s">
        <v>2682</v>
      </c>
      <c r="W2" s="26" t="s">
        <v>2683</v>
      </c>
      <c r="X2" s="27" t="s">
        <v>2684</v>
      </c>
      <c r="Y2" s="25" t="s">
        <v>2682</v>
      </c>
      <c r="Z2" s="26" t="s">
        <v>2683</v>
      </c>
      <c r="AA2" s="27" t="s">
        <v>2684</v>
      </c>
    </row>
    <row r="3" spans="1:27" x14ac:dyDescent="0.25">
      <c r="A3" s="28" t="s">
        <v>2673</v>
      </c>
      <c r="B3" s="19" t="s">
        <v>382</v>
      </c>
      <c r="C3" s="29" t="s">
        <v>74</v>
      </c>
      <c r="D3" s="30" t="str">
        <f>VLOOKUP($C3,Fixtures!A:I,2,FALSE)</f>
        <v>CUR</v>
      </c>
      <c r="E3" s="20" t="s">
        <v>2687</v>
      </c>
      <c r="F3" s="31">
        <f>VLOOKUP($B3,PickedPlayers!D:Q,7,FALSE)</f>
        <v>0</v>
      </c>
      <c r="G3" s="30" t="str">
        <f>VLOOKUP($C3,Fixtures!A:I,3,FALSE)</f>
        <v>IVO</v>
      </c>
      <c r="H3" s="20" t="s">
        <v>2687</v>
      </c>
      <c r="I3" s="31">
        <f>VLOOKUP($B3,PickedPlayers!D:Q,8,FALSE)</f>
        <v>0</v>
      </c>
      <c r="J3" s="30" t="str">
        <f>VLOOKUP($C3,Fixtures!A:I,4,FALSE)</f>
        <v>ECU</v>
      </c>
      <c r="K3" s="20" t="s">
        <v>2686</v>
      </c>
      <c r="L3" s="31">
        <f>VLOOKUP($B3,PickedPlayers!D:Q,9,FALSE)</f>
        <v>0</v>
      </c>
      <c r="M3" s="30" t="str">
        <f>VLOOKUP($C3,Fixtures!A:I,5,FALSE)</f>
        <v>PAR</v>
      </c>
      <c r="N3" s="20" t="s">
        <v>2687</v>
      </c>
      <c r="O3" s="31">
        <f>VLOOKUP($B3,PickedPlayers!D:Q,10,FALSE)</f>
        <v>0</v>
      </c>
      <c r="P3" s="30" t="str">
        <f>VLOOKUP($C3,Fixtures!A:I,6,FALSE)</f>
        <v>out</v>
      </c>
      <c r="Q3" s="20"/>
      <c r="R3" s="31">
        <f>VLOOKUP($B3,PickedPlayers!D:Q,11,FALSE)</f>
        <v>0</v>
      </c>
      <c r="S3" s="30" t="str">
        <f>VLOOKUP($C3,Fixtures!A:I,7,FALSE)</f>
        <v>out</v>
      </c>
      <c r="T3" s="20"/>
      <c r="U3" s="31">
        <f>VLOOKUP($B3,PickedPlayers!D:Q,12,FALSE)</f>
        <v>0</v>
      </c>
      <c r="V3" s="30" t="str">
        <f>VLOOKUP($C3,Fixtures!A:I,8,FALSE)</f>
        <v>out</v>
      </c>
      <c r="W3" s="20"/>
      <c r="X3" s="31">
        <f>VLOOKUP($B3,PickedPlayers!D:Q,13,FALSE)</f>
        <v>0</v>
      </c>
      <c r="Y3" s="30" t="str">
        <f>VLOOKUP($C3,Fixtures!A:I,9,FALSE)</f>
        <v>out</v>
      </c>
      <c r="Z3" s="20"/>
      <c r="AA3" s="31">
        <f>VLOOKUP($B3,PickedPlayers!D:Q,14,FALSE)</f>
        <v>0</v>
      </c>
    </row>
    <row r="4" spans="1:27" x14ac:dyDescent="0.25">
      <c r="A4" s="28" t="s">
        <v>2673</v>
      </c>
      <c r="B4" s="19" t="s">
        <v>505</v>
      </c>
      <c r="C4" s="29" t="s">
        <v>69</v>
      </c>
      <c r="D4" s="30" t="str">
        <f>VLOOKUP($C4,Fixtures!A:I,2,FALSE)</f>
        <v>JAP</v>
      </c>
      <c r="E4" s="20" t="s">
        <v>2686</v>
      </c>
      <c r="F4" s="31">
        <f>VLOOKUP($B4,PickedPlayers!D:Q,7,FALSE)</f>
        <v>0</v>
      </c>
      <c r="G4" s="30" t="str">
        <f>VLOOKUP($C4,Fixtures!A:I,3,FALSE)</f>
        <v>SWE</v>
      </c>
      <c r="H4" s="20" t="s">
        <v>2686</v>
      </c>
      <c r="I4" s="31">
        <f>VLOOKUP($B4,PickedPlayers!D:Q,8,FALSE)</f>
        <v>0</v>
      </c>
      <c r="J4" s="30" t="str">
        <f>VLOOKUP($C4,Fixtures!A:I,4,FALSE)</f>
        <v>TUN</v>
      </c>
      <c r="K4" s="20" t="s">
        <v>2687</v>
      </c>
      <c r="L4" s="31">
        <f>VLOOKUP($B4,PickedPlayers!D:Q,9,FALSE)</f>
        <v>0</v>
      </c>
      <c r="M4" s="30" t="str">
        <f>VLOOKUP($C4,Fixtures!A:I,5,FALSE)</f>
        <v>MOR</v>
      </c>
      <c r="N4" s="20" t="s">
        <v>2686</v>
      </c>
      <c r="O4" s="31">
        <f>VLOOKUP($B4,PickedPlayers!D:Q,10,FALSE)</f>
        <v>0</v>
      </c>
      <c r="P4" s="30" t="str">
        <f>VLOOKUP($C4,Fixtures!A:I,6,FALSE)</f>
        <v>out</v>
      </c>
      <c r="Q4" s="20"/>
      <c r="R4" s="31">
        <f>VLOOKUP($B4,PickedPlayers!D:Q,11,FALSE)</f>
        <v>0</v>
      </c>
      <c r="S4" s="30" t="str">
        <f>VLOOKUP($C4,Fixtures!A:I,7,FALSE)</f>
        <v>out</v>
      </c>
      <c r="T4" s="20"/>
      <c r="U4" s="31">
        <f>VLOOKUP($B4,PickedPlayers!D:Q,12,FALSE)</f>
        <v>0</v>
      </c>
      <c r="V4" s="30" t="str">
        <f>VLOOKUP($C4,Fixtures!A:I,8,FALSE)</f>
        <v>out</v>
      </c>
      <c r="W4" s="20"/>
      <c r="X4" s="31">
        <f>VLOOKUP($B4,PickedPlayers!D:Q,13,FALSE)</f>
        <v>0</v>
      </c>
      <c r="Y4" s="30" t="str">
        <f>VLOOKUP($C4,Fixtures!A:I,9,FALSE)</f>
        <v>out</v>
      </c>
      <c r="Z4" s="20"/>
      <c r="AA4" s="31">
        <f>VLOOKUP($B4,PickedPlayers!D:Q,14,FALSE)</f>
        <v>0</v>
      </c>
    </row>
    <row r="5" spans="1:27" x14ac:dyDescent="0.25">
      <c r="A5" s="28" t="s">
        <v>2674</v>
      </c>
      <c r="B5" s="19" t="s">
        <v>358</v>
      </c>
      <c r="C5" s="29" t="s">
        <v>61</v>
      </c>
      <c r="D5" s="30" t="str">
        <f>VLOOKUP($C5,Fixtures!A:I,2,FALSE)</f>
        <v>SEN</v>
      </c>
      <c r="E5" s="20" t="s">
        <v>2687</v>
      </c>
      <c r="F5" s="31">
        <f>VLOOKUP($B5,PickedPlayers!D:Q,7,FALSE)</f>
        <v>0</v>
      </c>
      <c r="G5" s="30" t="str">
        <f>VLOOKUP($C5,Fixtures!A:I,3,FALSE)</f>
        <v>IRQ</v>
      </c>
      <c r="H5" s="20" t="s">
        <v>2687</v>
      </c>
      <c r="I5" s="31">
        <f>VLOOKUP($B5,PickedPlayers!D:Q,8,FALSE)</f>
        <v>0</v>
      </c>
      <c r="J5" s="30" t="str">
        <f>VLOOKUP($C5,Fixtures!A:I,4,FALSE)</f>
        <v>NOR</v>
      </c>
      <c r="K5" s="20" t="s">
        <v>2687</v>
      </c>
      <c r="L5" s="31">
        <f>VLOOKUP($B5,PickedPlayers!D:Q,9,FALSE)</f>
        <v>0</v>
      </c>
      <c r="M5" s="30" t="str">
        <f>VLOOKUP($C5,Fixtures!A:I,5,FALSE)</f>
        <v>SWE</v>
      </c>
      <c r="N5" s="20" t="s">
        <v>2687</v>
      </c>
      <c r="O5" s="31">
        <f>VLOOKUP($B5,PickedPlayers!D:Q,10,FALSE)</f>
        <v>0</v>
      </c>
      <c r="P5" s="30" t="str">
        <f>VLOOKUP($C5,Fixtures!A:I,6,FALSE)</f>
        <v>PAR</v>
      </c>
      <c r="Q5" s="20" t="s">
        <v>2692</v>
      </c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2674</v>
      </c>
      <c r="B6" s="19" t="s">
        <v>364</v>
      </c>
      <c r="C6" s="29" t="s">
        <v>101</v>
      </c>
      <c r="D6" s="30" t="str">
        <f>VLOOKUP($C6,Fixtures!A:I,2,FALSE)</f>
        <v>CON</v>
      </c>
      <c r="E6" s="20" t="s">
        <v>2687</v>
      </c>
      <c r="F6" s="31">
        <f>VLOOKUP($B6,PickedPlayers!D:Q,7,FALSE)</f>
        <v>0</v>
      </c>
      <c r="G6" s="30" t="str">
        <f>VLOOKUP($C6,Fixtures!A:I,3,FALSE)</f>
        <v>UZB</v>
      </c>
      <c r="H6" s="20" t="s">
        <v>2687</v>
      </c>
      <c r="I6" s="31">
        <f>VLOOKUP($B6,PickedPlayers!D:Q,8,FALSE)</f>
        <v>0</v>
      </c>
      <c r="J6" s="30" t="str">
        <f>VLOOKUP($C6,Fixtures!A:I,4,FALSE)</f>
        <v>COL</v>
      </c>
      <c r="K6" s="20" t="s">
        <v>2687</v>
      </c>
      <c r="L6" s="31">
        <f>VLOOKUP($B6,PickedPlayers!D:Q,9,FALSE)</f>
        <v>0</v>
      </c>
      <c r="M6" s="30" t="str">
        <f>VLOOKUP($C6,Fixtures!A:I,5,FALSE)</f>
        <v>CRO</v>
      </c>
      <c r="N6" s="20" t="s">
        <v>2688</v>
      </c>
      <c r="O6" s="31">
        <f>VLOOKUP($B6,PickedPlayers!D:Q,10,FALSE)</f>
        <v>0</v>
      </c>
      <c r="P6" s="30" t="str">
        <f>VLOOKUP($C6,Fixtures!A:I,6,FALSE)</f>
        <v>SPA</v>
      </c>
      <c r="Q6" s="20" t="s">
        <v>2687</v>
      </c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2674</v>
      </c>
      <c r="B7" s="19" t="s">
        <v>430</v>
      </c>
      <c r="C7" s="29" t="s">
        <v>69</v>
      </c>
      <c r="D7" s="30" t="str">
        <f>VLOOKUP($C7,Fixtures!A:I,2,FALSE)</f>
        <v>JAP</v>
      </c>
      <c r="E7" s="20" t="s">
        <v>2687</v>
      </c>
      <c r="F7" s="31">
        <f>VLOOKUP($B7,PickedPlayers!D:Q,7,FALSE)</f>
        <v>0</v>
      </c>
      <c r="G7" s="30" t="str">
        <f>VLOOKUP($C7,Fixtures!A:I,3,FALSE)</f>
        <v>SWE</v>
      </c>
      <c r="H7" s="20" t="s">
        <v>2687</v>
      </c>
      <c r="I7" s="31">
        <f>VLOOKUP($B7,PickedPlayers!D:Q,8,FALSE)</f>
        <v>0</v>
      </c>
      <c r="J7" s="30" t="str">
        <f>VLOOKUP($C7,Fixtures!A:I,4,FALSE)</f>
        <v>TUN</v>
      </c>
      <c r="K7" s="20" t="s">
        <v>2691</v>
      </c>
      <c r="L7" s="31">
        <f>VLOOKUP($B7,PickedPlayers!D:Q,9,FALSE)</f>
        <v>0</v>
      </c>
      <c r="M7" s="30" t="str">
        <f>VLOOKUP($C7,Fixtures!A:I,5,FALSE)</f>
        <v>MOR</v>
      </c>
      <c r="N7" s="20" t="s">
        <v>2687</v>
      </c>
      <c r="O7" s="31">
        <f>VLOOKUP($B7,PickedPlayers!D:Q,10,FALSE)</f>
        <v>0</v>
      </c>
      <c r="P7" s="30" t="str">
        <f>VLOOKUP($C7,Fixtures!A:I,6,FALSE)</f>
        <v>out</v>
      </c>
      <c r="Q7" s="20"/>
      <c r="R7" s="31">
        <f>VLOOKUP($B7,PickedPlayers!D:Q,11,FALSE)</f>
        <v>0</v>
      </c>
      <c r="S7" s="30" t="str">
        <f>VLOOKUP($C7,Fixtures!A:I,7,FALSE)</f>
        <v>out</v>
      </c>
      <c r="T7" s="20"/>
      <c r="U7" s="31">
        <f>VLOOKUP($B7,PickedPlayers!D:Q,12,FALSE)</f>
        <v>0</v>
      </c>
      <c r="V7" s="30" t="str">
        <f>VLOOKUP($C7,Fixtures!A:I,8,FALSE)</f>
        <v>out</v>
      </c>
      <c r="W7" s="20"/>
      <c r="X7" s="31">
        <f>VLOOKUP($B7,PickedPlayers!D:Q,13,FALSE)</f>
        <v>0</v>
      </c>
      <c r="Y7" s="30" t="str">
        <f>VLOOKUP($C7,Fixtures!A:I,9,FALSE)</f>
        <v>out</v>
      </c>
      <c r="Z7" s="20"/>
      <c r="AA7" s="31">
        <f>VLOOKUP($B7,PickedPlayers!D:Q,14,FALSE)</f>
        <v>0</v>
      </c>
    </row>
    <row r="8" spans="1:27" x14ac:dyDescent="0.25">
      <c r="A8" s="28" t="s">
        <v>2674</v>
      </c>
      <c r="B8" s="19" t="s">
        <v>444</v>
      </c>
      <c r="C8" s="29" t="s">
        <v>40</v>
      </c>
      <c r="D8" s="30" t="str">
        <f>VLOOKUP($C8,Fixtures!A:I,2,FALSE)</f>
        <v>ALG</v>
      </c>
      <c r="E8" s="20" t="s">
        <v>2690</v>
      </c>
      <c r="F8" s="31">
        <f>VLOOKUP($B8,PickedPlayers!D:Q,7,FALSE)</f>
        <v>0</v>
      </c>
      <c r="G8" s="30" t="str">
        <f>VLOOKUP($C8,Fixtures!A:I,3,FALSE)</f>
        <v>AUT</v>
      </c>
      <c r="H8" s="20" t="s">
        <v>2690</v>
      </c>
      <c r="I8" s="31">
        <f>VLOOKUP($B8,PickedPlayers!D:Q,8,FALSE)</f>
        <v>0</v>
      </c>
      <c r="J8" s="30" t="str">
        <f>VLOOKUP($C8,Fixtures!A:I,4,FALSE)</f>
        <v>JOR</v>
      </c>
      <c r="K8" s="20" t="s">
        <v>2685</v>
      </c>
      <c r="L8" s="31">
        <f>VLOOKUP($B8,PickedPlayers!D:Q,9,FALSE)</f>
        <v>0</v>
      </c>
      <c r="M8" s="30" t="str">
        <f>VLOOKUP($C8,Fixtures!A:I,5,FALSE)</f>
        <v>CAP</v>
      </c>
      <c r="N8" s="20" t="s">
        <v>2687</v>
      </c>
      <c r="O8" s="31">
        <f>VLOOKUP($B8,PickedPlayers!D:Q,10,FALSE)</f>
        <v>0</v>
      </c>
      <c r="P8" s="30" t="str">
        <f>VLOOKUP($C8,Fixtures!A:I,6,FALSE)</f>
        <v>TBC</v>
      </c>
      <c r="Q8" s="20" t="s">
        <v>2687</v>
      </c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2674</v>
      </c>
      <c r="B9" s="19" t="s">
        <v>469</v>
      </c>
      <c r="C9" s="29" t="s">
        <v>123</v>
      </c>
      <c r="D9" s="30" t="str">
        <f>VLOOKUP($C9,Fixtures!A:I,2,FALSE)</f>
        <v>CAP</v>
      </c>
      <c r="E9" s="20" t="s">
        <v>2687</v>
      </c>
      <c r="F9" s="31">
        <f>VLOOKUP($B9,PickedPlayers!D:Q,7,FALSE)</f>
        <v>0</v>
      </c>
      <c r="G9" s="30" t="str">
        <f>VLOOKUP($C9,Fixtures!A:I,3,FALSE)</f>
        <v>SAU</v>
      </c>
      <c r="H9" s="20" t="s">
        <v>2687</v>
      </c>
      <c r="I9" s="31">
        <f>VLOOKUP($B9,PickedPlayers!D:Q,8,FALSE)</f>
        <v>0</v>
      </c>
      <c r="J9" s="30" t="str">
        <f>VLOOKUP($C9,Fixtures!A:I,4,FALSE)</f>
        <v>URU</v>
      </c>
      <c r="K9" s="20" t="s">
        <v>2687</v>
      </c>
      <c r="L9" s="31">
        <f>VLOOKUP($B9,PickedPlayers!D:Q,9,FALSE)</f>
        <v>0</v>
      </c>
      <c r="M9" s="30" t="str">
        <f>VLOOKUP($C9,Fixtures!A:I,5,FALSE)</f>
        <v>AUS</v>
      </c>
      <c r="N9" s="20" t="s">
        <v>2687</v>
      </c>
      <c r="O9" s="31">
        <f>VLOOKUP($B9,PickedPlayers!D:Q,10,FALSE)</f>
        <v>0</v>
      </c>
      <c r="P9" s="30" t="str">
        <f>VLOOKUP($C9,Fixtures!A:I,6,FALSE)</f>
        <v>POR</v>
      </c>
      <c r="Q9" s="20" t="s">
        <v>2687</v>
      </c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2675</v>
      </c>
      <c r="B10" s="19" t="s">
        <v>320</v>
      </c>
      <c r="C10" s="29" t="s">
        <v>74</v>
      </c>
      <c r="D10" s="30" t="str">
        <f>VLOOKUP($C10,Fixtures!A:I,2,FALSE)</f>
        <v>CUR</v>
      </c>
      <c r="E10" s="20" t="s">
        <v>2687</v>
      </c>
      <c r="F10" s="31">
        <f>VLOOKUP($B10,PickedPlayers!D:Q,7,FALSE)</f>
        <v>0</v>
      </c>
      <c r="G10" s="30" t="str">
        <f>VLOOKUP($C10,Fixtures!A:I,3,FALSE)</f>
        <v>IVO</v>
      </c>
      <c r="H10" s="20" t="s">
        <v>2687</v>
      </c>
      <c r="I10" s="31">
        <f>VLOOKUP($B10,PickedPlayers!D:Q,8,FALSE)</f>
        <v>0</v>
      </c>
      <c r="J10" s="30" t="str">
        <f>VLOOKUP($C10,Fixtures!A:I,4,FALSE)</f>
        <v>ECU</v>
      </c>
      <c r="K10" s="20" t="s">
        <v>2687</v>
      </c>
      <c r="L10" s="31">
        <f>VLOOKUP($B10,PickedPlayers!D:Q,9,FALSE)</f>
        <v>0</v>
      </c>
      <c r="M10" s="30" t="str">
        <f>VLOOKUP($C10,Fixtures!A:I,5,FALSE)</f>
        <v>PAR</v>
      </c>
      <c r="N10" s="20" t="s">
        <v>2691</v>
      </c>
      <c r="O10" s="31">
        <f>VLOOKUP($B10,PickedPlayers!D:Q,10,FALSE)</f>
        <v>0</v>
      </c>
      <c r="P10" s="30" t="str">
        <f>VLOOKUP($C10,Fixtures!A:I,6,FALSE)</f>
        <v>out</v>
      </c>
      <c r="Q10" s="20"/>
      <c r="R10" s="31">
        <f>VLOOKUP($B10,PickedPlayers!D:Q,11,FALSE)</f>
        <v>0</v>
      </c>
      <c r="S10" s="30" t="str">
        <f>VLOOKUP($C10,Fixtures!A:I,7,FALSE)</f>
        <v>out</v>
      </c>
      <c r="T10" s="20"/>
      <c r="U10" s="31">
        <f>VLOOKUP($B10,PickedPlayers!D:Q,12,FALSE)</f>
        <v>0</v>
      </c>
      <c r="V10" s="30" t="str">
        <f>VLOOKUP($C10,Fixtures!A:I,8,FALSE)</f>
        <v>out</v>
      </c>
      <c r="W10" s="20"/>
      <c r="X10" s="31">
        <f>VLOOKUP($B10,PickedPlayers!D:Q,13,FALSE)</f>
        <v>0</v>
      </c>
      <c r="Y10" s="30" t="str">
        <f>VLOOKUP($C10,Fixtures!A:I,9,FALSE)</f>
        <v>out</v>
      </c>
      <c r="Z10" s="20"/>
      <c r="AA10" s="31">
        <f>VLOOKUP($B10,PickedPlayers!D:Q,14,FALSE)</f>
        <v>0</v>
      </c>
    </row>
    <row r="11" spans="1:27" x14ac:dyDescent="0.25">
      <c r="A11" s="28" t="s">
        <v>2675</v>
      </c>
      <c r="B11" s="19" t="s">
        <v>338</v>
      </c>
      <c r="C11" s="29" t="s">
        <v>61</v>
      </c>
      <c r="D11" s="30" t="str">
        <f>VLOOKUP($C11,Fixtures!A:I,2,FALSE)</f>
        <v>SEN</v>
      </c>
      <c r="E11" s="20" t="s">
        <v>2687</v>
      </c>
      <c r="F11" s="31">
        <f>VLOOKUP($B11,PickedPlayers!D:Q,7,FALSE)</f>
        <v>0</v>
      </c>
      <c r="G11" s="30" t="str">
        <f>VLOOKUP($C11,Fixtures!A:I,3,FALSE)</f>
        <v>IRQ</v>
      </c>
      <c r="H11" s="20" t="s">
        <v>2688</v>
      </c>
      <c r="I11" s="31">
        <f>VLOOKUP($B11,PickedPlayers!D:Q,8,FALSE)</f>
        <v>0</v>
      </c>
      <c r="J11" s="30" t="str">
        <f>VLOOKUP($C11,Fixtures!A:I,4,FALSE)</f>
        <v>NOR</v>
      </c>
      <c r="K11" s="20" t="s">
        <v>2687</v>
      </c>
      <c r="L11" s="31">
        <f>VLOOKUP($B11,PickedPlayers!D:Q,9,FALSE)</f>
        <v>0</v>
      </c>
      <c r="M11" s="30" t="str">
        <f>VLOOKUP($C11,Fixtures!A:I,5,FALSE)</f>
        <v>SWE</v>
      </c>
      <c r="N11" s="20" t="s">
        <v>2690</v>
      </c>
      <c r="O11" s="31">
        <f>VLOOKUP($B11,PickedPlayers!D:Q,10,FALSE)</f>
        <v>0</v>
      </c>
      <c r="P11" s="30" t="str">
        <f>VLOOKUP($C11,Fixtures!A:I,6,FALSE)</f>
        <v>PAR</v>
      </c>
      <c r="Q11" s="20" t="s">
        <v>2687</v>
      </c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2675</v>
      </c>
      <c r="B12" s="19" t="s">
        <v>420</v>
      </c>
      <c r="C12" s="29" t="s">
        <v>40</v>
      </c>
      <c r="D12" s="30" t="str">
        <f>VLOOKUP($C12,Fixtures!A:I,2,FALSE)</f>
        <v>ALG</v>
      </c>
      <c r="E12" s="20" t="s">
        <v>2688</v>
      </c>
      <c r="F12" s="31">
        <f>VLOOKUP($B12,PickedPlayers!D:Q,7,FALSE)</f>
        <v>0</v>
      </c>
      <c r="G12" s="30" t="str">
        <f>VLOOKUP($C12,Fixtures!A:I,3,FALSE)</f>
        <v>AUT</v>
      </c>
      <c r="H12" s="20" t="s">
        <v>2687</v>
      </c>
      <c r="I12" s="31">
        <f>VLOOKUP($B12,PickedPlayers!D:Q,8,FALSE)</f>
        <v>0</v>
      </c>
      <c r="J12" s="30" t="str">
        <f>VLOOKUP($C12,Fixtures!A:I,4,FALSE)</f>
        <v>JOR</v>
      </c>
      <c r="K12" s="20" t="s">
        <v>2687</v>
      </c>
      <c r="L12" s="31">
        <f>VLOOKUP($B12,PickedPlayers!D:Q,9,FALSE)</f>
        <v>0</v>
      </c>
      <c r="M12" s="30" t="str">
        <f>VLOOKUP($C12,Fixtures!A:I,5,FALSE)</f>
        <v>CAP</v>
      </c>
      <c r="N12" s="20" t="s">
        <v>2687</v>
      </c>
      <c r="O12" s="31">
        <f>VLOOKUP($B12,PickedPlayers!D:Q,10,FALSE)</f>
        <v>0</v>
      </c>
      <c r="P12" s="30" t="str">
        <f>VLOOKUP($C12,Fixtures!A:I,6,FALSE)</f>
        <v>TBC</v>
      </c>
      <c r="Q12" s="20" t="s">
        <v>2687</v>
      </c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2675</v>
      </c>
      <c r="B13" s="19" t="s">
        <v>481</v>
      </c>
      <c r="C13" s="29" t="s">
        <v>123</v>
      </c>
      <c r="D13" s="30" t="str">
        <f>VLOOKUP($C13,Fixtures!A:I,2,FALSE)</f>
        <v>CAP</v>
      </c>
      <c r="E13" s="20" t="s">
        <v>2687</v>
      </c>
      <c r="F13" s="31">
        <f>VLOOKUP($B13,PickedPlayers!D:Q,7,FALSE)</f>
        <v>0</v>
      </c>
      <c r="G13" s="30" t="str">
        <f>VLOOKUP($C13,Fixtures!A:I,3,FALSE)</f>
        <v>SAU</v>
      </c>
      <c r="H13" s="20" t="s">
        <v>2687</v>
      </c>
      <c r="I13" s="31">
        <f>VLOOKUP($B13,PickedPlayers!D:Q,8,FALSE)</f>
        <v>0</v>
      </c>
      <c r="J13" s="30" t="str">
        <f>VLOOKUP($C13,Fixtures!A:I,4,FALSE)</f>
        <v>URU</v>
      </c>
      <c r="K13" s="20" t="s">
        <v>2689</v>
      </c>
      <c r="L13" s="31">
        <f>VLOOKUP($B13,PickedPlayers!D:Q,9,FALSE)</f>
        <v>0</v>
      </c>
      <c r="M13" s="58" t="s">
        <v>2693</v>
      </c>
      <c r="N13" s="59"/>
      <c r="O13" s="60"/>
      <c r="P13" s="58" t="s">
        <v>2693</v>
      </c>
      <c r="Q13" s="59"/>
      <c r="R13" s="60"/>
      <c r="S13" s="58" t="s">
        <v>2693</v>
      </c>
      <c r="T13" s="59"/>
      <c r="U13" s="60"/>
      <c r="V13" s="58" t="s">
        <v>2693</v>
      </c>
      <c r="W13" s="59"/>
      <c r="X13" s="60"/>
      <c r="Y13" s="58" t="s">
        <v>2693</v>
      </c>
      <c r="Z13" s="59"/>
      <c r="AA13" s="60"/>
    </row>
    <row r="14" spans="1:27" x14ac:dyDescent="0.25">
      <c r="A14" s="28" t="s">
        <v>2675</v>
      </c>
      <c r="B14" s="19" t="s">
        <v>2701</v>
      </c>
      <c r="C14" s="29" t="s">
        <v>40</v>
      </c>
      <c r="D14" s="30" t="str">
        <f>VLOOKUP($C14,Fixtures!A:I,2,FALSE)</f>
        <v>ALG</v>
      </c>
      <c r="E14" s="20"/>
      <c r="F14" s="31"/>
      <c r="G14" s="30"/>
      <c r="H14" s="20"/>
      <c r="I14" s="31"/>
      <c r="J14" s="30"/>
      <c r="K14" s="20"/>
      <c r="L14" s="31"/>
      <c r="M14" s="30" t="str">
        <f>VLOOKUP($C14,Fixtures!A:I,5,FALSE)</f>
        <v>CAP</v>
      </c>
      <c r="N14" s="20" t="s">
        <v>2687</v>
      </c>
      <c r="O14" s="31">
        <f>VLOOKUP($B14,PickedPlayers!D:Q,10,FALSE)</f>
        <v>0</v>
      </c>
      <c r="P14" s="30" t="str">
        <f>VLOOKUP($C14,Fixtures!A:I,6,FALSE)</f>
        <v>TBC</v>
      </c>
      <c r="Q14" s="20" t="s">
        <v>2687</v>
      </c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2677</v>
      </c>
      <c r="B15" s="19" t="s">
        <v>296</v>
      </c>
      <c r="C15" s="29" t="s">
        <v>101</v>
      </c>
      <c r="D15" s="30" t="str">
        <f>VLOOKUP($C15,Fixtures!A:I,2,FALSE)</f>
        <v>CON</v>
      </c>
      <c r="E15" s="20" t="s">
        <v>2691</v>
      </c>
      <c r="F15" s="31">
        <f>VLOOKUP($B15,PickedPlayers!D:Q,7,FALSE)</f>
        <v>0</v>
      </c>
      <c r="G15" s="30" t="str">
        <f>VLOOKUP($C15,Fixtures!A:I,3,FALSE)</f>
        <v>UZB</v>
      </c>
      <c r="H15" s="20" t="s">
        <v>2692</v>
      </c>
      <c r="I15" s="31">
        <f>VLOOKUP($B15,PickedPlayers!D:Q,8,FALSE)</f>
        <v>0</v>
      </c>
      <c r="J15" s="30" t="str">
        <f>VLOOKUP($C15,Fixtures!A:I,4,FALSE)</f>
        <v>COL</v>
      </c>
      <c r="K15" s="20" t="s">
        <v>2687</v>
      </c>
      <c r="L15" s="31">
        <f>VLOOKUP($B15,PickedPlayers!D:Q,9,FALSE)</f>
        <v>0</v>
      </c>
      <c r="M15" s="30" t="str">
        <f>VLOOKUP($C15,Fixtures!A:I,5,FALSE)</f>
        <v>CRO</v>
      </c>
      <c r="N15" s="20" t="s">
        <v>2687</v>
      </c>
      <c r="O15" s="31">
        <f>VLOOKUP($B15,PickedPlayers!D:Q,10,FALSE)</f>
        <v>0</v>
      </c>
      <c r="P15" s="30" t="str">
        <f>VLOOKUP($C15,Fixtures!A:I,6,FALSE)</f>
        <v>SPA</v>
      </c>
      <c r="Q15" s="20" t="s">
        <v>2687</v>
      </c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2677</v>
      </c>
      <c r="B16" s="19" t="s">
        <v>298</v>
      </c>
      <c r="C16" s="29" t="s">
        <v>74</v>
      </c>
      <c r="D16" s="30" t="str">
        <f>VLOOKUP($C16,Fixtures!A:I,2,FALSE)</f>
        <v>CUR</v>
      </c>
      <c r="E16" s="20" t="s">
        <v>2692</v>
      </c>
      <c r="F16" s="31">
        <f>VLOOKUP($B16,PickedPlayers!D:Q,7,FALSE)</f>
        <v>0</v>
      </c>
      <c r="G16" s="30" t="str">
        <f>VLOOKUP($C16,Fixtures!A:I,3,FALSE)</f>
        <v>IVO</v>
      </c>
      <c r="H16" s="20" t="s">
        <v>2691</v>
      </c>
      <c r="I16" s="31">
        <f>VLOOKUP($B16,PickedPlayers!D:Q,8,FALSE)</f>
        <v>0</v>
      </c>
      <c r="J16" s="30" t="str">
        <f>VLOOKUP($C16,Fixtures!A:I,4,FALSE)</f>
        <v>ECU</v>
      </c>
      <c r="K16" s="20" t="s">
        <v>2695</v>
      </c>
      <c r="L16" s="31">
        <f>VLOOKUP($B16,PickedPlayers!D:Q,9,FALSE)</f>
        <v>0</v>
      </c>
      <c r="M16" s="30" t="str">
        <f>VLOOKUP($C16,Fixtures!A:I,5,FALSE)</f>
        <v>PAR</v>
      </c>
      <c r="N16" s="20" t="s">
        <v>2692</v>
      </c>
      <c r="O16" s="31">
        <f>VLOOKUP($B16,PickedPlayers!D:Q,10,FALSE)</f>
        <v>0</v>
      </c>
      <c r="P16" s="30" t="str">
        <f>VLOOKUP($C16,Fixtures!A:I,6,FALSE)</f>
        <v>out</v>
      </c>
      <c r="Q16" s="20"/>
      <c r="R16" s="31">
        <f>VLOOKUP($B16,PickedPlayers!D:Q,11,FALSE)</f>
        <v>0</v>
      </c>
      <c r="S16" s="30" t="str">
        <f>VLOOKUP($C16,Fixtures!A:I,7,FALSE)</f>
        <v>out</v>
      </c>
      <c r="T16" s="20"/>
      <c r="U16" s="31">
        <f>VLOOKUP($B16,PickedPlayers!D:Q,12,FALSE)</f>
        <v>0</v>
      </c>
      <c r="V16" s="30" t="str">
        <f>VLOOKUP($C16,Fixtures!A:I,8,FALSE)</f>
        <v>out</v>
      </c>
      <c r="W16" s="20"/>
      <c r="X16" s="31">
        <f>VLOOKUP($B16,PickedPlayers!D:Q,13,FALSE)</f>
        <v>0</v>
      </c>
      <c r="Y16" s="30" t="str">
        <f>VLOOKUP($C16,Fixtures!A:I,9,FALSE)</f>
        <v>out</v>
      </c>
      <c r="Z16" s="20"/>
      <c r="AA16" s="31">
        <f>VLOOKUP($B16,PickedPlayers!D:Q,14,FALSE)</f>
        <v>0</v>
      </c>
    </row>
    <row r="17" spans="1:27" x14ac:dyDescent="0.25">
      <c r="A17" s="28" t="s">
        <v>2677</v>
      </c>
      <c r="B17" s="19" t="s">
        <v>404</v>
      </c>
      <c r="C17" s="29" t="s">
        <v>69</v>
      </c>
      <c r="D17" s="30" t="str">
        <f>VLOOKUP($C17,Fixtures!A:I,2,FALSE)</f>
        <v>JAP</v>
      </c>
      <c r="E17" s="20" t="s">
        <v>2687</v>
      </c>
      <c r="F17" s="31">
        <f>VLOOKUP($B17,PickedPlayers!D:Q,7,FALSE)</f>
        <v>0</v>
      </c>
      <c r="G17" s="30" t="str">
        <f>VLOOKUP($C17,Fixtures!A:I,3,FALSE)</f>
        <v>SWE</v>
      </c>
      <c r="H17" s="20" t="s">
        <v>2687</v>
      </c>
      <c r="I17" s="31">
        <f>VLOOKUP($B17,PickedPlayers!D:Q,8,FALSE)</f>
        <v>0</v>
      </c>
      <c r="J17" s="30" t="str">
        <f>VLOOKUP($C17,Fixtures!A:I,4,FALSE)</f>
        <v>TUN</v>
      </c>
      <c r="K17" s="20" t="s">
        <v>2692</v>
      </c>
      <c r="L17" s="31">
        <f>VLOOKUP($B17,PickedPlayers!D:Q,9,FALSE)</f>
        <v>0</v>
      </c>
      <c r="M17" s="30" t="str">
        <f>VLOOKUP($C17,Fixtures!A:I,5,FALSE)</f>
        <v>MOR</v>
      </c>
      <c r="N17" s="20" t="s">
        <v>2695</v>
      </c>
      <c r="O17" s="31">
        <f>VLOOKUP($B17,PickedPlayers!D:Q,10,FALSE)</f>
        <v>0</v>
      </c>
      <c r="P17" s="30" t="str">
        <f>VLOOKUP($C17,Fixtures!A:I,6,FALSE)</f>
        <v>out</v>
      </c>
      <c r="Q17" s="20"/>
      <c r="R17" s="31">
        <f>VLOOKUP($B17,PickedPlayers!D:Q,11,FALSE)</f>
        <v>0</v>
      </c>
      <c r="S17" s="30" t="str">
        <f>VLOOKUP($C17,Fixtures!A:I,7,FALSE)</f>
        <v>out</v>
      </c>
      <c r="T17" s="20"/>
      <c r="U17" s="31">
        <f>VLOOKUP($B17,PickedPlayers!D:Q,12,FALSE)</f>
        <v>0</v>
      </c>
      <c r="V17" s="30" t="str">
        <f>VLOOKUP($C17,Fixtures!A:I,8,FALSE)</f>
        <v>out</v>
      </c>
      <c r="W17" s="20"/>
      <c r="X17" s="31">
        <f>VLOOKUP($B17,PickedPlayers!D:Q,13,FALSE)</f>
        <v>0</v>
      </c>
      <c r="Y17" s="30" t="str">
        <f>VLOOKUP($C17,Fixtures!A:I,9,FALSE)</f>
        <v>out</v>
      </c>
      <c r="Z17" s="20"/>
      <c r="AA17" s="31">
        <f>VLOOKUP($B17,PickedPlayers!D:Q,14,FALSE)</f>
        <v>0</v>
      </c>
    </row>
    <row r="18" spans="1:27" x14ac:dyDescent="0.25">
      <c r="A18" s="28" t="s">
        <v>2677</v>
      </c>
      <c r="B18" s="19" t="s">
        <v>495</v>
      </c>
      <c r="C18" s="29" t="s">
        <v>109</v>
      </c>
      <c r="D18" s="30" t="str">
        <f>VLOOKUP($C18,Fixtures!A:I,2,FALSE)</f>
        <v>CRO</v>
      </c>
      <c r="E18" s="20" t="s">
        <v>2695</v>
      </c>
      <c r="F18" s="31">
        <f>VLOOKUP($B18,PickedPlayers!D:Q,7,FALSE)</f>
        <v>0</v>
      </c>
      <c r="G18" s="30" t="str">
        <f>VLOOKUP($C18,Fixtures!A:I,3,FALSE)</f>
        <v>GHA</v>
      </c>
      <c r="H18" s="20" t="s">
        <v>2689</v>
      </c>
      <c r="I18" s="31">
        <f>VLOOKUP($B18,PickedPlayers!D:Q,8,FALSE)</f>
        <v>0</v>
      </c>
      <c r="J18" s="30" t="str">
        <f>VLOOKUP($C18,Fixtures!A:I,4,FALSE)</f>
        <v>PAN</v>
      </c>
      <c r="K18" s="20" t="s">
        <v>2690</v>
      </c>
      <c r="L18" s="31">
        <f>VLOOKUP($B18,PickedPlayers!D:Q,9,FALSE)</f>
        <v>0</v>
      </c>
      <c r="M18" s="30" t="str">
        <f>VLOOKUP($C18,Fixtures!A:I,5,FALSE)</f>
        <v>CON</v>
      </c>
      <c r="N18" s="20" t="s">
        <v>2689</v>
      </c>
      <c r="O18" s="31">
        <f>VLOOKUP($B18,PickedPlayers!D:Q,10,FALSE)</f>
        <v>0</v>
      </c>
      <c r="P18" s="30" t="str">
        <f>VLOOKUP($C18,Fixtures!A:I,6,FALSE)</f>
        <v>MEX</v>
      </c>
      <c r="Q18" s="20" t="s">
        <v>2687</v>
      </c>
      <c r="R18" s="31">
        <f>VLOOKUP($B18,PickedPlayers!D:Q,11,FALSE)</f>
        <v>0</v>
      </c>
      <c r="S18" s="30" t="str">
        <f>VLOOKUP($C18,Fixtures!A:I,7,FALSE)</f>
        <v>TBC</v>
      </c>
      <c r="T18" s="20"/>
      <c r="U18" s="31">
        <f>VLOOKUP($B18,PickedPlayers!D:Q,12,FALSE)</f>
        <v>0</v>
      </c>
      <c r="V18" s="30" t="str">
        <f>VLOOKUP($C18,Fixtures!A:I,8,FALSE)</f>
        <v>TBC</v>
      </c>
      <c r="W18" s="20"/>
      <c r="X18" s="31">
        <f>VLOOKUP($B18,PickedPlayers!D:Q,13,FALSE)</f>
        <v>0</v>
      </c>
      <c r="Y18" s="30" t="str">
        <f>VLOOKUP($C18,Fixtures!A:I,9,FALSE)</f>
        <v>TBC</v>
      </c>
      <c r="Z18" s="20"/>
      <c r="AA18" s="31">
        <f>VLOOKUP($B18,PickedPlayers!D:Q,14,FALSE)</f>
        <v>0</v>
      </c>
    </row>
    <row r="19" spans="1:27" ht="15.75" thickBot="1" x14ac:dyDescent="0.3">
      <c r="A19" s="32" t="s">
        <v>2677</v>
      </c>
      <c r="B19" s="33" t="s">
        <v>535</v>
      </c>
      <c r="C19" s="34" t="s">
        <v>113</v>
      </c>
      <c r="D19" s="30" t="str">
        <f>VLOOKUP($C19,Fixtures!A:I,2,FALSE)</f>
        <v>EGY</v>
      </c>
      <c r="E19" s="35" t="s">
        <v>2689</v>
      </c>
      <c r="F19" s="31">
        <f>VLOOKUP($B19,PickedPlayers!D:Q,7,FALSE)</f>
        <v>0</v>
      </c>
      <c r="G19" s="30" t="str">
        <f>VLOOKUP($C19,Fixtures!A:I,3,FALSE)</f>
        <v>IRA</v>
      </c>
      <c r="H19" s="35" t="s">
        <v>2685</v>
      </c>
      <c r="I19" s="31">
        <f>VLOOKUP($B19,PickedPlayers!D:Q,8,FALSE)</f>
        <v>0</v>
      </c>
      <c r="J19" s="30" t="str">
        <f>VLOOKUP($C19,Fixtures!A:I,4,FALSE)</f>
        <v>NZL</v>
      </c>
      <c r="K19" s="35" t="s">
        <v>2687</v>
      </c>
      <c r="L19" s="31">
        <f>VLOOKUP($B19,PickedPlayers!D:Q,9,FALSE)</f>
        <v>0</v>
      </c>
      <c r="M19" s="30" t="str">
        <f>VLOOKUP($C19,Fixtures!A:I,5,FALSE)</f>
        <v>SEN</v>
      </c>
      <c r="N19" s="35" t="s">
        <v>2687</v>
      </c>
      <c r="O19" s="31">
        <f>VLOOKUP($B19,PickedPlayers!D:Q,10,FALSE)</f>
        <v>0</v>
      </c>
      <c r="P19" s="30" t="str">
        <f>VLOOKUP($C19,Fixtures!A:I,6,FALSE)</f>
        <v>USA</v>
      </c>
      <c r="Q19" s="35" t="s">
        <v>2687</v>
      </c>
      <c r="R19" s="31">
        <f>VLOOKUP($B19,PickedPlayers!D:Q,11,FALSE)</f>
        <v>0</v>
      </c>
      <c r="S19" s="30" t="str">
        <f>VLOOKUP($C19,Fixtures!A:I,7,FALSE)</f>
        <v>TBC</v>
      </c>
      <c r="T19" s="35"/>
      <c r="U19" s="31">
        <f>VLOOKUP($B19,PickedPlayers!D:Q,12,FALSE)</f>
        <v>0</v>
      </c>
      <c r="V19" s="30" t="str">
        <f>VLOOKUP($C19,Fixtures!A:I,8,FALSE)</f>
        <v>TBC</v>
      </c>
      <c r="W19" s="35"/>
      <c r="X19" s="31">
        <f>VLOOKUP($B19,PickedPlayers!D:Q,13,FALSE)</f>
        <v>0</v>
      </c>
      <c r="Y19" s="30" t="str">
        <f>VLOOKUP($C19,Fixtures!A:I,9,FALSE)</f>
        <v>TBC</v>
      </c>
      <c r="Z19" s="35"/>
      <c r="AA19" s="31">
        <f>VLOOKUP($B19,PickedPlayers!D:Q,14,FALSE)</f>
        <v>0</v>
      </c>
    </row>
    <row r="20" spans="1:27" s="18" customFormat="1" x14ac:dyDescent="0.25">
      <c r="A20" s="50"/>
      <c r="B20" s="51"/>
      <c r="C20" s="51"/>
      <c r="D20" s="67"/>
      <c r="E20" s="68"/>
      <c r="F20" s="69"/>
      <c r="G20" s="67"/>
      <c r="H20" s="68"/>
      <c r="I20" s="69"/>
      <c r="J20" s="67"/>
      <c r="K20" s="68"/>
      <c r="L20" s="69"/>
      <c r="M20" s="67"/>
      <c r="N20" s="68"/>
      <c r="O20" s="69"/>
      <c r="P20" s="67"/>
      <c r="Q20" s="68"/>
      <c r="R20" s="69"/>
      <c r="S20" s="67"/>
      <c r="T20" s="68"/>
      <c r="U20" s="69"/>
      <c r="V20" s="67"/>
      <c r="W20" s="68"/>
      <c r="X20" s="69"/>
      <c r="Y20" s="67"/>
      <c r="Z20" s="68"/>
      <c r="AA20" s="69"/>
    </row>
    <row r="21" spans="1:27" s="18" customFormat="1" ht="15.75" thickBot="1" x14ac:dyDescent="0.3">
      <c r="A21" s="52"/>
      <c r="B21" s="53"/>
      <c r="C21" s="53"/>
      <c r="D21" s="70"/>
      <c r="E21" s="71"/>
      <c r="F21" s="72"/>
      <c r="G21" s="70"/>
      <c r="H21" s="71"/>
      <c r="I21" s="72"/>
      <c r="J21" s="70"/>
      <c r="K21" s="71"/>
      <c r="L21" s="72"/>
      <c r="M21" s="70"/>
      <c r="N21" s="71"/>
      <c r="O21" s="72"/>
      <c r="P21" s="70"/>
      <c r="Q21" s="71"/>
      <c r="R21" s="72"/>
      <c r="S21" s="70"/>
      <c r="T21" s="71"/>
      <c r="U21" s="72"/>
      <c r="V21" s="70"/>
      <c r="W21" s="71"/>
      <c r="X21" s="72"/>
      <c r="Y21" s="70"/>
      <c r="Z21" s="71"/>
      <c r="AA21" s="72"/>
    </row>
    <row r="22" spans="1:27" ht="15" hidden="1" customHeight="1" x14ac:dyDescent="0.25">
      <c r="D22" s="21"/>
      <c r="E22" s="21"/>
      <c r="F22" s="21"/>
    </row>
  </sheetData>
  <mergeCells count="17">
    <mergeCell ref="V20:X21"/>
    <mergeCell ref="Y20:AA21"/>
    <mergeCell ref="S1:U1"/>
    <mergeCell ref="V1:X1"/>
    <mergeCell ref="Y1:AA1"/>
    <mergeCell ref="P20:R21"/>
    <mergeCell ref="S20:U21"/>
    <mergeCell ref="A1:C1"/>
    <mergeCell ref="D1:F1"/>
    <mergeCell ref="G1:I1"/>
    <mergeCell ref="J1:L1"/>
    <mergeCell ref="M1:O1"/>
    <mergeCell ref="P1:R1"/>
    <mergeCell ref="D20:F21"/>
    <mergeCell ref="G20:I21"/>
    <mergeCell ref="J20:L21"/>
    <mergeCell ref="M20:O21"/>
  </mergeCells>
  <conditionalFormatting sqref="E3:E19">
    <cfRule type="containsText" dxfId="46" priority="63" operator="containsText" text="Vice Captain">
      <formula>NOT(ISERROR(SEARCH("Vice Captain",E3)))</formula>
    </cfRule>
    <cfRule type="containsText" dxfId="45" priority="64" operator="containsText" text="Off">
      <formula>NOT(ISERROR(SEARCH("Off",E3)))</formula>
    </cfRule>
    <cfRule type="containsText" dxfId="44" priority="65" operator="containsText" text="Sub">
      <formula>NOT(ISERROR(SEARCH("Sub",E3)))</formula>
    </cfRule>
    <cfRule type="containsText" dxfId="43" priority="66" operator="containsText" text="Captain">
      <formula>NOT(ISERROR(SEARCH("Captain",E3)))</formula>
    </cfRule>
    <cfRule type="containsText" dxfId="42" priority="67" operator="containsText" text="Picked">
      <formula>NOT(ISERROR(SEARCH("Picked",E3)))</formula>
    </cfRule>
  </conditionalFormatting>
  <conditionalFormatting sqref="H3:H19">
    <cfRule type="containsText" dxfId="41" priority="56" operator="containsText" text="Vice Captain">
      <formula>NOT(ISERROR(SEARCH("Vice Captain",H3)))</formula>
    </cfRule>
    <cfRule type="containsText" dxfId="40" priority="57" operator="containsText" text="Off">
      <formula>NOT(ISERROR(SEARCH("Off",H3)))</formula>
    </cfRule>
    <cfRule type="containsText" dxfId="39" priority="58" operator="containsText" text="Sub">
      <formula>NOT(ISERROR(SEARCH("Sub",H3)))</formula>
    </cfRule>
    <cfRule type="containsText" dxfId="38" priority="59" operator="containsText" text="Captain">
      <formula>NOT(ISERROR(SEARCH("Captain",H3)))</formula>
    </cfRule>
    <cfRule type="containsText" dxfId="37" priority="60" operator="containsText" text="Picked">
      <formula>NOT(ISERROR(SEARCH("Picked",H3)))</formula>
    </cfRule>
  </conditionalFormatting>
  <conditionalFormatting sqref="K3:K19">
    <cfRule type="containsText" dxfId="36" priority="51" operator="containsText" text="Vice Captain">
      <formula>NOT(ISERROR(SEARCH("Vice Captain",K3)))</formula>
    </cfRule>
    <cfRule type="containsText" dxfId="35" priority="52" operator="containsText" text="Off">
      <formula>NOT(ISERROR(SEARCH("Off",K3)))</formula>
    </cfRule>
    <cfRule type="containsText" dxfId="34" priority="53" operator="containsText" text="Sub">
      <formula>NOT(ISERROR(SEARCH("Sub",K3)))</formula>
    </cfRule>
    <cfRule type="containsText" dxfId="33" priority="54" operator="containsText" text="Captain">
      <formula>NOT(ISERROR(SEARCH("Captain",K3)))</formula>
    </cfRule>
    <cfRule type="containsText" dxfId="32" priority="55" operator="containsText" text="Picked">
      <formula>NOT(ISERROR(SEARCH("Picked",K3)))</formula>
    </cfRule>
  </conditionalFormatting>
  <conditionalFormatting sqref="M3:M19 P3:P19 S3:S19 V3:V19 Y3:Y19">
    <cfRule type="containsText" dxfId="31" priority="61" operator="containsText" text="tbc">
      <formula>NOT(ISERROR(SEARCH("tbc",M3)))</formula>
    </cfRule>
    <cfRule type="containsText" dxfId="30" priority="62" operator="containsText" text="Out">
      <formula>NOT(ISERROR(SEARCH("Out",M3)))</formula>
    </cfRule>
  </conditionalFormatting>
  <conditionalFormatting sqref="N3:N19">
    <cfRule type="containsText" dxfId="29" priority="1" operator="containsText" text="Vice Captain">
      <formula>NOT(ISERROR(SEARCH("Vice Captain",N3)))</formula>
    </cfRule>
    <cfRule type="containsText" dxfId="28" priority="2" operator="containsText" text="Off">
      <formula>NOT(ISERROR(SEARCH("Off",N3)))</formula>
    </cfRule>
    <cfRule type="containsText" dxfId="27" priority="3" operator="containsText" text="Sub">
      <formula>NOT(ISERROR(SEARCH("Sub",N3)))</formula>
    </cfRule>
    <cfRule type="containsText" dxfId="26" priority="4" operator="containsText" text="Captain">
      <formula>NOT(ISERROR(SEARCH("Captain",N3)))</formula>
    </cfRule>
    <cfRule type="containsText" dxfId="25" priority="5" operator="containsText" text="Picked">
      <formula>NOT(ISERROR(SEARCH("Picked",N3)))</formula>
    </cfRule>
  </conditionalFormatting>
  <conditionalFormatting sqref="Q3:Q19">
    <cfRule type="containsText" dxfId="24" priority="41" operator="containsText" text="Vice Captain">
      <formula>NOT(ISERROR(SEARCH("Vice Captain",Q3)))</formula>
    </cfRule>
    <cfRule type="containsText" dxfId="23" priority="42" operator="containsText" text="Off">
      <formula>NOT(ISERROR(SEARCH("Off",Q3)))</formula>
    </cfRule>
    <cfRule type="containsText" dxfId="22" priority="43" operator="containsText" text="Sub">
      <formula>NOT(ISERROR(SEARCH("Sub",Q3)))</formula>
    </cfRule>
    <cfRule type="containsText" dxfId="21" priority="44" operator="containsText" text="Captain">
      <formula>NOT(ISERROR(SEARCH("Captain",Q3)))</formula>
    </cfRule>
    <cfRule type="containsText" dxfId="20" priority="45" operator="containsText" text="Picked">
      <formula>NOT(ISERROR(SEARCH("Picked",Q3)))</formula>
    </cfRule>
  </conditionalFormatting>
  <conditionalFormatting sqref="T3:T19">
    <cfRule type="containsText" dxfId="19" priority="16" operator="containsText" text="Vice Captain">
      <formula>NOT(ISERROR(SEARCH("Vice Captain",T3)))</formula>
    </cfRule>
    <cfRule type="containsText" dxfId="18" priority="17" operator="containsText" text="Off">
      <formula>NOT(ISERROR(SEARCH("Off",T3)))</formula>
    </cfRule>
    <cfRule type="containsText" dxfId="17" priority="18" operator="containsText" text="Sub">
      <formula>NOT(ISERROR(SEARCH("Sub",T3)))</formula>
    </cfRule>
    <cfRule type="containsText" dxfId="16" priority="19" operator="containsText" text="Captain">
      <formula>NOT(ISERROR(SEARCH("Captain",T3)))</formula>
    </cfRule>
    <cfRule type="containsText" dxfId="15" priority="20" operator="containsText" text="Picked">
      <formula>NOT(ISERROR(SEARCH("Picked",T3)))</formula>
    </cfRule>
  </conditionalFormatting>
  <conditionalFormatting sqref="W3:W19">
    <cfRule type="containsText" dxfId="14" priority="11" operator="containsText" text="Vice Captain">
      <formula>NOT(ISERROR(SEARCH("Vice Captain",W3)))</formula>
    </cfRule>
    <cfRule type="containsText" dxfId="13" priority="12" operator="containsText" text="Off">
      <formula>NOT(ISERROR(SEARCH("Off",W3)))</formula>
    </cfRule>
    <cfRule type="containsText" dxfId="12" priority="13" operator="containsText" text="Sub">
      <formula>NOT(ISERROR(SEARCH("Sub",W3)))</formula>
    </cfRule>
    <cfRule type="containsText" dxfId="11" priority="14" operator="containsText" text="Captain">
      <formula>NOT(ISERROR(SEARCH("Captain",W3)))</formula>
    </cfRule>
    <cfRule type="containsText" dxfId="10" priority="15" operator="containsText" text="Picked">
      <formula>NOT(ISERROR(SEARCH("Picked",W3)))</formula>
    </cfRule>
  </conditionalFormatting>
  <conditionalFormatting sqref="Z3:Z19">
    <cfRule type="containsText" dxfId="9" priority="6" operator="containsText" text="Vice Captain">
      <formula>NOT(ISERROR(SEARCH("Vice Captain",Z3)))</formula>
    </cfRule>
    <cfRule type="containsText" dxfId="8" priority="7" operator="containsText" text="Off">
      <formula>NOT(ISERROR(SEARCH("Off",Z3)))</formula>
    </cfRule>
    <cfRule type="containsText" dxfId="7" priority="8" operator="containsText" text="Sub">
      <formula>NOT(ISERROR(SEARCH("Sub",Z3)))</formula>
    </cfRule>
    <cfRule type="containsText" dxfId="6" priority="9" operator="containsText" text="Captain">
      <formula>NOT(ISERROR(SEARCH("Captain",Z3)))</formula>
    </cfRule>
    <cfRule type="containsText" dxfId="5" priority="10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7DF8C23-39AF-43A0-974B-6842C465A61A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893F7823-116E-4075-B979-A3F3F530DB6C}">
          <x14:formula1>
            <xm:f>Lookups!$E$2:$E$9</xm:f>
          </x14:formula1>
          <xm:sqref>E5:E19 Z5:Z19 T5:T19 H5:H19 K5:K19 W5:W19 Q5:Q19 N5:N19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8A55-951F-49E4-9C06-7D0FD4E8C2D6}">
  <dimension ref="A1:AG105"/>
  <sheetViews>
    <sheetView workbookViewId="0">
      <pane ySplit="1" topLeftCell="A71" activePane="bottomLeft" state="frozen"/>
      <selection activeCell="C1" sqref="C1"/>
      <selection pane="bottomLeft" activeCell="B98" sqref="B98"/>
    </sheetView>
  </sheetViews>
  <sheetFormatPr defaultColWidth="9.42578125" defaultRowHeight="15" x14ac:dyDescent="0.25"/>
  <cols>
    <col min="1" max="1" width="29.85546875" style="3" bestFit="1" customWidth="1"/>
    <col min="2" max="2" width="32.140625" style="3" bestFit="1" customWidth="1"/>
    <col min="3" max="3" width="10.28515625" style="3" bestFit="1" customWidth="1"/>
    <col min="4" max="4" width="9.140625" style="3" bestFit="1" customWidth="1"/>
    <col min="5" max="6" width="18.85546875" style="3" hidden="1" customWidth="1"/>
    <col min="7" max="7" width="6.7109375" style="3" bestFit="1" customWidth="1"/>
    <col min="8" max="16" width="9.42578125" style="3"/>
    <col min="17" max="33" width="9.42578125" style="3" customWidth="1"/>
    <col min="34" max="16384" width="9.42578125" style="3"/>
  </cols>
  <sheetData>
    <row r="1" spans="1:33" s="4" customFormat="1" x14ac:dyDescent="0.25">
      <c r="A1" s="22" t="s">
        <v>2702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40" t="s">
        <v>2703</v>
      </c>
      <c r="I1" s="41" t="s">
        <v>274</v>
      </c>
      <c r="J1" s="41" t="s">
        <v>277</v>
      </c>
      <c r="K1" s="41" t="s">
        <v>280</v>
      </c>
      <c r="L1" s="41" t="s">
        <v>283</v>
      </c>
      <c r="M1" s="41" t="s">
        <v>286</v>
      </c>
      <c r="N1" s="41" t="s">
        <v>289</v>
      </c>
      <c r="O1" s="41" t="s">
        <v>292</v>
      </c>
      <c r="P1" s="42" t="s">
        <v>295</v>
      </c>
      <c r="Z1" s="4" t="s">
        <v>2704</v>
      </c>
      <c r="AA1" s="4" t="s">
        <v>2705</v>
      </c>
      <c r="AB1" s="4" t="s">
        <v>2706</v>
      </c>
      <c r="AC1" s="4" t="s">
        <v>2707</v>
      </c>
      <c r="AD1" s="4" t="s">
        <v>2708</v>
      </c>
      <c r="AE1" s="4" t="s">
        <v>2709</v>
      </c>
      <c r="AF1" s="4" t="s">
        <v>2710</v>
      </c>
      <c r="AG1" s="4" t="s">
        <v>2711</v>
      </c>
    </row>
    <row r="2" spans="1:33" x14ac:dyDescent="0.25">
      <c r="A2" s="28" t="s">
        <v>264</v>
      </c>
      <c r="B2" s="19" t="s">
        <v>265</v>
      </c>
      <c r="C2" s="36">
        <v>46184</v>
      </c>
      <c r="D2" s="37">
        <v>0.83333333333333337</v>
      </c>
      <c r="E2" s="19" t="s">
        <v>153</v>
      </c>
      <c r="F2" s="19" t="s">
        <v>82</v>
      </c>
      <c r="G2" s="19" t="s">
        <v>219</v>
      </c>
      <c r="H2" s="38" t="s">
        <v>2712</v>
      </c>
      <c r="I2" s="39" t="s">
        <v>2713</v>
      </c>
      <c r="J2" s="39" t="s">
        <v>2714</v>
      </c>
      <c r="K2" s="39" t="s">
        <v>2712</v>
      </c>
      <c r="L2" s="39" t="s">
        <v>2714</v>
      </c>
      <c r="M2" s="39" t="s">
        <v>2712</v>
      </c>
      <c r="N2" s="39" t="s">
        <v>2712</v>
      </c>
      <c r="O2" s="39" t="s">
        <v>2712</v>
      </c>
      <c r="P2" s="39" t="s">
        <v>2715</v>
      </c>
      <c r="Q2" s="3" t="str">
        <f t="shared" ref="Q2:Y2" si="0">IF(LEFT(H2,1)-RIGHT(H2,1)=0,"D",IF(LEFT(H2,1)-RIGHT(H2,1)&gt;0,"H","A"))</f>
        <v>H</v>
      </c>
      <c r="R2" s="3" t="str">
        <f t="shared" si="0"/>
        <v>H</v>
      </c>
      <c r="S2" s="3" t="str">
        <f t="shared" si="0"/>
        <v>H</v>
      </c>
      <c r="T2" s="3" t="str">
        <f t="shared" si="0"/>
        <v>H</v>
      </c>
      <c r="U2" s="3" t="str">
        <f t="shared" si="0"/>
        <v>H</v>
      </c>
      <c r="V2" s="3" t="str">
        <f t="shared" si="0"/>
        <v>H</v>
      </c>
      <c r="W2" s="3" t="str">
        <f t="shared" si="0"/>
        <v>H</v>
      </c>
      <c r="X2" s="3" t="str">
        <f t="shared" si="0"/>
        <v>H</v>
      </c>
      <c r="Y2" s="3" t="str">
        <f t="shared" si="0"/>
        <v>H</v>
      </c>
      <c r="Z2" s="3" t="str">
        <f t="shared" ref="Z2:AG2" si="1">IF(I2="","",IF(I2=$H2,"W",IF(R2=$Q2,"D","L")))</f>
        <v>D</v>
      </c>
      <c r="AA2" s="3" t="str">
        <f t="shared" si="1"/>
        <v>D</v>
      </c>
      <c r="AB2" s="3" t="str">
        <f t="shared" si="1"/>
        <v>W</v>
      </c>
      <c r="AC2" s="3" t="str">
        <f t="shared" si="1"/>
        <v>D</v>
      </c>
      <c r="AD2" s="3" t="str">
        <f t="shared" si="1"/>
        <v>W</v>
      </c>
      <c r="AE2" s="3" t="str">
        <f t="shared" si="1"/>
        <v>W</v>
      </c>
      <c r="AF2" s="3" t="str">
        <f t="shared" si="1"/>
        <v>W</v>
      </c>
      <c r="AG2" s="3" t="str">
        <f t="shared" si="1"/>
        <v>D</v>
      </c>
    </row>
    <row r="3" spans="1:33" x14ac:dyDescent="0.25">
      <c r="A3" s="28" t="s">
        <v>262</v>
      </c>
      <c r="B3" s="19" t="s">
        <v>2716</v>
      </c>
      <c r="C3" s="36">
        <v>46185</v>
      </c>
      <c r="D3" s="37">
        <v>0.125</v>
      </c>
      <c r="E3" s="19" t="s">
        <v>2697</v>
      </c>
      <c r="F3" s="19" t="s">
        <v>152</v>
      </c>
      <c r="G3" s="19" t="s">
        <v>219</v>
      </c>
      <c r="H3" s="38" t="s">
        <v>2713</v>
      </c>
      <c r="I3" s="39" t="s">
        <v>2713</v>
      </c>
      <c r="J3" s="39" t="s">
        <v>2712</v>
      </c>
      <c r="K3" s="39" t="s">
        <v>2715</v>
      </c>
      <c r="L3" s="39" t="s">
        <v>2715</v>
      </c>
      <c r="M3" s="39" t="s">
        <v>2717</v>
      </c>
      <c r="N3" s="39" t="s">
        <v>2717</v>
      </c>
      <c r="O3" s="39" t="s">
        <v>2717</v>
      </c>
      <c r="P3" s="39" t="s">
        <v>2717</v>
      </c>
      <c r="Q3" s="3" t="str">
        <f t="shared" ref="Q3:Q66" si="2">IF(LEFT(H3,1)-RIGHT(H3,1)=0,"D",IF(LEFT(H3,1)-RIGHT(H3,1)&gt;0,"H","A"))</f>
        <v>H</v>
      </c>
      <c r="R3" s="3" t="str">
        <f t="shared" ref="R3:R66" si="3">IF(LEFT(I3,1)-RIGHT(I3,1)=0,"D",IF(LEFT(I3,1)-RIGHT(I3,1)&gt;0,"H","A"))</f>
        <v>H</v>
      </c>
      <c r="S3" s="3" t="str">
        <f t="shared" ref="S3:S66" si="4">IF(LEFT(J3,1)-RIGHT(J3,1)=0,"D",IF(LEFT(J3,1)-RIGHT(J3,1)&gt;0,"H","A"))</f>
        <v>H</v>
      </c>
      <c r="T3" s="3" t="str">
        <f t="shared" ref="T3:T66" si="5">IF(LEFT(K3,1)-RIGHT(K3,1)=0,"D",IF(LEFT(K3,1)-RIGHT(K3,1)&gt;0,"H","A"))</f>
        <v>H</v>
      </c>
      <c r="U3" s="3" t="str">
        <f t="shared" ref="U3:U66" si="6">IF(LEFT(L3,1)-RIGHT(L3,1)=0,"D",IF(LEFT(L3,1)-RIGHT(L3,1)&gt;0,"H","A"))</f>
        <v>H</v>
      </c>
      <c r="V3" s="3" t="str">
        <f t="shared" ref="V3:V66" si="7">IF(LEFT(M3,1)-RIGHT(M3,1)=0,"D",IF(LEFT(M3,1)-RIGHT(M3,1)&gt;0,"H","A"))</f>
        <v>D</v>
      </c>
      <c r="W3" s="3" t="str">
        <f t="shared" ref="W3:W66" si="8">IF(LEFT(N3,1)-RIGHT(N3,1)=0,"D",IF(LEFT(N3,1)-RIGHT(N3,1)&gt;0,"H","A"))</f>
        <v>D</v>
      </c>
      <c r="X3" s="3" t="str">
        <f t="shared" ref="X3:X66" si="9">IF(LEFT(O3,1)-RIGHT(O3,1)=0,"D",IF(LEFT(O3,1)-RIGHT(O3,1)&gt;0,"H","A"))</f>
        <v>D</v>
      </c>
      <c r="Y3" s="3" t="str">
        <f t="shared" ref="Y3:Y66" si="10">IF(LEFT(P3,1)-RIGHT(P3,1)=0,"D",IF(LEFT(P3,1)-RIGHT(P3,1)&gt;0,"H","A"))</f>
        <v>D</v>
      </c>
      <c r="Z3" s="3" t="str">
        <f t="shared" ref="Z3:Z66" si="11">IF(I3="","",IF(I3=$H3,"W",IF(R3=$Q3,"D","L")))</f>
        <v>W</v>
      </c>
      <c r="AA3" s="3" t="str">
        <f t="shared" ref="AA3:AA66" si="12">IF(J3="","",IF(J3=$H3,"W",IF(S3=$Q3,"D","L")))</f>
        <v>D</v>
      </c>
      <c r="AB3" s="3" t="str">
        <f t="shared" ref="AB3:AB66" si="13">IF(K3="","",IF(K3=$H3,"W",IF(T3=$Q3,"D","L")))</f>
        <v>D</v>
      </c>
      <c r="AC3" s="3" t="str">
        <f t="shared" ref="AC3:AC66" si="14">IF(L3="","",IF(L3=$H3,"W",IF(U3=$Q3,"D","L")))</f>
        <v>D</v>
      </c>
      <c r="AD3" s="3" t="str">
        <f t="shared" ref="AD3:AD66" si="15">IF(M3="","",IF(M3=$H3,"W",IF(V3=$Q3,"D","L")))</f>
        <v>L</v>
      </c>
      <c r="AE3" s="3" t="str">
        <f t="shared" ref="AE3:AE66" si="16">IF(N3="","",IF(N3=$H3,"W",IF(W3=$Q3,"D","L")))</f>
        <v>L</v>
      </c>
      <c r="AF3" s="3" t="str">
        <f t="shared" ref="AF3:AF66" si="17">IF(O3="","",IF(O3=$H3,"W",IF(X3=$Q3,"D","L")))</f>
        <v>L</v>
      </c>
      <c r="AG3" s="3" t="str">
        <f t="shared" ref="AG3:AG66" si="18">IF(P3="","",IF(P3=$H3,"W",IF(Y3=$Q3,"D","L")))</f>
        <v>L</v>
      </c>
    </row>
    <row r="4" spans="1:33" x14ac:dyDescent="0.25">
      <c r="A4" s="28" t="s">
        <v>260</v>
      </c>
      <c r="B4" s="19" t="s">
        <v>2718</v>
      </c>
      <c r="C4" s="36">
        <v>46185</v>
      </c>
      <c r="D4" s="37">
        <v>0.83333333333333337</v>
      </c>
      <c r="E4" s="19" t="s">
        <v>83</v>
      </c>
      <c r="F4" s="19" t="s">
        <v>2719</v>
      </c>
      <c r="G4" s="19" t="s">
        <v>219</v>
      </c>
      <c r="H4" s="38" t="s">
        <v>2717</v>
      </c>
      <c r="I4" s="39" t="s">
        <v>2717</v>
      </c>
      <c r="J4" s="39" t="s">
        <v>2720</v>
      </c>
      <c r="K4" s="39" t="s">
        <v>2713</v>
      </c>
      <c r="L4" s="39" t="s">
        <v>2713</v>
      </c>
      <c r="M4" s="39" t="s">
        <v>2715</v>
      </c>
      <c r="N4" s="39" t="s">
        <v>2713</v>
      </c>
      <c r="O4" s="39" t="s">
        <v>2713</v>
      </c>
      <c r="P4" s="39" t="s">
        <v>2715</v>
      </c>
      <c r="Q4" s="3" t="str">
        <f t="shared" si="2"/>
        <v>D</v>
      </c>
      <c r="R4" s="3" t="str">
        <f t="shared" si="3"/>
        <v>D</v>
      </c>
      <c r="S4" s="3" t="str">
        <f t="shared" si="4"/>
        <v>A</v>
      </c>
      <c r="T4" s="3" t="str">
        <f t="shared" si="5"/>
        <v>H</v>
      </c>
      <c r="U4" s="3" t="str">
        <f t="shared" si="6"/>
        <v>H</v>
      </c>
      <c r="V4" s="3" t="str">
        <f t="shared" si="7"/>
        <v>H</v>
      </c>
      <c r="W4" s="3" t="str">
        <f t="shared" si="8"/>
        <v>H</v>
      </c>
      <c r="X4" s="3" t="str">
        <f t="shared" si="9"/>
        <v>H</v>
      </c>
      <c r="Y4" s="3" t="str">
        <f t="shared" si="10"/>
        <v>H</v>
      </c>
      <c r="Z4" s="3" t="str">
        <f t="shared" si="11"/>
        <v>W</v>
      </c>
      <c r="AA4" s="3" t="str">
        <f t="shared" si="12"/>
        <v>L</v>
      </c>
      <c r="AB4" s="3" t="str">
        <f t="shared" si="13"/>
        <v>L</v>
      </c>
      <c r="AC4" s="3" t="str">
        <f t="shared" si="14"/>
        <v>L</v>
      </c>
      <c r="AD4" s="3" t="str">
        <f t="shared" si="15"/>
        <v>L</v>
      </c>
      <c r="AE4" s="3" t="str">
        <f t="shared" si="16"/>
        <v>L</v>
      </c>
      <c r="AF4" s="3" t="str">
        <f t="shared" si="17"/>
        <v>L</v>
      </c>
      <c r="AG4" s="3" t="str">
        <f t="shared" si="18"/>
        <v>L</v>
      </c>
    </row>
    <row r="5" spans="1:33" x14ac:dyDescent="0.25">
      <c r="A5" s="28" t="s">
        <v>258</v>
      </c>
      <c r="B5" s="19" t="s">
        <v>2721</v>
      </c>
      <c r="C5" s="36">
        <v>46186</v>
      </c>
      <c r="D5" s="37">
        <v>8.3333333333333329E-2</v>
      </c>
      <c r="E5" s="19" t="s">
        <v>2522</v>
      </c>
      <c r="F5" s="19" t="s">
        <v>75</v>
      </c>
      <c r="G5" s="19" t="s">
        <v>219</v>
      </c>
      <c r="H5" s="38" t="s">
        <v>2722</v>
      </c>
      <c r="I5" s="39" t="s">
        <v>2713</v>
      </c>
      <c r="J5" s="39" t="s">
        <v>2723</v>
      </c>
      <c r="K5" s="39" t="s">
        <v>2713</v>
      </c>
      <c r="L5" s="39" t="s">
        <v>2712</v>
      </c>
      <c r="M5" s="39" t="s">
        <v>2717</v>
      </c>
      <c r="N5" s="39" t="s">
        <v>2713</v>
      </c>
      <c r="O5" s="39" t="s">
        <v>2713</v>
      </c>
      <c r="P5" s="39" t="s">
        <v>2715</v>
      </c>
      <c r="Q5" s="3" t="str">
        <f t="shared" si="2"/>
        <v>H</v>
      </c>
      <c r="R5" s="3" t="str">
        <f t="shared" si="3"/>
        <v>H</v>
      </c>
      <c r="S5" s="3" t="str">
        <f t="shared" si="4"/>
        <v>H</v>
      </c>
      <c r="T5" s="3" t="str">
        <f t="shared" si="5"/>
        <v>H</v>
      </c>
      <c r="U5" s="3" t="str">
        <f t="shared" si="6"/>
        <v>H</v>
      </c>
      <c r="V5" s="3" t="str">
        <f t="shared" si="7"/>
        <v>D</v>
      </c>
      <c r="W5" s="3" t="str">
        <f t="shared" si="8"/>
        <v>H</v>
      </c>
      <c r="X5" s="3" t="str">
        <f t="shared" si="9"/>
        <v>H</v>
      </c>
      <c r="Y5" s="3" t="str">
        <f t="shared" si="10"/>
        <v>H</v>
      </c>
      <c r="Z5" s="3" t="str">
        <f t="shared" si="11"/>
        <v>D</v>
      </c>
      <c r="AA5" s="3" t="str">
        <f t="shared" si="12"/>
        <v>D</v>
      </c>
      <c r="AB5" s="3" t="str">
        <f t="shared" si="13"/>
        <v>D</v>
      </c>
      <c r="AC5" s="3" t="str">
        <f t="shared" si="14"/>
        <v>D</v>
      </c>
      <c r="AD5" s="3" t="str">
        <f t="shared" si="15"/>
        <v>L</v>
      </c>
      <c r="AE5" s="3" t="str">
        <f t="shared" si="16"/>
        <v>D</v>
      </c>
      <c r="AF5" s="3" t="str">
        <f t="shared" si="17"/>
        <v>D</v>
      </c>
      <c r="AG5" s="3" t="str">
        <f t="shared" si="18"/>
        <v>D</v>
      </c>
    </row>
    <row r="6" spans="1:33" x14ac:dyDescent="0.25">
      <c r="A6" s="28" t="s">
        <v>256</v>
      </c>
      <c r="B6" s="19" t="s">
        <v>257</v>
      </c>
      <c r="C6" s="36">
        <v>46186</v>
      </c>
      <c r="D6" s="37">
        <v>0.83333333333333337</v>
      </c>
      <c r="E6" s="19" t="s">
        <v>162</v>
      </c>
      <c r="F6" s="19" t="s">
        <v>165</v>
      </c>
      <c r="G6" s="19" t="s">
        <v>219</v>
      </c>
      <c r="H6" s="38" t="s">
        <v>2717</v>
      </c>
      <c r="I6" s="39" t="s">
        <v>2724</v>
      </c>
      <c r="J6" s="39" t="s">
        <v>2725</v>
      </c>
      <c r="K6" s="39" t="s">
        <v>2725</v>
      </c>
      <c r="L6" s="39" t="s">
        <v>2726</v>
      </c>
      <c r="M6" s="39" t="s">
        <v>2727</v>
      </c>
      <c r="N6" s="39" t="s">
        <v>2724</v>
      </c>
      <c r="O6" s="39" t="s">
        <v>2724</v>
      </c>
      <c r="P6" s="39" t="s">
        <v>2724</v>
      </c>
      <c r="Q6" s="3" t="str">
        <f t="shared" si="2"/>
        <v>D</v>
      </c>
      <c r="R6" s="3" t="str">
        <f t="shared" si="3"/>
        <v>A</v>
      </c>
      <c r="S6" s="3" t="str">
        <f t="shared" si="4"/>
        <v>A</v>
      </c>
      <c r="T6" s="3" t="str">
        <f t="shared" si="5"/>
        <v>A</v>
      </c>
      <c r="U6" s="3" t="str">
        <f t="shared" si="6"/>
        <v>A</v>
      </c>
      <c r="V6" s="3" t="str">
        <f t="shared" si="7"/>
        <v>A</v>
      </c>
      <c r="W6" s="3" t="str">
        <f t="shared" si="8"/>
        <v>A</v>
      </c>
      <c r="X6" s="3" t="str">
        <f t="shared" si="9"/>
        <v>A</v>
      </c>
      <c r="Y6" s="3" t="str">
        <f t="shared" si="10"/>
        <v>A</v>
      </c>
      <c r="Z6" s="3" t="str">
        <f t="shared" si="11"/>
        <v>L</v>
      </c>
      <c r="AA6" s="3" t="str">
        <f t="shared" si="12"/>
        <v>L</v>
      </c>
      <c r="AB6" s="3" t="str">
        <f t="shared" si="13"/>
        <v>L</v>
      </c>
      <c r="AC6" s="3" t="str">
        <f t="shared" si="14"/>
        <v>L</v>
      </c>
      <c r="AD6" s="3" t="str">
        <f t="shared" si="15"/>
        <v>L</v>
      </c>
      <c r="AE6" s="3" t="str">
        <f t="shared" si="16"/>
        <v>L</v>
      </c>
      <c r="AF6" s="3" t="str">
        <f t="shared" si="17"/>
        <v>L</v>
      </c>
      <c r="AG6" s="3" t="str">
        <f t="shared" si="18"/>
        <v>L</v>
      </c>
    </row>
    <row r="7" spans="1:33" x14ac:dyDescent="0.25">
      <c r="A7" s="28" t="s">
        <v>254</v>
      </c>
      <c r="B7" s="19" t="s">
        <v>255</v>
      </c>
      <c r="C7" s="36">
        <v>46186</v>
      </c>
      <c r="D7" s="37">
        <v>0.95833333333333337</v>
      </c>
      <c r="E7" s="19" t="s">
        <v>78</v>
      </c>
      <c r="F7" s="19" t="s">
        <v>70</v>
      </c>
      <c r="G7" s="19" t="s">
        <v>219</v>
      </c>
      <c r="H7" s="38" t="s">
        <v>2717</v>
      </c>
      <c r="I7" s="39" t="s">
        <v>2712</v>
      </c>
      <c r="J7" s="39" t="s">
        <v>2722</v>
      </c>
      <c r="K7" s="39" t="s">
        <v>2713</v>
      </c>
      <c r="L7" s="39" t="s">
        <v>2714</v>
      </c>
      <c r="M7" s="39" t="s">
        <v>2715</v>
      </c>
      <c r="N7" s="39" t="s">
        <v>2713</v>
      </c>
      <c r="O7" s="39" t="s">
        <v>2712</v>
      </c>
      <c r="P7" s="39" t="s">
        <v>2715</v>
      </c>
      <c r="Q7" s="3" t="str">
        <f t="shared" si="2"/>
        <v>D</v>
      </c>
      <c r="R7" s="3" t="str">
        <f t="shared" si="3"/>
        <v>H</v>
      </c>
      <c r="S7" s="3" t="str">
        <f t="shared" si="4"/>
        <v>H</v>
      </c>
      <c r="T7" s="3" t="str">
        <f t="shared" si="5"/>
        <v>H</v>
      </c>
      <c r="U7" s="3" t="str">
        <f t="shared" si="6"/>
        <v>H</v>
      </c>
      <c r="V7" s="3" t="str">
        <f t="shared" si="7"/>
        <v>H</v>
      </c>
      <c r="W7" s="3" t="str">
        <f t="shared" si="8"/>
        <v>H</v>
      </c>
      <c r="X7" s="3" t="str">
        <f t="shared" si="9"/>
        <v>H</v>
      </c>
      <c r="Y7" s="3" t="str">
        <f t="shared" si="10"/>
        <v>H</v>
      </c>
      <c r="Z7" s="3" t="str">
        <f t="shared" si="11"/>
        <v>L</v>
      </c>
      <c r="AA7" s="3" t="str">
        <f t="shared" si="12"/>
        <v>L</v>
      </c>
      <c r="AB7" s="3" t="str">
        <f t="shared" si="13"/>
        <v>L</v>
      </c>
      <c r="AC7" s="3" t="str">
        <f t="shared" si="14"/>
        <v>L</v>
      </c>
      <c r="AD7" s="3" t="str">
        <f t="shared" si="15"/>
        <v>L</v>
      </c>
      <c r="AE7" s="3" t="str">
        <f t="shared" si="16"/>
        <v>L</v>
      </c>
      <c r="AF7" s="3" t="str">
        <f t="shared" si="17"/>
        <v>L</v>
      </c>
      <c r="AG7" s="3" t="str">
        <f t="shared" si="18"/>
        <v>L</v>
      </c>
    </row>
    <row r="8" spans="1:33" x14ac:dyDescent="0.25">
      <c r="A8" s="28" t="s">
        <v>252</v>
      </c>
      <c r="B8" s="19" t="s">
        <v>253</v>
      </c>
      <c r="C8" s="36">
        <v>46187</v>
      </c>
      <c r="D8" s="37">
        <v>8.3333333333333329E-2</v>
      </c>
      <c r="E8" s="19" t="s">
        <v>159</v>
      </c>
      <c r="F8" s="19" t="s">
        <v>156</v>
      </c>
      <c r="G8" s="19" t="s">
        <v>219</v>
      </c>
      <c r="H8" s="38" t="s">
        <v>2720</v>
      </c>
      <c r="I8" s="39" t="s">
        <v>2727</v>
      </c>
      <c r="J8" s="39" t="s">
        <v>2728</v>
      </c>
      <c r="K8" s="39" t="s">
        <v>2725</v>
      </c>
      <c r="L8" s="39" t="s">
        <v>2725</v>
      </c>
      <c r="M8" s="39" t="s">
        <v>2724</v>
      </c>
      <c r="N8" s="39" t="s">
        <v>2724</v>
      </c>
      <c r="O8" s="39" t="s">
        <v>2724</v>
      </c>
      <c r="P8" s="39" t="s">
        <v>2720</v>
      </c>
      <c r="Q8" s="3" t="str">
        <f t="shared" si="2"/>
        <v>A</v>
      </c>
      <c r="R8" s="3" t="str">
        <f t="shared" si="3"/>
        <v>A</v>
      </c>
      <c r="S8" s="3" t="str">
        <f t="shared" si="4"/>
        <v>A</v>
      </c>
      <c r="T8" s="3" t="str">
        <f t="shared" si="5"/>
        <v>A</v>
      </c>
      <c r="U8" s="3" t="str">
        <f t="shared" si="6"/>
        <v>A</v>
      </c>
      <c r="V8" s="3" t="str">
        <f t="shared" si="7"/>
        <v>A</v>
      </c>
      <c r="W8" s="3" t="str">
        <f t="shared" si="8"/>
        <v>A</v>
      </c>
      <c r="X8" s="3" t="str">
        <f t="shared" si="9"/>
        <v>A</v>
      </c>
      <c r="Y8" s="3" t="str">
        <f t="shared" si="10"/>
        <v>A</v>
      </c>
      <c r="Z8" s="3" t="str">
        <f t="shared" si="11"/>
        <v>D</v>
      </c>
      <c r="AA8" s="3" t="str">
        <f t="shared" si="12"/>
        <v>D</v>
      </c>
      <c r="AB8" s="3" t="str">
        <f t="shared" si="13"/>
        <v>D</v>
      </c>
      <c r="AC8" s="3" t="str">
        <f t="shared" si="14"/>
        <v>D</v>
      </c>
      <c r="AD8" s="3" t="str">
        <f t="shared" si="15"/>
        <v>D</v>
      </c>
      <c r="AE8" s="3" t="str">
        <f t="shared" si="16"/>
        <v>D</v>
      </c>
      <c r="AF8" s="3" t="str">
        <f t="shared" si="17"/>
        <v>D</v>
      </c>
      <c r="AG8" s="3" t="str">
        <f t="shared" si="18"/>
        <v>W</v>
      </c>
    </row>
    <row r="9" spans="1:33" x14ac:dyDescent="0.25">
      <c r="A9" s="28" t="s">
        <v>250</v>
      </c>
      <c r="B9" s="19" t="s">
        <v>2729</v>
      </c>
      <c r="C9" s="36">
        <v>46187</v>
      </c>
      <c r="D9" s="37">
        <v>0.20833333333333334</v>
      </c>
      <c r="E9" s="19" t="s">
        <v>45</v>
      </c>
      <c r="F9" s="19" t="s">
        <v>2696</v>
      </c>
      <c r="G9" s="19" t="s">
        <v>219</v>
      </c>
      <c r="H9" s="38" t="s">
        <v>2712</v>
      </c>
      <c r="I9" s="39" t="s">
        <v>2727</v>
      </c>
      <c r="J9" s="39" t="s">
        <v>2724</v>
      </c>
      <c r="K9" s="39" t="s">
        <v>2717</v>
      </c>
      <c r="L9" s="39" t="s">
        <v>2730</v>
      </c>
      <c r="M9" s="39" t="s">
        <v>2720</v>
      </c>
      <c r="N9" s="39" t="s">
        <v>2727</v>
      </c>
      <c r="O9" s="39" t="s">
        <v>2727</v>
      </c>
      <c r="P9" s="39" t="s">
        <v>2720</v>
      </c>
      <c r="Q9" s="3" t="str">
        <f t="shared" si="2"/>
        <v>H</v>
      </c>
      <c r="R9" s="3" t="str">
        <f t="shared" si="3"/>
        <v>A</v>
      </c>
      <c r="S9" s="3" t="str">
        <f t="shared" si="4"/>
        <v>A</v>
      </c>
      <c r="T9" s="3" t="str">
        <f t="shared" si="5"/>
        <v>D</v>
      </c>
      <c r="U9" s="3" t="str">
        <f t="shared" si="6"/>
        <v>D</v>
      </c>
      <c r="V9" s="3" t="str">
        <f t="shared" si="7"/>
        <v>A</v>
      </c>
      <c r="W9" s="3" t="str">
        <f t="shared" si="8"/>
        <v>A</v>
      </c>
      <c r="X9" s="3" t="str">
        <f t="shared" si="9"/>
        <v>A</v>
      </c>
      <c r="Y9" s="3" t="str">
        <f t="shared" si="10"/>
        <v>A</v>
      </c>
      <c r="Z9" s="3" t="str">
        <f t="shared" si="11"/>
        <v>L</v>
      </c>
      <c r="AA9" s="3" t="str">
        <f t="shared" si="12"/>
        <v>L</v>
      </c>
      <c r="AB9" s="3" t="str">
        <f t="shared" si="13"/>
        <v>L</v>
      </c>
      <c r="AC9" s="3" t="str">
        <f t="shared" si="14"/>
        <v>L</v>
      </c>
      <c r="AD9" s="3" t="str">
        <f t="shared" si="15"/>
        <v>L</v>
      </c>
      <c r="AE9" s="3" t="str">
        <f t="shared" si="16"/>
        <v>L</v>
      </c>
      <c r="AF9" s="3" t="str">
        <f t="shared" si="17"/>
        <v>L</v>
      </c>
      <c r="AG9" s="3" t="str">
        <f t="shared" si="18"/>
        <v>L</v>
      </c>
    </row>
    <row r="10" spans="1:33" x14ac:dyDescent="0.25">
      <c r="A10" s="28" t="s">
        <v>248</v>
      </c>
      <c r="B10" s="19" t="s">
        <v>2731</v>
      </c>
      <c r="C10" s="36">
        <v>46187</v>
      </c>
      <c r="D10" s="37">
        <v>0.75</v>
      </c>
      <c r="E10" s="19" t="s">
        <v>74</v>
      </c>
      <c r="F10" s="19" t="s">
        <v>2732</v>
      </c>
      <c r="G10" s="19" t="s">
        <v>219</v>
      </c>
      <c r="H10" s="38" t="s">
        <v>2733</v>
      </c>
      <c r="I10" s="39" t="s">
        <v>2734</v>
      </c>
      <c r="J10" s="39" t="s">
        <v>2735</v>
      </c>
      <c r="K10" s="39" t="s">
        <v>2736</v>
      </c>
      <c r="L10" s="39" t="s">
        <v>2736</v>
      </c>
      <c r="M10" s="39" t="s">
        <v>2737</v>
      </c>
      <c r="N10" s="39" t="s">
        <v>2736</v>
      </c>
      <c r="O10" s="39" t="s">
        <v>2738</v>
      </c>
      <c r="P10" s="39" t="s">
        <v>2738</v>
      </c>
      <c r="Q10" s="3" t="str">
        <f t="shared" si="2"/>
        <v>H</v>
      </c>
      <c r="R10" s="3" t="str">
        <f t="shared" si="3"/>
        <v>H</v>
      </c>
      <c r="S10" s="3" t="str">
        <f t="shared" si="4"/>
        <v>H</v>
      </c>
      <c r="T10" s="3" t="str">
        <f t="shared" si="5"/>
        <v>H</v>
      </c>
      <c r="U10" s="3" t="str">
        <f t="shared" si="6"/>
        <v>H</v>
      </c>
      <c r="V10" s="3" t="str">
        <f t="shared" si="7"/>
        <v>H</v>
      </c>
      <c r="W10" s="3" t="str">
        <f t="shared" si="8"/>
        <v>H</v>
      </c>
      <c r="X10" s="3" t="str">
        <f t="shared" si="9"/>
        <v>H</v>
      </c>
      <c r="Y10" s="3" t="str">
        <f t="shared" si="10"/>
        <v>H</v>
      </c>
      <c r="Z10" s="3" t="str">
        <f t="shared" si="11"/>
        <v>D</v>
      </c>
      <c r="AA10" s="3" t="str">
        <f t="shared" si="12"/>
        <v>D</v>
      </c>
      <c r="AB10" s="3" t="str">
        <f t="shared" si="13"/>
        <v>D</v>
      </c>
      <c r="AC10" s="3" t="str">
        <f t="shared" si="14"/>
        <v>D</v>
      </c>
      <c r="AD10" s="3" t="str">
        <f t="shared" si="15"/>
        <v>D</v>
      </c>
      <c r="AE10" s="3" t="str">
        <f t="shared" si="16"/>
        <v>D</v>
      </c>
      <c r="AF10" s="3" t="str">
        <f t="shared" si="17"/>
        <v>D</v>
      </c>
      <c r="AG10" s="3" t="str">
        <f t="shared" si="18"/>
        <v>D</v>
      </c>
    </row>
    <row r="11" spans="1:33" x14ac:dyDescent="0.25">
      <c r="A11" s="28" t="s">
        <v>246</v>
      </c>
      <c r="B11" s="19" t="s">
        <v>247</v>
      </c>
      <c r="C11" s="36">
        <v>46187</v>
      </c>
      <c r="D11" s="37">
        <v>0.875</v>
      </c>
      <c r="E11" s="19" t="s">
        <v>69</v>
      </c>
      <c r="F11" s="19" t="s">
        <v>79</v>
      </c>
      <c r="G11" s="19" t="s">
        <v>219</v>
      </c>
      <c r="H11" s="38" t="s">
        <v>2730</v>
      </c>
      <c r="I11" s="39" t="s">
        <v>2713</v>
      </c>
      <c r="J11" s="39" t="s">
        <v>2720</v>
      </c>
      <c r="K11" s="39" t="s">
        <v>2717</v>
      </c>
      <c r="L11" s="39" t="s">
        <v>2730</v>
      </c>
      <c r="M11" s="39" t="s">
        <v>2730</v>
      </c>
      <c r="N11" s="39" t="s">
        <v>2713</v>
      </c>
      <c r="O11" s="39" t="s">
        <v>2715</v>
      </c>
      <c r="P11" s="39" t="s">
        <v>2717</v>
      </c>
      <c r="Q11" s="3" t="str">
        <f t="shared" si="2"/>
        <v>D</v>
      </c>
      <c r="R11" s="3" t="str">
        <f t="shared" si="3"/>
        <v>H</v>
      </c>
      <c r="S11" s="3" t="str">
        <f t="shared" si="4"/>
        <v>A</v>
      </c>
      <c r="T11" s="3" t="str">
        <f t="shared" si="5"/>
        <v>D</v>
      </c>
      <c r="U11" s="3" t="str">
        <f t="shared" si="6"/>
        <v>D</v>
      </c>
      <c r="V11" s="3" t="str">
        <f t="shared" si="7"/>
        <v>D</v>
      </c>
      <c r="W11" s="3" t="str">
        <f t="shared" si="8"/>
        <v>H</v>
      </c>
      <c r="X11" s="3" t="str">
        <f t="shared" si="9"/>
        <v>H</v>
      </c>
      <c r="Y11" s="3" t="str">
        <f t="shared" si="10"/>
        <v>D</v>
      </c>
      <c r="Z11" s="3" t="str">
        <f t="shared" si="11"/>
        <v>L</v>
      </c>
      <c r="AA11" s="3" t="str">
        <f t="shared" si="12"/>
        <v>L</v>
      </c>
      <c r="AB11" s="3" t="str">
        <f t="shared" si="13"/>
        <v>D</v>
      </c>
      <c r="AC11" s="3" t="str">
        <f t="shared" si="14"/>
        <v>W</v>
      </c>
      <c r="AD11" s="3" t="str">
        <f t="shared" si="15"/>
        <v>W</v>
      </c>
      <c r="AE11" s="3" t="str">
        <f t="shared" si="16"/>
        <v>L</v>
      </c>
      <c r="AF11" s="3" t="str">
        <f t="shared" si="17"/>
        <v>L</v>
      </c>
      <c r="AG11" s="3" t="str">
        <f t="shared" si="18"/>
        <v>D</v>
      </c>
    </row>
    <row r="12" spans="1:33" x14ac:dyDescent="0.25">
      <c r="A12" s="28" t="s">
        <v>244</v>
      </c>
      <c r="B12" s="19" t="s">
        <v>2739</v>
      </c>
      <c r="C12" s="36">
        <v>46187</v>
      </c>
      <c r="D12" s="37">
        <v>0</v>
      </c>
      <c r="E12" s="19" t="s">
        <v>2699</v>
      </c>
      <c r="F12" s="19" t="s">
        <v>146</v>
      </c>
      <c r="G12" s="19" t="s">
        <v>219</v>
      </c>
      <c r="H12" s="38" t="s">
        <v>2715</v>
      </c>
      <c r="I12" s="39" t="s">
        <v>2717</v>
      </c>
      <c r="J12" s="39" t="s">
        <v>2726</v>
      </c>
      <c r="K12" s="39" t="s">
        <v>2727</v>
      </c>
      <c r="L12" s="39" t="s">
        <v>2713</v>
      </c>
      <c r="M12" s="39" t="s">
        <v>2713</v>
      </c>
      <c r="N12" s="39" t="s">
        <v>2727</v>
      </c>
      <c r="O12" s="39" t="s">
        <v>2717</v>
      </c>
      <c r="P12" s="39" t="s">
        <v>2740</v>
      </c>
      <c r="Q12" s="3" t="str">
        <f t="shared" si="2"/>
        <v>H</v>
      </c>
      <c r="R12" s="3" t="str">
        <f t="shared" si="3"/>
        <v>D</v>
      </c>
      <c r="S12" s="3" t="str">
        <f t="shared" si="4"/>
        <v>A</v>
      </c>
      <c r="T12" s="3" t="str">
        <f t="shared" si="5"/>
        <v>A</v>
      </c>
      <c r="U12" s="3" t="str">
        <f t="shared" si="6"/>
        <v>H</v>
      </c>
      <c r="V12" s="3" t="str">
        <f t="shared" si="7"/>
        <v>H</v>
      </c>
      <c r="W12" s="3" t="str">
        <f t="shared" si="8"/>
        <v>A</v>
      </c>
      <c r="X12" s="3" t="str">
        <f t="shared" si="9"/>
        <v>D</v>
      </c>
      <c r="Y12" s="3" t="str">
        <f t="shared" si="10"/>
        <v>D</v>
      </c>
      <c r="Z12" s="3" t="str">
        <f t="shared" si="11"/>
        <v>L</v>
      </c>
      <c r="AA12" s="3" t="str">
        <f t="shared" si="12"/>
        <v>L</v>
      </c>
      <c r="AB12" s="3" t="str">
        <f t="shared" si="13"/>
        <v>L</v>
      </c>
      <c r="AC12" s="3" t="str">
        <f t="shared" si="14"/>
        <v>D</v>
      </c>
      <c r="AD12" s="3" t="str">
        <f t="shared" si="15"/>
        <v>D</v>
      </c>
      <c r="AE12" s="3" t="str">
        <f t="shared" si="16"/>
        <v>L</v>
      </c>
      <c r="AF12" s="3" t="str">
        <f t="shared" si="17"/>
        <v>L</v>
      </c>
      <c r="AG12" s="3" t="str">
        <f t="shared" si="18"/>
        <v>L</v>
      </c>
    </row>
    <row r="13" spans="1:33" x14ac:dyDescent="0.25">
      <c r="A13" s="28" t="s">
        <v>242</v>
      </c>
      <c r="B13" s="19" t="s">
        <v>243</v>
      </c>
      <c r="C13" s="36">
        <v>46188</v>
      </c>
      <c r="D13" s="37">
        <v>0.125</v>
      </c>
      <c r="E13" s="19" t="s">
        <v>62</v>
      </c>
      <c r="F13" s="19" t="s">
        <v>139</v>
      </c>
      <c r="G13" s="19" t="s">
        <v>219</v>
      </c>
      <c r="H13" s="38" t="s">
        <v>2741</v>
      </c>
      <c r="I13" s="39" t="s">
        <v>2712</v>
      </c>
      <c r="J13" s="39" t="s">
        <v>2720</v>
      </c>
      <c r="K13" s="39" t="s">
        <v>2713</v>
      </c>
      <c r="L13" s="39" t="s">
        <v>2730</v>
      </c>
      <c r="M13" s="39" t="s">
        <v>2740</v>
      </c>
      <c r="N13" s="39" t="s">
        <v>2713</v>
      </c>
      <c r="O13" s="39" t="s">
        <v>2713</v>
      </c>
      <c r="P13" s="39" t="s">
        <v>2715</v>
      </c>
      <c r="Q13" s="3" t="str">
        <f t="shared" si="2"/>
        <v>H</v>
      </c>
      <c r="R13" s="3" t="str">
        <f t="shared" si="3"/>
        <v>H</v>
      </c>
      <c r="S13" s="3" t="str">
        <f t="shared" si="4"/>
        <v>A</v>
      </c>
      <c r="T13" s="3" t="str">
        <f t="shared" si="5"/>
        <v>H</v>
      </c>
      <c r="U13" s="3" t="str">
        <f t="shared" si="6"/>
        <v>D</v>
      </c>
      <c r="V13" s="3" t="str">
        <f t="shared" si="7"/>
        <v>D</v>
      </c>
      <c r="W13" s="3" t="str">
        <f t="shared" si="8"/>
        <v>H</v>
      </c>
      <c r="X13" s="3" t="str">
        <f t="shared" si="9"/>
        <v>H</v>
      </c>
      <c r="Y13" s="3" t="str">
        <f t="shared" si="10"/>
        <v>H</v>
      </c>
      <c r="Z13" s="3" t="str">
        <f t="shared" si="11"/>
        <v>D</v>
      </c>
      <c r="AA13" s="3" t="str">
        <f t="shared" si="12"/>
        <v>L</v>
      </c>
      <c r="AB13" s="3" t="str">
        <f t="shared" si="13"/>
        <v>D</v>
      </c>
      <c r="AC13" s="3" t="str">
        <f t="shared" si="14"/>
        <v>L</v>
      </c>
      <c r="AD13" s="3" t="str">
        <f t="shared" si="15"/>
        <v>L</v>
      </c>
      <c r="AE13" s="3" t="str">
        <f t="shared" si="16"/>
        <v>D</v>
      </c>
      <c r="AF13" s="3" t="str">
        <f t="shared" si="17"/>
        <v>D</v>
      </c>
      <c r="AG13" s="3" t="str">
        <f t="shared" si="18"/>
        <v>D</v>
      </c>
    </row>
    <row r="14" spans="1:33" x14ac:dyDescent="0.25">
      <c r="A14" s="28" t="s">
        <v>240</v>
      </c>
      <c r="B14" s="19" t="s">
        <v>2742</v>
      </c>
      <c r="C14" s="36">
        <v>46188</v>
      </c>
      <c r="D14" s="37">
        <v>0.70833333333333337</v>
      </c>
      <c r="E14" s="19" t="s">
        <v>123</v>
      </c>
      <c r="F14" s="19" t="s">
        <v>2743</v>
      </c>
      <c r="G14" s="19" t="s">
        <v>219</v>
      </c>
      <c r="H14" s="38" t="s">
        <v>2740</v>
      </c>
      <c r="I14" s="39" t="s">
        <v>2734</v>
      </c>
      <c r="J14" s="39" t="s">
        <v>2744</v>
      </c>
      <c r="K14" s="39" t="s">
        <v>2734</v>
      </c>
      <c r="L14" s="39" t="s">
        <v>2737</v>
      </c>
      <c r="M14" s="39" t="s">
        <v>2734</v>
      </c>
      <c r="N14" s="39" t="s">
        <v>2736</v>
      </c>
      <c r="O14" s="39" t="s">
        <v>2734</v>
      </c>
      <c r="P14" s="39" t="s">
        <v>2734</v>
      </c>
      <c r="Q14" s="3" t="str">
        <f t="shared" si="2"/>
        <v>D</v>
      </c>
      <c r="R14" s="3" t="str">
        <f t="shared" si="3"/>
        <v>H</v>
      </c>
      <c r="S14" s="3" t="str">
        <f t="shared" si="4"/>
        <v>H</v>
      </c>
      <c r="T14" s="3" t="str">
        <f t="shared" si="5"/>
        <v>H</v>
      </c>
      <c r="U14" s="3" t="str">
        <f t="shared" si="6"/>
        <v>H</v>
      </c>
      <c r="V14" s="3" t="str">
        <f t="shared" si="7"/>
        <v>H</v>
      </c>
      <c r="W14" s="3" t="str">
        <f t="shared" si="8"/>
        <v>H</v>
      </c>
      <c r="X14" s="3" t="str">
        <f t="shared" si="9"/>
        <v>H</v>
      </c>
      <c r="Y14" s="3" t="str">
        <f t="shared" si="10"/>
        <v>H</v>
      </c>
      <c r="Z14" s="3" t="str">
        <f t="shared" si="11"/>
        <v>L</v>
      </c>
      <c r="AA14" s="3" t="str">
        <f t="shared" si="12"/>
        <v>L</v>
      </c>
      <c r="AB14" s="3" t="str">
        <f t="shared" si="13"/>
        <v>L</v>
      </c>
      <c r="AC14" s="3" t="str">
        <f t="shared" si="14"/>
        <v>L</v>
      </c>
      <c r="AD14" s="3" t="str">
        <f t="shared" si="15"/>
        <v>L</v>
      </c>
      <c r="AE14" s="3" t="str">
        <f t="shared" si="16"/>
        <v>L</v>
      </c>
      <c r="AF14" s="3" t="str">
        <f t="shared" si="17"/>
        <v>L</v>
      </c>
      <c r="AG14" s="3" t="str">
        <f t="shared" si="18"/>
        <v>L</v>
      </c>
    </row>
    <row r="15" spans="1:33" x14ac:dyDescent="0.25">
      <c r="A15" s="28" t="s">
        <v>238</v>
      </c>
      <c r="B15" s="19" t="s">
        <v>239</v>
      </c>
      <c r="C15" s="36">
        <v>46188</v>
      </c>
      <c r="D15" s="37">
        <v>0.83333333333333337</v>
      </c>
      <c r="E15" s="19" t="s">
        <v>113</v>
      </c>
      <c r="F15" s="19" t="s">
        <v>46</v>
      </c>
      <c r="G15" s="19" t="s">
        <v>219</v>
      </c>
      <c r="H15" s="38" t="s">
        <v>2717</v>
      </c>
      <c r="I15" s="39" t="s">
        <v>2712</v>
      </c>
      <c r="J15" s="39" t="s">
        <v>2712</v>
      </c>
      <c r="K15" s="39" t="s">
        <v>2713</v>
      </c>
      <c r="L15" s="39" t="s">
        <v>2713</v>
      </c>
      <c r="M15" s="39" t="s">
        <v>2712</v>
      </c>
      <c r="N15" s="39" t="s">
        <v>2713</v>
      </c>
      <c r="O15" s="39" t="s">
        <v>2713</v>
      </c>
      <c r="P15" s="39" t="s">
        <v>2715</v>
      </c>
      <c r="Q15" s="3" t="str">
        <f t="shared" si="2"/>
        <v>D</v>
      </c>
      <c r="R15" s="3" t="str">
        <f t="shared" si="3"/>
        <v>H</v>
      </c>
      <c r="S15" s="3" t="str">
        <f t="shared" si="4"/>
        <v>H</v>
      </c>
      <c r="T15" s="3" t="str">
        <f t="shared" si="5"/>
        <v>H</v>
      </c>
      <c r="U15" s="3" t="str">
        <f t="shared" si="6"/>
        <v>H</v>
      </c>
      <c r="V15" s="3" t="str">
        <f t="shared" si="7"/>
        <v>H</v>
      </c>
      <c r="W15" s="3" t="str">
        <f t="shared" si="8"/>
        <v>H</v>
      </c>
      <c r="X15" s="3" t="str">
        <f t="shared" si="9"/>
        <v>H</v>
      </c>
      <c r="Y15" s="3" t="str">
        <f t="shared" si="10"/>
        <v>H</v>
      </c>
      <c r="Z15" s="3" t="str">
        <f t="shared" si="11"/>
        <v>L</v>
      </c>
      <c r="AA15" s="3" t="str">
        <f t="shared" si="12"/>
        <v>L</v>
      </c>
      <c r="AB15" s="3" t="str">
        <f t="shared" si="13"/>
        <v>L</v>
      </c>
      <c r="AC15" s="3" t="str">
        <f t="shared" si="14"/>
        <v>L</v>
      </c>
      <c r="AD15" s="3" t="str">
        <f t="shared" si="15"/>
        <v>L</v>
      </c>
      <c r="AE15" s="3" t="str">
        <f t="shared" si="16"/>
        <v>L</v>
      </c>
      <c r="AF15" s="3" t="str">
        <f t="shared" si="17"/>
        <v>L</v>
      </c>
      <c r="AG15" s="3" t="str">
        <f t="shared" si="18"/>
        <v>L</v>
      </c>
    </row>
    <row r="16" spans="1:33" x14ac:dyDescent="0.25">
      <c r="A16" s="28" t="s">
        <v>236</v>
      </c>
      <c r="B16" s="19" t="s">
        <v>237</v>
      </c>
      <c r="C16" s="36">
        <v>46188</v>
      </c>
      <c r="D16" s="37">
        <v>0.95833333333333337</v>
      </c>
      <c r="E16" s="19" t="s">
        <v>119</v>
      </c>
      <c r="F16" s="19" t="s">
        <v>122</v>
      </c>
      <c r="G16" s="19" t="s">
        <v>219</v>
      </c>
      <c r="H16" s="38" t="s">
        <v>2717</v>
      </c>
      <c r="I16" s="39" t="s">
        <v>2724</v>
      </c>
      <c r="J16" s="39" t="s">
        <v>2715</v>
      </c>
      <c r="K16" s="39" t="s">
        <v>2727</v>
      </c>
      <c r="L16" s="39" t="s">
        <v>2717</v>
      </c>
      <c r="M16" s="39" t="s">
        <v>2727</v>
      </c>
      <c r="N16" s="39" t="s">
        <v>2720</v>
      </c>
      <c r="O16" s="39" t="s">
        <v>2727</v>
      </c>
      <c r="P16" s="39" t="s">
        <v>2720</v>
      </c>
      <c r="Q16" s="3" t="str">
        <f t="shared" si="2"/>
        <v>D</v>
      </c>
      <c r="R16" s="3" t="str">
        <f t="shared" si="3"/>
        <v>A</v>
      </c>
      <c r="S16" s="3" t="str">
        <f t="shared" si="4"/>
        <v>H</v>
      </c>
      <c r="T16" s="3" t="str">
        <f t="shared" si="5"/>
        <v>A</v>
      </c>
      <c r="U16" s="3" t="str">
        <f t="shared" si="6"/>
        <v>D</v>
      </c>
      <c r="V16" s="3" t="str">
        <f t="shared" si="7"/>
        <v>A</v>
      </c>
      <c r="W16" s="3" t="str">
        <f t="shared" si="8"/>
        <v>A</v>
      </c>
      <c r="X16" s="3" t="str">
        <f t="shared" si="9"/>
        <v>A</v>
      </c>
      <c r="Y16" s="3" t="str">
        <f t="shared" si="10"/>
        <v>A</v>
      </c>
      <c r="Z16" s="3" t="str">
        <f t="shared" si="11"/>
        <v>L</v>
      </c>
      <c r="AA16" s="3" t="str">
        <f t="shared" si="12"/>
        <v>L</v>
      </c>
      <c r="AB16" s="3" t="str">
        <f t="shared" si="13"/>
        <v>L</v>
      </c>
      <c r="AC16" s="3" t="str">
        <f t="shared" si="14"/>
        <v>W</v>
      </c>
      <c r="AD16" s="3" t="str">
        <f t="shared" si="15"/>
        <v>L</v>
      </c>
      <c r="AE16" s="3" t="str">
        <f t="shared" si="16"/>
        <v>L</v>
      </c>
      <c r="AF16" s="3" t="str">
        <f t="shared" si="17"/>
        <v>L</v>
      </c>
      <c r="AG16" s="3" t="str">
        <f t="shared" si="18"/>
        <v>L</v>
      </c>
    </row>
    <row r="17" spans="1:33" x14ac:dyDescent="0.25">
      <c r="A17" s="28" t="s">
        <v>234</v>
      </c>
      <c r="B17" s="19" t="s">
        <v>2745</v>
      </c>
      <c r="C17" s="36">
        <v>46189</v>
      </c>
      <c r="D17" s="37">
        <v>8.3333333333333329E-2</v>
      </c>
      <c r="E17" s="19" t="s">
        <v>1540</v>
      </c>
      <c r="F17" s="19" t="s">
        <v>112</v>
      </c>
      <c r="G17" s="19" t="s">
        <v>219</v>
      </c>
      <c r="H17" s="38" t="s">
        <v>2730</v>
      </c>
      <c r="I17" s="39" t="s">
        <v>2715</v>
      </c>
      <c r="J17" s="39" t="s">
        <v>2740</v>
      </c>
      <c r="K17" s="39" t="s">
        <v>2712</v>
      </c>
      <c r="L17" s="39" t="s">
        <v>2712</v>
      </c>
      <c r="M17" s="39" t="s">
        <v>2720</v>
      </c>
      <c r="N17" s="39" t="s">
        <v>2713</v>
      </c>
      <c r="O17" s="39" t="s">
        <v>2713</v>
      </c>
      <c r="P17" s="39" t="s">
        <v>2715</v>
      </c>
      <c r="Q17" s="3" t="str">
        <f t="shared" si="2"/>
        <v>D</v>
      </c>
      <c r="R17" s="3" t="str">
        <f t="shared" si="3"/>
        <v>H</v>
      </c>
      <c r="S17" s="3" t="str">
        <f t="shared" si="4"/>
        <v>D</v>
      </c>
      <c r="T17" s="3" t="str">
        <f t="shared" si="5"/>
        <v>H</v>
      </c>
      <c r="U17" s="3" t="str">
        <f t="shared" si="6"/>
        <v>H</v>
      </c>
      <c r="V17" s="3" t="str">
        <f t="shared" si="7"/>
        <v>A</v>
      </c>
      <c r="W17" s="3" t="str">
        <f t="shared" si="8"/>
        <v>H</v>
      </c>
      <c r="X17" s="3" t="str">
        <f t="shared" si="9"/>
        <v>H</v>
      </c>
      <c r="Y17" s="3" t="str">
        <f t="shared" si="10"/>
        <v>H</v>
      </c>
      <c r="Z17" s="3" t="str">
        <f t="shared" si="11"/>
        <v>L</v>
      </c>
      <c r="AA17" s="3" t="str">
        <f t="shared" si="12"/>
        <v>D</v>
      </c>
      <c r="AB17" s="3" t="str">
        <f t="shared" si="13"/>
        <v>L</v>
      </c>
      <c r="AC17" s="3" t="str">
        <f t="shared" si="14"/>
        <v>L</v>
      </c>
      <c r="AD17" s="3" t="str">
        <f t="shared" si="15"/>
        <v>L</v>
      </c>
      <c r="AE17" s="3" t="str">
        <f t="shared" si="16"/>
        <v>L</v>
      </c>
      <c r="AF17" s="3" t="str">
        <f t="shared" si="17"/>
        <v>L</v>
      </c>
      <c r="AG17" s="3" t="str">
        <f t="shared" si="18"/>
        <v>L</v>
      </c>
    </row>
    <row r="18" spans="1:33" x14ac:dyDescent="0.25">
      <c r="A18" s="28" t="s">
        <v>232</v>
      </c>
      <c r="B18" s="19" t="s">
        <v>233</v>
      </c>
      <c r="C18" s="36">
        <v>46189</v>
      </c>
      <c r="D18" s="37">
        <v>0.83333333333333337</v>
      </c>
      <c r="E18" s="19" t="s">
        <v>61</v>
      </c>
      <c r="F18" s="19" t="s">
        <v>126</v>
      </c>
      <c r="G18" s="19" t="s">
        <v>219</v>
      </c>
      <c r="H18" s="38" t="s">
        <v>2714</v>
      </c>
      <c r="I18" s="39" t="s">
        <v>2712</v>
      </c>
      <c r="J18" s="39" t="s">
        <v>2738</v>
      </c>
      <c r="K18" s="39" t="s">
        <v>2713</v>
      </c>
      <c r="L18" s="39" t="s">
        <v>2714</v>
      </c>
      <c r="M18" s="39" t="s">
        <v>2717</v>
      </c>
      <c r="N18" s="39" t="s">
        <v>2714</v>
      </c>
      <c r="O18" s="39" t="s">
        <v>2712</v>
      </c>
      <c r="P18" s="39" t="s">
        <v>2715</v>
      </c>
      <c r="Q18" s="3" t="str">
        <f t="shared" si="2"/>
        <v>H</v>
      </c>
      <c r="R18" s="3" t="str">
        <f t="shared" si="3"/>
        <v>H</v>
      </c>
      <c r="S18" s="3" t="str">
        <f t="shared" si="4"/>
        <v>H</v>
      </c>
      <c r="T18" s="3" t="str">
        <f t="shared" si="5"/>
        <v>H</v>
      </c>
      <c r="U18" s="3" t="str">
        <f t="shared" si="6"/>
        <v>H</v>
      </c>
      <c r="V18" s="3" t="str">
        <f t="shared" si="7"/>
        <v>D</v>
      </c>
      <c r="W18" s="3" t="str">
        <f t="shared" si="8"/>
        <v>H</v>
      </c>
      <c r="X18" s="3" t="str">
        <f t="shared" si="9"/>
        <v>H</v>
      </c>
      <c r="Y18" s="3" t="str">
        <f t="shared" si="10"/>
        <v>H</v>
      </c>
      <c r="Z18" s="3" t="str">
        <f t="shared" si="11"/>
        <v>D</v>
      </c>
      <c r="AA18" s="3" t="str">
        <f t="shared" si="12"/>
        <v>D</v>
      </c>
      <c r="AB18" s="3" t="str">
        <f t="shared" si="13"/>
        <v>D</v>
      </c>
      <c r="AC18" s="3" t="str">
        <f t="shared" si="14"/>
        <v>W</v>
      </c>
      <c r="AD18" s="3" t="str">
        <f t="shared" si="15"/>
        <v>L</v>
      </c>
      <c r="AE18" s="3" t="str">
        <f t="shared" si="16"/>
        <v>W</v>
      </c>
      <c r="AF18" s="3" t="str">
        <f t="shared" si="17"/>
        <v>D</v>
      </c>
      <c r="AG18" s="3" t="str">
        <f t="shared" si="18"/>
        <v>D</v>
      </c>
    </row>
    <row r="19" spans="1:33" x14ac:dyDescent="0.25">
      <c r="A19" s="28" t="s">
        <v>230</v>
      </c>
      <c r="B19" s="19" t="s">
        <v>231</v>
      </c>
      <c r="C19" s="36">
        <v>46189</v>
      </c>
      <c r="D19" s="37">
        <v>0.95833333333333337</v>
      </c>
      <c r="E19" s="19" t="s">
        <v>127</v>
      </c>
      <c r="F19" s="19" t="s">
        <v>66</v>
      </c>
      <c r="G19" s="19" t="s">
        <v>219</v>
      </c>
      <c r="H19" s="38" t="s">
        <v>2746</v>
      </c>
      <c r="I19" s="39" t="s">
        <v>2727</v>
      </c>
      <c r="J19" s="39" t="s">
        <v>2747</v>
      </c>
      <c r="K19" s="39" t="s">
        <v>2725</v>
      </c>
      <c r="L19" s="39" t="s">
        <v>2747</v>
      </c>
      <c r="M19" s="39" t="s">
        <v>2747</v>
      </c>
      <c r="N19" s="39" t="s">
        <v>2725</v>
      </c>
      <c r="O19" s="39" t="s">
        <v>2724</v>
      </c>
      <c r="P19" s="39" t="s">
        <v>2727</v>
      </c>
      <c r="Q19" s="3" t="str">
        <f t="shared" si="2"/>
        <v>A</v>
      </c>
      <c r="R19" s="3" t="str">
        <f t="shared" si="3"/>
        <v>A</v>
      </c>
      <c r="S19" s="3" t="str">
        <f t="shared" si="4"/>
        <v>A</v>
      </c>
      <c r="T19" s="3" t="str">
        <f t="shared" si="5"/>
        <v>A</v>
      </c>
      <c r="U19" s="3" t="str">
        <f t="shared" si="6"/>
        <v>A</v>
      </c>
      <c r="V19" s="3" t="str">
        <f t="shared" si="7"/>
        <v>A</v>
      </c>
      <c r="W19" s="3" t="str">
        <f t="shared" si="8"/>
        <v>A</v>
      </c>
      <c r="X19" s="3" t="str">
        <f t="shared" si="9"/>
        <v>A</v>
      </c>
      <c r="Y19" s="3" t="str">
        <f t="shared" si="10"/>
        <v>A</v>
      </c>
      <c r="Z19" s="3" t="str">
        <f t="shared" si="11"/>
        <v>D</v>
      </c>
      <c r="AA19" s="3" t="str">
        <f t="shared" si="12"/>
        <v>D</v>
      </c>
      <c r="AB19" s="3" t="str">
        <f t="shared" si="13"/>
        <v>D</v>
      </c>
      <c r="AC19" s="3" t="str">
        <f t="shared" si="14"/>
        <v>D</v>
      </c>
      <c r="AD19" s="3" t="str">
        <f t="shared" si="15"/>
        <v>D</v>
      </c>
      <c r="AE19" s="3" t="str">
        <f t="shared" si="16"/>
        <v>D</v>
      </c>
      <c r="AF19" s="3" t="str">
        <f t="shared" si="17"/>
        <v>D</v>
      </c>
      <c r="AG19" s="3" t="str">
        <f t="shared" si="18"/>
        <v>D</v>
      </c>
    </row>
    <row r="20" spans="1:33" x14ac:dyDescent="0.25">
      <c r="A20" s="28" t="s">
        <v>228</v>
      </c>
      <c r="B20" s="19" t="s">
        <v>229</v>
      </c>
      <c r="C20" s="36">
        <v>46190</v>
      </c>
      <c r="D20" s="37">
        <v>8.3333333333333329E-2</v>
      </c>
      <c r="E20" s="19" t="s">
        <v>40</v>
      </c>
      <c r="F20" s="19" t="s">
        <v>87</v>
      </c>
      <c r="G20" s="19" t="s">
        <v>219</v>
      </c>
      <c r="H20" s="38" t="s">
        <v>2734</v>
      </c>
      <c r="I20" s="39" t="s">
        <v>2734</v>
      </c>
      <c r="J20" s="39" t="s">
        <v>2712</v>
      </c>
      <c r="K20" s="39" t="s">
        <v>2734</v>
      </c>
      <c r="L20" s="39" t="s">
        <v>2734</v>
      </c>
      <c r="M20" s="39" t="s">
        <v>2712</v>
      </c>
      <c r="N20" s="39" t="s">
        <v>2712</v>
      </c>
      <c r="O20" s="39" t="s">
        <v>2712</v>
      </c>
      <c r="P20" s="39" t="s">
        <v>2715</v>
      </c>
      <c r="Q20" s="3" t="str">
        <f t="shared" si="2"/>
        <v>H</v>
      </c>
      <c r="R20" s="3" t="str">
        <f t="shared" si="3"/>
        <v>H</v>
      </c>
      <c r="S20" s="3" t="str">
        <f t="shared" si="4"/>
        <v>H</v>
      </c>
      <c r="T20" s="3" t="str">
        <f t="shared" si="5"/>
        <v>H</v>
      </c>
      <c r="U20" s="3" t="str">
        <f t="shared" si="6"/>
        <v>H</v>
      </c>
      <c r="V20" s="3" t="str">
        <f t="shared" si="7"/>
        <v>H</v>
      </c>
      <c r="W20" s="3" t="str">
        <f t="shared" si="8"/>
        <v>H</v>
      </c>
      <c r="X20" s="3" t="str">
        <f t="shared" si="9"/>
        <v>H</v>
      </c>
      <c r="Y20" s="3" t="str">
        <f t="shared" si="10"/>
        <v>H</v>
      </c>
      <c r="Z20" s="3" t="str">
        <f t="shared" si="11"/>
        <v>W</v>
      </c>
      <c r="AA20" s="3" t="str">
        <f t="shared" si="12"/>
        <v>D</v>
      </c>
      <c r="AB20" s="3" t="str">
        <f t="shared" si="13"/>
        <v>W</v>
      </c>
      <c r="AC20" s="3" t="str">
        <f t="shared" si="14"/>
        <v>W</v>
      </c>
      <c r="AD20" s="3" t="str">
        <f t="shared" si="15"/>
        <v>D</v>
      </c>
      <c r="AE20" s="3" t="str">
        <f t="shared" si="16"/>
        <v>D</v>
      </c>
      <c r="AF20" s="3" t="str">
        <f t="shared" si="17"/>
        <v>D</v>
      </c>
      <c r="AG20" s="3" t="str">
        <f t="shared" si="18"/>
        <v>D</v>
      </c>
    </row>
    <row r="21" spans="1:33" x14ac:dyDescent="0.25">
      <c r="A21" s="28" t="s">
        <v>226</v>
      </c>
      <c r="B21" s="19" t="s">
        <v>227</v>
      </c>
      <c r="C21" s="36">
        <v>46190</v>
      </c>
      <c r="D21" s="37">
        <v>0.20833333333333334</v>
      </c>
      <c r="E21" s="19" t="s">
        <v>88</v>
      </c>
      <c r="F21" s="19" t="s">
        <v>92</v>
      </c>
      <c r="G21" s="19" t="s">
        <v>219</v>
      </c>
      <c r="H21" s="38" t="s">
        <v>2714</v>
      </c>
      <c r="I21" s="39" t="s">
        <v>2712</v>
      </c>
      <c r="J21" s="39" t="s">
        <v>2715</v>
      </c>
      <c r="K21" s="39" t="s">
        <v>2712</v>
      </c>
      <c r="L21" s="39" t="s">
        <v>2712</v>
      </c>
      <c r="M21" s="39" t="s">
        <v>2712</v>
      </c>
      <c r="N21" s="39" t="s">
        <v>2712</v>
      </c>
      <c r="O21" s="39" t="s">
        <v>2712</v>
      </c>
      <c r="P21" s="39" t="s">
        <v>2715</v>
      </c>
      <c r="Q21" s="3" t="str">
        <f t="shared" si="2"/>
        <v>H</v>
      </c>
      <c r="R21" s="3" t="str">
        <f t="shared" si="3"/>
        <v>H</v>
      </c>
      <c r="S21" s="3" t="str">
        <f t="shared" si="4"/>
        <v>H</v>
      </c>
      <c r="T21" s="3" t="str">
        <f t="shared" si="5"/>
        <v>H</v>
      </c>
      <c r="U21" s="3" t="str">
        <f t="shared" si="6"/>
        <v>H</v>
      </c>
      <c r="V21" s="3" t="str">
        <f t="shared" si="7"/>
        <v>H</v>
      </c>
      <c r="W21" s="3" t="str">
        <f t="shared" si="8"/>
        <v>H</v>
      </c>
      <c r="X21" s="3" t="str">
        <f t="shared" si="9"/>
        <v>H</v>
      </c>
      <c r="Y21" s="3" t="str">
        <f t="shared" si="10"/>
        <v>H</v>
      </c>
      <c r="Z21" s="3" t="str">
        <f t="shared" si="11"/>
        <v>D</v>
      </c>
      <c r="AA21" s="3" t="str">
        <f t="shared" si="12"/>
        <v>D</v>
      </c>
      <c r="AB21" s="3" t="str">
        <f t="shared" si="13"/>
        <v>D</v>
      </c>
      <c r="AC21" s="3" t="str">
        <f t="shared" si="14"/>
        <v>D</v>
      </c>
      <c r="AD21" s="3" t="str">
        <f t="shared" si="15"/>
        <v>D</v>
      </c>
      <c r="AE21" s="3" t="str">
        <f t="shared" si="16"/>
        <v>D</v>
      </c>
      <c r="AF21" s="3" t="str">
        <f t="shared" si="17"/>
        <v>D</v>
      </c>
      <c r="AG21" s="3" t="str">
        <f t="shared" si="18"/>
        <v>D</v>
      </c>
    </row>
    <row r="22" spans="1:33" x14ac:dyDescent="0.25">
      <c r="A22" s="28" t="s">
        <v>224</v>
      </c>
      <c r="B22" s="19" t="s">
        <v>225</v>
      </c>
      <c r="C22" s="36">
        <v>46190</v>
      </c>
      <c r="D22" s="37">
        <v>0.75</v>
      </c>
      <c r="E22" s="19" t="s">
        <v>101</v>
      </c>
      <c r="F22" s="19" t="s">
        <v>96</v>
      </c>
      <c r="G22" s="19" t="s">
        <v>219</v>
      </c>
      <c r="H22" s="38" t="s">
        <v>2717</v>
      </c>
      <c r="I22" s="39" t="s">
        <v>2734</v>
      </c>
      <c r="J22" s="39" t="s">
        <v>2714</v>
      </c>
      <c r="K22" s="39" t="s">
        <v>2713</v>
      </c>
      <c r="L22" s="39" t="s">
        <v>2714</v>
      </c>
      <c r="M22" s="39" t="s">
        <v>2738</v>
      </c>
      <c r="N22" s="39" t="s">
        <v>2734</v>
      </c>
      <c r="O22" s="39" t="s">
        <v>2712</v>
      </c>
      <c r="P22" s="39" t="s">
        <v>2712</v>
      </c>
      <c r="Q22" s="3" t="str">
        <f t="shared" si="2"/>
        <v>D</v>
      </c>
      <c r="R22" s="3" t="str">
        <f t="shared" si="3"/>
        <v>H</v>
      </c>
      <c r="S22" s="3" t="str">
        <f t="shared" si="4"/>
        <v>H</v>
      </c>
      <c r="T22" s="3" t="str">
        <f t="shared" si="5"/>
        <v>H</v>
      </c>
      <c r="U22" s="3" t="str">
        <f t="shared" si="6"/>
        <v>H</v>
      </c>
      <c r="V22" s="3" t="str">
        <f t="shared" si="7"/>
        <v>H</v>
      </c>
      <c r="W22" s="3" t="str">
        <f t="shared" si="8"/>
        <v>H</v>
      </c>
      <c r="X22" s="3" t="str">
        <f t="shared" si="9"/>
        <v>H</v>
      </c>
      <c r="Y22" s="3" t="str">
        <f t="shared" si="10"/>
        <v>H</v>
      </c>
      <c r="Z22" s="3" t="str">
        <f t="shared" si="11"/>
        <v>L</v>
      </c>
      <c r="AA22" s="3" t="str">
        <f t="shared" si="12"/>
        <v>L</v>
      </c>
      <c r="AB22" s="3" t="str">
        <f t="shared" si="13"/>
        <v>L</v>
      </c>
      <c r="AC22" s="3" t="str">
        <f t="shared" si="14"/>
        <v>L</v>
      </c>
      <c r="AD22" s="3" t="str">
        <f t="shared" si="15"/>
        <v>L</v>
      </c>
      <c r="AE22" s="3" t="str">
        <f t="shared" si="16"/>
        <v>L</v>
      </c>
      <c r="AF22" s="3" t="str">
        <f t="shared" si="17"/>
        <v>L</v>
      </c>
      <c r="AG22" s="3" t="str">
        <f t="shared" si="18"/>
        <v>L</v>
      </c>
    </row>
    <row r="23" spans="1:33" x14ac:dyDescent="0.25">
      <c r="A23" s="28" t="s">
        <v>222</v>
      </c>
      <c r="B23" s="19" t="s">
        <v>223</v>
      </c>
      <c r="C23" s="36">
        <v>46190</v>
      </c>
      <c r="D23" s="37">
        <v>0.875</v>
      </c>
      <c r="E23" s="19" t="s">
        <v>109</v>
      </c>
      <c r="F23" s="19" t="s">
        <v>104</v>
      </c>
      <c r="G23" s="19" t="s">
        <v>219</v>
      </c>
      <c r="H23" s="38" t="s">
        <v>2723</v>
      </c>
      <c r="I23" s="39" t="s">
        <v>2713</v>
      </c>
      <c r="J23" s="39" t="s">
        <v>2712</v>
      </c>
      <c r="K23" s="39" t="s">
        <v>2713</v>
      </c>
      <c r="L23" s="39" t="s">
        <v>2714</v>
      </c>
      <c r="M23" s="39" t="s">
        <v>2712</v>
      </c>
      <c r="N23" s="39" t="s">
        <v>2712</v>
      </c>
      <c r="O23" s="39" t="s">
        <v>2713</v>
      </c>
      <c r="P23" s="39" t="s">
        <v>2715</v>
      </c>
      <c r="Q23" s="3" t="str">
        <f t="shared" si="2"/>
        <v>H</v>
      </c>
      <c r="R23" s="3" t="str">
        <f t="shared" si="3"/>
        <v>H</v>
      </c>
      <c r="S23" s="3" t="str">
        <f t="shared" si="4"/>
        <v>H</v>
      </c>
      <c r="T23" s="3" t="str">
        <f t="shared" si="5"/>
        <v>H</v>
      </c>
      <c r="U23" s="3" t="str">
        <f t="shared" si="6"/>
        <v>H</v>
      </c>
      <c r="V23" s="3" t="str">
        <f t="shared" si="7"/>
        <v>H</v>
      </c>
      <c r="W23" s="3" t="str">
        <f t="shared" si="8"/>
        <v>H</v>
      </c>
      <c r="X23" s="3" t="str">
        <f t="shared" si="9"/>
        <v>H</v>
      </c>
      <c r="Y23" s="3" t="str">
        <f t="shared" si="10"/>
        <v>H</v>
      </c>
      <c r="Z23" s="3" t="str">
        <f t="shared" si="11"/>
        <v>D</v>
      </c>
      <c r="AA23" s="3" t="str">
        <f t="shared" si="12"/>
        <v>D</v>
      </c>
      <c r="AB23" s="3" t="str">
        <f t="shared" si="13"/>
        <v>D</v>
      </c>
      <c r="AC23" s="3" t="str">
        <f t="shared" si="14"/>
        <v>D</v>
      </c>
      <c r="AD23" s="3" t="str">
        <f t="shared" si="15"/>
        <v>D</v>
      </c>
      <c r="AE23" s="3" t="str">
        <f t="shared" si="16"/>
        <v>D</v>
      </c>
      <c r="AF23" s="3" t="str">
        <f t="shared" si="17"/>
        <v>D</v>
      </c>
      <c r="AG23" s="3" t="str">
        <f t="shared" si="18"/>
        <v>D</v>
      </c>
    </row>
    <row r="24" spans="1:33" x14ac:dyDescent="0.25">
      <c r="A24" s="28" t="s">
        <v>220</v>
      </c>
      <c r="B24" s="19" t="s">
        <v>221</v>
      </c>
      <c r="C24" s="36">
        <v>46190</v>
      </c>
      <c r="D24" s="37">
        <v>0</v>
      </c>
      <c r="E24" s="19" t="s">
        <v>105</v>
      </c>
      <c r="F24" s="19" t="s">
        <v>108</v>
      </c>
      <c r="G24" s="19" t="s">
        <v>219</v>
      </c>
      <c r="H24" s="38" t="s">
        <v>2715</v>
      </c>
      <c r="I24" s="39" t="s">
        <v>2717</v>
      </c>
      <c r="J24" s="39" t="s">
        <v>2734</v>
      </c>
      <c r="K24" s="39" t="s">
        <v>2712</v>
      </c>
      <c r="L24" s="39" t="s">
        <v>2712</v>
      </c>
      <c r="M24" s="39" t="s">
        <v>2734</v>
      </c>
      <c r="N24" s="39" t="s">
        <v>2713</v>
      </c>
      <c r="O24" s="39" t="s">
        <v>2715</v>
      </c>
      <c r="P24" s="39" t="s">
        <v>2715</v>
      </c>
      <c r="Q24" s="3" t="str">
        <f t="shared" si="2"/>
        <v>H</v>
      </c>
      <c r="R24" s="3" t="str">
        <f t="shared" si="3"/>
        <v>D</v>
      </c>
      <c r="S24" s="3" t="str">
        <f t="shared" si="4"/>
        <v>H</v>
      </c>
      <c r="T24" s="3" t="str">
        <f t="shared" si="5"/>
        <v>H</v>
      </c>
      <c r="U24" s="3" t="str">
        <f t="shared" si="6"/>
        <v>H</v>
      </c>
      <c r="V24" s="3" t="str">
        <f t="shared" si="7"/>
        <v>H</v>
      </c>
      <c r="W24" s="3" t="str">
        <f t="shared" si="8"/>
        <v>H</v>
      </c>
      <c r="X24" s="3" t="str">
        <f t="shared" si="9"/>
        <v>H</v>
      </c>
      <c r="Y24" s="3" t="str">
        <f t="shared" si="10"/>
        <v>H</v>
      </c>
      <c r="Z24" s="3" t="str">
        <f t="shared" si="11"/>
        <v>L</v>
      </c>
      <c r="AA24" s="3" t="str">
        <f t="shared" si="12"/>
        <v>D</v>
      </c>
      <c r="AB24" s="3" t="str">
        <f t="shared" si="13"/>
        <v>D</v>
      </c>
      <c r="AC24" s="3" t="str">
        <f t="shared" si="14"/>
        <v>D</v>
      </c>
      <c r="AD24" s="3" t="str">
        <f t="shared" si="15"/>
        <v>D</v>
      </c>
      <c r="AE24" s="3" t="str">
        <f t="shared" si="16"/>
        <v>D</v>
      </c>
      <c r="AF24" s="3" t="str">
        <f t="shared" si="17"/>
        <v>W</v>
      </c>
      <c r="AG24" s="3" t="str">
        <f t="shared" si="18"/>
        <v>W</v>
      </c>
    </row>
    <row r="25" spans="1:33" x14ac:dyDescent="0.25">
      <c r="A25" s="28" t="s">
        <v>217</v>
      </c>
      <c r="B25" s="19" t="s">
        <v>218</v>
      </c>
      <c r="C25" s="36">
        <v>46191</v>
      </c>
      <c r="D25" s="37">
        <v>0.125</v>
      </c>
      <c r="E25" s="19" t="s">
        <v>97</v>
      </c>
      <c r="F25" s="19" t="s">
        <v>100</v>
      </c>
      <c r="G25" s="19" t="s">
        <v>219</v>
      </c>
      <c r="H25" s="38" t="s">
        <v>2726</v>
      </c>
      <c r="I25" s="39" t="s">
        <v>2727</v>
      </c>
      <c r="J25" s="39" t="s">
        <v>2747</v>
      </c>
      <c r="K25" s="39" t="s">
        <v>2724</v>
      </c>
      <c r="L25" s="39" t="s">
        <v>2727</v>
      </c>
      <c r="M25" s="39" t="s">
        <v>2724</v>
      </c>
      <c r="N25" s="39" t="s">
        <v>2724</v>
      </c>
      <c r="O25" s="39" t="s">
        <v>2720</v>
      </c>
      <c r="P25" s="39" t="s">
        <v>2720</v>
      </c>
      <c r="Q25" s="3" t="str">
        <f t="shared" si="2"/>
        <v>A</v>
      </c>
      <c r="R25" s="3" t="str">
        <f t="shared" si="3"/>
        <v>A</v>
      </c>
      <c r="S25" s="3" t="str">
        <f t="shared" si="4"/>
        <v>A</v>
      </c>
      <c r="T25" s="3" t="str">
        <f t="shared" si="5"/>
        <v>A</v>
      </c>
      <c r="U25" s="3" t="str">
        <f t="shared" si="6"/>
        <v>A</v>
      </c>
      <c r="V25" s="3" t="str">
        <f t="shared" si="7"/>
        <v>A</v>
      </c>
      <c r="W25" s="3" t="str">
        <f t="shared" si="8"/>
        <v>A</v>
      </c>
      <c r="X25" s="3" t="str">
        <f t="shared" si="9"/>
        <v>A</v>
      </c>
      <c r="Y25" s="3" t="str">
        <f t="shared" si="10"/>
        <v>A</v>
      </c>
      <c r="Z25" s="3" t="str">
        <f t="shared" si="11"/>
        <v>D</v>
      </c>
      <c r="AA25" s="3" t="str">
        <f t="shared" si="12"/>
        <v>D</v>
      </c>
      <c r="AB25" s="3" t="str">
        <f t="shared" si="13"/>
        <v>D</v>
      </c>
      <c r="AC25" s="3" t="str">
        <f t="shared" si="14"/>
        <v>D</v>
      </c>
      <c r="AD25" s="3" t="str">
        <f t="shared" si="15"/>
        <v>D</v>
      </c>
      <c r="AE25" s="3" t="str">
        <f t="shared" si="16"/>
        <v>D</v>
      </c>
      <c r="AF25" s="3" t="str">
        <f t="shared" si="17"/>
        <v>D</v>
      </c>
      <c r="AG25" s="3" t="str">
        <f t="shared" si="18"/>
        <v>D</v>
      </c>
    </row>
    <row r="26" spans="1:33" x14ac:dyDescent="0.25">
      <c r="A26" s="28" t="s">
        <v>215</v>
      </c>
      <c r="B26" s="19" t="s">
        <v>216</v>
      </c>
      <c r="C26" s="36">
        <v>46191</v>
      </c>
      <c r="D26" s="37">
        <v>0.70833333333333337</v>
      </c>
      <c r="E26" s="19" t="s">
        <v>152</v>
      </c>
      <c r="F26" s="19" t="s">
        <v>82</v>
      </c>
      <c r="G26" s="19" t="s">
        <v>168</v>
      </c>
      <c r="H26" s="38" t="s">
        <v>2717</v>
      </c>
      <c r="I26" s="39" t="s">
        <v>2715</v>
      </c>
      <c r="J26" s="39" t="s">
        <v>2714</v>
      </c>
      <c r="K26" s="39" t="s">
        <v>2713</v>
      </c>
      <c r="L26" s="39" t="s">
        <v>2727</v>
      </c>
      <c r="M26" s="39" t="s">
        <v>2712</v>
      </c>
      <c r="N26" s="39" t="s">
        <v>2712</v>
      </c>
      <c r="O26" s="39" t="s">
        <v>2715</v>
      </c>
      <c r="P26" s="39" t="s">
        <v>2715</v>
      </c>
      <c r="Q26" s="3" t="str">
        <f t="shared" si="2"/>
        <v>D</v>
      </c>
      <c r="R26" s="3" t="str">
        <f t="shared" si="3"/>
        <v>H</v>
      </c>
      <c r="S26" s="3" t="str">
        <f t="shared" si="4"/>
        <v>H</v>
      </c>
      <c r="T26" s="3" t="str">
        <f t="shared" si="5"/>
        <v>H</v>
      </c>
      <c r="U26" s="3" t="str">
        <f t="shared" si="6"/>
        <v>A</v>
      </c>
      <c r="V26" s="3" t="str">
        <f t="shared" si="7"/>
        <v>H</v>
      </c>
      <c r="W26" s="3" t="str">
        <f t="shared" si="8"/>
        <v>H</v>
      </c>
      <c r="X26" s="3" t="str">
        <f t="shared" si="9"/>
        <v>H</v>
      </c>
      <c r="Y26" s="3" t="str">
        <f t="shared" si="10"/>
        <v>H</v>
      </c>
      <c r="Z26" s="3" t="str">
        <f t="shared" si="11"/>
        <v>L</v>
      </c>
      <c r="AA26" s="3" t="str">
        <f t="shared" si="12"/>
        <v>L</v>
      </c>
      <c r="AB26" s="3" t="str">
        <f t="shared" si="13"/>
        <v>L</v>
      </c>
      <c r="AC26" s="3" t="str">
        <f t="shared" si="14"/>
        <v>L</v>
      </c>
      <c r="AD26" s="3" t="str">
        <f t="shared" si="15"/>
        <v>L</v>
      </c>
      <c r="AE26" s="3" t="str">
        <f t="shared" si="16"/>
        <v>L</v>
      </c>
      <c r="AF26" s="3" t="str">
        <f t="shared" si="17"/>
        <v>L</v>
      </c>
      <c r="AG26" s="3" t="str">
        <f t="shared" si="18"/>
        <v>L</v>
      </c>
    </row>
    <row r="27" spans="1:33" x14ac:dyDescent="0.25">
      <c r="A27" s="28" t="s">
        <v>213</v>
      </c>
      <c r="B27" s="19" t="s">
        <v>2748</v>
      </c>
      <c r="C27" s="36">
        <v>46191</v>
      </c>
      <c r="D27" s="37">
        <v>0.83333333333333337</v>
      </c>
      <c r="E27" s="19" t="s">
        <v>165</v>
      </c>
      <c r="F27" s="19" t="s">
        <v>2719</v>
      </c>
      <c r="G27" s="19" t="s">
        <v>168</v>
      </c>
      <c r="H27" s="38" t="s">
        <v>2722</v>
      </c>
      <c r="I27" s="39" t="s">
        <v>2717</v>
      </c>
      <c r="J27" s="39" t="s">
        <v>2727</v>
      </c>
      <c r="K27" s="39" t="s">
        <v>2713</v>
      </c>
      <c r="L27" s="39" t="s">
        <v>2734</v>
      </c>
      <c r="M27" s="39" t="s">
        <v>2715</v>
      </c>
      <c r="N27" s="39" t="s">
        <v>2713</v>
      </c>
      <c r="O27" s="39" t="s">
        <v>2713</v>
      </c>
      <c r="P27" s="39" t="s">
        <v>2715</v>
      </c>
      <c r="Q27" s="3" t="str">
        <f t="shared" si="2"/>
        <v>H</v>
      </c>
      <c r="R27" s="3" t="str">
        <f t="shared" si="3"/>
        <v>D</v>
      </c>
      <c r="S27" s="3" t="str">
        <f t="shared" si="4"/>
        <v>A</v>
      </c>
      <c r="T27" s="3" t="str">
        <f t="shared" si="5"/>
        <v>H</v>
      </c>
      <c r="U27" s="3" t="str">
        <f t="shared" si="6"/>
        <v>H</v>
      </c>
      <c r="V27" s="3" t="str">
        <f t="shared" si="7"/>
        <v>H</v>
      </c>
      <c r="W27" s="3" t="str">
        <f t="shared" si="8"/>
        <v>H</v>
      </c>
      <c r="X27" s="3" t="str">
        <f t="shared" si="9"/>
        <v>H</v>
      </c>
      <c r="Y27" s="3" t="str">
        <f t="shared" si="10"/>
        <v>H</v>
      </c>
      <c r="Z27" s="3" t="str">
        <f t="shared" si="11"/>
        <v>L</v>
      </c>
      <c r="AA27" s="3" t="str">
        <f t="shared" si="12"/>
        <v>L</v>
      </c>
      <c r="AB27" s="3" t="str">
        <f t="shared" si="13"/>
        <v>D</v>
      </c>
      <c r="AC27" s="3" t="str">
        <f t="shared" si="14"/>
        <v>D</v>
      </c>
      <c r="AD27" s="3" t="str">
        <f t="shared" si="15"/>
        <v>D</v>
      </c>
      <c r="AE27" s="3" t="str">
        <f t="shared" si="16"/>
        <v>D</v>
      </c>
      <c r="AF27" s="3" t="str">
        <f t="shared" si="17"/>
        <v>D</v>
      </c>
      <c r="AG27" s="3" t="str">
        <f t="shared" si="18"/>
        <v>D</v>
      </c>
    </row>
    <row r="28" spans="1:33" x14ac:dyDescent="0.25">
      <c r="A28" s="28" t="s">
        <v>211</v>
      </c>
      <c r="B28" s="19" t="s">
        <v>212</v>
      </c>
      <c r="C28" s="36">
        <v>46191</v>
      </c>
      <c r="D28" s="37">
        <v>0.95833333333333337</v>
      </c>
      <c r="E28" s="19" t="s">
        <v>83</v>
      </c>
      <c r="F28" s="19" t="s">
        <v>162</v>
      </c>
      <c r="G28" s="19" t="s">
        <v>168</v>
      </c>
      <c r="H28" s="38" t="s">
        <v>2737</v>
      </c>
      <c r="I28" s="39" t="s">
        <v>2712</v>
      </c>
      <c r="J28" s="39" t="s">
        <v>2720</v>
      </c>
      <c r="K28" s="39" t="s">
        <v>2717</v>
      </c>
      <c r="L28" s="39" t="s">
        <v>2712</v>
      </c>
      <c r="M28" s="39" t="s">
        <v>2712</v>
      </c>
      <c r="N28" s="39" t="s">
        <v>2717</v>
      </c>
      <c r="O28" s="39" t="s">
        <v>2715</v>
      </c>
      <c r="P28" s="39" t="s">
        <v>2712</v>
      </c>
      <c r="Q28" s="3" t="str">
        <f t="shared" si="2"/>
        <v>H</v>
      </c>
      <c r="R28" s="3" t="str">
        <f t="shared" si="3"/>
        <v>H</v>
      </c>
      <c r="S28" s="3" t="str">
        <f t="shared" si="4"/>
        <v>A</v>
      </c>
      <c r="T28" s="3" t="str">
        <f t="shared" si="5"/>
        <v>D</v>
      </c>
      <c r="U28" s="3" t="str">
        <f t="shared" si="6"/>
        <v>H</v>
      </c>
      <c r="V28" s="3" t="str">
        <f t="shared" si="7"/>
        <v>H</v>
      </c>
      <c r="W28" s="3" t="str">
        <f t="shared" si="8"/>
        <v>D</v>
      </c>
      <c r="X28" s="3" t="str">
        <f t="shared" si="9"/>
        <v>H</v>
      </c>
      <c r="Y28" s="3" t="str">
        <f t="shared" si="10"/>
        <v>H</v>
      </c>
      <c r="Z28" s="3" t="str">
        <f t="shared" si="11"/>
        <v>D</v>
      </c>
      <c r="AA28" s="3" t="str">
        <f t="shared" si="12"/>
        <v>L</v>
      </c>
      <c r="AB28" s="3" t="str">
        <f t="shared" si="13"/>
        <v>L</v>
      </c>
      <c r="AC28" s="3" t="str">
        <f t="shared" si="14"/>
        <v>D</v>
      </c>
      <c r="AD28" s="3" t="str">
        <f t="shared" si="15"/>
        <v>D</v>
      </c>
      <c r="AE28" s="3" t="str">
        <f t="shared" si="16"/>
        <v>L</v>
      </c>
      <c r="AF28" s="3" t="str">
        <f t="shared" si="17"/>
        <v>D</v>
      </c>
      <c r="AG28" s="3" t="str">
        <f t="shared" si="18"/>
        <v>D</v>
      </c>
    </row>
    <row r="29" spans="1:33" x14ac:dyDescent="0.25">
      <c r="A29" s="28" t="s">
        <v>209</v>
      </c>
      <c r="B29" s="19" t="s">
        <v>2749</v>
      </c>
      <c r="C29" s="36">
        <v>46192</v>
      </c>
      <c r="D29" s="37">
        <v>8.3333333333333329E-2</v>
      </c>
      <c r="E29" s="19" t="s">
        <v>153</v>
      </c>
      <c r="F29" s="19" t="s">
        <v>2697</v>
      </c>
      <c r="G29" s="19" t="s">
        <v>168</v>
      </c>
      <c r="H29" s="38" t="s">
        <v>2715</v>
      </c>
      <c r="I29" s="39" t="s">
        <v>2713</v>
      </c>
      <c r="J29" s="39" t="s">
        <v>2730</v>
      </c>
      <c r="K29" s="39" t="s">
        <v>2717</v>
      </c>
      <c r="L29" s="39" t="s">
        <v>2750</v>
      </c>
      <c r="M29" s="39" t="s">
        <v>2727</v>
      </c>
      <c r="N29" s="39" t="s">
        <v>2713</v>
      </c>
      <c r="O29" s="39" t="s">
        <v>2712</v>
      </c>
      <c r="P29" s="39" t="s">
        <v>2717</v>
      </c>
      <c r="Q29" s="3" t="str">
        <f t="shared" si="2"/>
        <v>H</v>
      </c>
      <c r="R29" s="3" t="str">
        <f t="shared" si="3"/>
        <v>H</v>
      </c>
      <c r="S29" s="3" t="str">
        <f t="shared" si="4"/>
        <v>D</v>
      </c>
      <c r="T29" s="3" t="str">
        <f t="shared" si="5"/>
        <v>D</v>
      </c>
      <c r="U29" s="3" t="str">
        <f t="shared" si="6"/>
        <v>H</v>
      </c>
      <c r="V29" s="3" t="str">
        <f t="shared" si="7"/>
        <v>A</v>
      </c>
      <c r="W29" s="3" t="str">
        <f t="shared" si="8"/>
        <v>H</v>
      </c>
      <c r="X29" s="3" t="str">
        <f t="shared" si="9"/>
        <v>H</v>
      </c>
      <c r="Y29" s="3" t="str">
        <f t="shared" si="10"/>
        <v>D</v>
      </c>
      <c r="Z29" s="3" t="str">
        <f t="shared" si="11"/>
        <v>D</v>
      </c>
      <c r="AA29" s="3" t="str">
        <f t="shared" si="12"/>
        <v>L</v>
      </c>
      <c r="AB29" s="3" t="str">
        <f t="shared" si="13"/>
        <v>L</v>
      </c>
      <c r="AC29" s="3" t="str">
        <f t="shared" si="14"/>
        <v>D</v>
      </c>
      <c r="AD29" s="3" t="str">
        <f t="shared" si="15"/>
        <v>L</v>
      </c>
      <c r="AE29" s="3" t="str">
        <f t="shared" si="16"/>
        <v>D</v>
      </c>
      <c r="AF29" s="3" t="str">
        <f t="shared" si="17"/>
        <v>D</v>
      </c>
      <c r="AG29" s="3" t="str">
        <f t="shared" si="18"/>
        <v>L</v>
      </c>
    </row>
    <row r="30" spans="1:33" x14ac:dyDescent="0.25">
      <c r="A30" s="28" t="s">
        <v>207</v>
      </c>
      <c r="B30" s="19" t="s">
        <v>2751</v>
      </c>
      <c r="C30" s="36">
        <v>46192</v>
      </c>
      <c r="D30" s="37">
        <v>0.83333333333333337</v>
      </c>
      <c r="E30" s="19" t="s">
        <v>2522</v>
      </c>
      <c r="F30" s="19" t="s">
        <v>45</v>
      </c>
      <c r="G30" s="19" t="s">
        <v>168</v>
      </c>
      <c r="H30" s="38" t="s">
        <v>2712</v>
      </c>
      <c r="I30" s="39" t="s">
        <v>2713</v>
      </c>
      <c r="J30" s="39" t="s">
        <v>2714</v>
      </c>
      <c r="K30" s="39" t="s">
        <v>2712</v>
      </c>
      <c r="L30" s="39" t="s">
        <v>2734</v>
      </c>
      <c r="M30" s="39" t="s">
        <v>2712</v>
      </c>
      <c r="N30" s="39" t="s">
        <v>2713</v>
      </c>
      <c r="O30" s="39" t="s">
        <v>2713</v>
      </c>
      <c r="P30" s="39" t="s">
        <v>2715</v>
      </c>
      <c r="Q30" s="3" t="str">
        <f t="shared" si="2"/>
        <v>H</v>
      </c>
      <c r="R30" s="3" t="str">
        <f t="shared" si="3"/>
        <v>H</v>
      </c>
      <c r="S30" s="3" t="str">
        <f t="shared" si="4"/>
        <v>H</v>
      </c>
      <c r="T30" s="3" t="str">
        <f t="shared" si="5"/>
        <v>H</v>
      </c>
      <c r="U30" s="3" t="str">
        <f t="shared" si="6"/>
        <v>H</v>
      </c>
      <c r="V30" s="3" t="str">
        <f t="shared" si="7"/>
        <v>H</v>
      </c>
      <c r="W30" s="3" t="str">
        <f t="shared" si="8"/>
        <v>H</v>
      </c>
      <c r="X30" s="3" t="str">
        <f t="shared" si="9"/>
        <v>H</v>
      </c>
      <c r="Y30" s="3" t="str">
        <f t="shared" si="10"/>
        <v>H</v>
      </c>
      <c r="Z30" s="3" t="str">
        <f t="shared" si="11"/>
        <v>D</v>
      </c>
      <c r="AA30" s="3" t="str">
        <f t="shared" si="12"/>
        <v>D</v>
      </c>
      <c r="AB30" s="3" t="str">
        <f t="shared" si="13"/>
        <v>W</v>
      </c>
      <c r="AC30" s="3" t="str">
        <f t="shared" si="14"/>
        <v>D</v>
      </c>
      <c r="AD30" s="3" t="str">
        <f t="shared" si="15"/>
        <v>W</v>
      </c>
      <c r="AE30" s="3" t="str">
        <f t="shared" si="16"/>
        <v>D</v>
      </c>
      <c r="AF30" s="3" t="str">
        <f t="shared" si="17"/>
        <v>D</v>
      </c>
      <c r="AG30" s="3" t="str">
        <f t="shared" si="18"/>
        <v>D</v>
      </c>
    </row>
    <row r="31" spans="1:33" x14ac:dyDescent="0.25">
      <c r="A31" s="28" t="s">
        <v>205</v>
      </c>
      <c r="B31" s="19" t="s">
        <v>206</v>
      </c>
      <c r="C31" s="36">
        <v>46192</v>
      </c>
      <c r="D31" s="37">
        <v>0.95833333333333337</v>
      </c>
      <c r="E31" s="19" t="s">
        <v>156</v>
      </c>
      <c r="F31" s="19" t="s">
        <v>70</v>
      </c>
      <c r="G31" s="19" t="s">
        <v>168</v>
      </c>
      <c r="H31" s="38" t="s">
        <v>2720</v>
      </c>
      <c r="I31" s="39" t="s">
        <v>2717</v>
      </c>
      <c r="J31" s="39" t="s">
        <v>2717</v>
      </c>
      <c r="K31" s="39" t="s">
        <v>2724</v>
      </c>
      <c r="L31" s="39" t="s">
        <v>2727</v>
      </c>
      <c r="M31" s="39" t="s">
        <v>2720</v>
      </c>
      <c r="N31" s="39" t="s">
        <v>2727</v>
      </c>
      <c r="O31" s="39" t="s">
        <v>2727</v>
      </c>
      <c r="P31" s="39" t="s">
        <v>2720</v>
      </c>
      <c r="Q31" s="3" t="str">
        <f t="shared" si="2"/>
        <v>A</v>
      </c>
      <c r="R31" s="3" t="str">
        <f t="shared" si="3"/>
        <v>D</v>
      </c>
      <c r="S31" s="3" t="str">
        <f t="shared" si="4"/>
        <v>D</v>
      </c>
      <c r="T31" s="3" t="str">
        <f t="shared" si="5"/>
        <v>A</v>
      </c>
      <c r="U31" s="3" t="str">
        <f t="shared" si="6"/>
        <v>A</v>
      </c>
      <c r="V31" s="3" t="str">
        <f t="shared" si="7"/>
        <v>A</v>
      </c>
      <c r="W31" s="3" t="str">
        <f t="shared" si="8"/>
        <v>A</v>
      </c>
      <c r="X31" s="3" t="str">
        <f t="shared" si="9"/>
        <v>A</v>
      </c>
      <c r="Y31" s="3" t="str">
        <f t="shared" si="10"/>
        <v>A</v>
      </c>
      <c r="Z31" s="3" t="str">
        <f t="shared" si="11"/>
        <v>L</v>
      </c>
      <c r="AA31" s="3" t="str">
        <f t="shared" si="12"/>
        <v>L</v>
      </c>
      <c r="AB31" s="3" t="str">
        <f t="shared" si="13"/>
        <v>D</v>
      </c>
      <c r="AC31" s="3" t="str">
        <f t="shared" si="14"/>
        <v>D</v>
      </c>
      <c r="AD31" s="3" t="str">
        <f t="shared" si="15"/>
        <v>W</v>
      </c>
      <c r="AE31" s="3" t="str">
        <f t="shared" si="16"/>
        <v>D</v>
      </c>
      <c r="AF31" s="3" t="str">
        <f t="shared" si="17"/>
        <v>D</v>
      </c>
      <c r="AG31" s="3" t="str">
        <f t="shared" si="18"/>
        <v>W</v>
      </c>
    </row>
    <row r="32" spans="1:33" x14ac:dyDescent="0.25">
      <c r="A32" s="28" t="s">
        <v>202</v>
      </c>
      <c r="B32" s="19" t="s">
        <v>203</v>
      </c>
      <c r="C32" s="36">
        <v>46193</v>
      </c>
      <c r="D32" s="37">
        <v>6.25E-2</v>
      </c>
      <c r="E32" s="19" t="s">
        <v>78</v>
      </c>
      <c r="F32" s="19" t="s">
        <v>159</v>
      </c>
      <c r="G32" s="19" t="s">
        <v>168</v>
      </c>
      <c r="H32" s="38" t="s">
        <v>2734</v>
      </c>
      <c r="I32" s="39" t="s">
        <v>2738</v>
      </c>
      <c r="J32" s="39" t="s">
        <v>2737</v>
      </c>
      <c r="K32" s="39" t="s">
        <v>2736</v>
      </c>
      <c r="L32" s="39" t="s">
        <v>2736</v>
      </c>
      <c r="M32" s="39" t="s">
        <v>2737</v>
      </c>
      <c r="N32" s="39" t="s">
        <v>2738</v>
      </c>
      <c r="O32" s="39" t="s">
        <v>2734</v>
      </c>
      <c r="P32" s="39" t="s">
        <v>2734</v>
      </c>
      <c r="Q32" s="3" t="str">
        <f t="shared" si="2"/>
        <v>H</v>
      </c>
      <c r="R32" s="3" t="str">
        <f t="shared" si="3"/>
        <v>H</v>
      </c>
      <c r="S32" s="3" t="str">
        <f t="shared" si="4"/>
        <v>H</v>
      </c>
      <c r="T32" s="3" t="str">
        <f t="shared" si="5"/>
        <v>H</v>
      </c>
      <c r="U32" s="3" t="str">
        <f t="shared" si="6"/>
        <v>H</v>
      </c>
      <c r="V32" s="3" t="str">
        <f t="shared" si="7"/>
        <v>H</v>
      </c>
      <c r="W32" s="3" t="str">
        <f t="shared" si="8"/>
        <v>H</v>
      </c>
      <c r="X32" s="3" t="str">
        <f t="shared" si="9"/>
        <v>H</v>
      </c>
      <c r="Y32" s="3" t="str">
        <f t="shared" si="10"/>
        <v>H</v>
      </c>
      <c r="Z32" s="3" t="str">
        <f t="shared" si="11"/>
        <v>D</v>
      </c>
      <c r="AA32" s="3" t="str">
        <f t="shared" si="12"/>
        <v>D</v>
      </c>
      <c r="AB32" s="3" t="str">
        <f t="shared" si="13"/>
        <v>D</v>
      </c>
      <c r="AC32" s="3" t="str">
        <f t="shared" si="14"/>
        <v>D</v>
      </c>
      <c r="AD32" s="3" t="str">
        <f t="shared" si="15"/>
        <v>D</v>
      </c>
      <c r="AE32" s="3" t="str">
        <f t="shared" si="16"/>
        <v>D</v>
      </c>
      <c r="AF32" s="3" t="str">
        <f t="shared" si="17"/>
        <v>W</v>
      </c>
      <c r="AG32" s="3" t="str">
        <f t="shared" si="18"/>
        <v>W</v>
      </c>
    </row>
    <row r="33" spans="1:33" x14ac:dyDescent="0.25">
      <c r="A33" s="28" t="s">
        <v>200</v>
      </c>
      <c r="B33" s="19" t="s">
        <v>2752</v>
      </c>
      <c r="C33" s="36">
        <v>46193</v>
      </c>
      <c r="D33" s="37">
        <v>0.16666666666666666</v>
      </c>
      <c r="E33" s="19" t="s">
        <v>2696</v>
      </c>
      <c r="F33" s="19" t="s">
        <v>75</v>
      </c>
      <c r="G33" s="19" t="s">
        <v>168</v>
      </c>
      <c r="H33" s="38" t="s">
        <v>2720</v>
      </c>
      <c r="I33" s="39" t="s">
        <v>2713</v>
      </c>
      <c r="J33" s="39" t="s">
        <v>2713</v>
      </c>
      <c r="K33" s="39" t="s">
        <v>2714</v>
      </c>
      <c r="L33" s="39" t="s">
        <v>2713</v>
      </c>
      <c r="M33" s="39" t="s">
        <v>2717</v>
      </c>
      <c r="N33" s="39" t="s">
        <v>2713</v>
      </c>
      <c r="O33" s="49"/>
      <c r="P33" s="39" t="s">
        <v>2717</v>
      </c>
      <c r="Q33" s="3" t="str">
        <f t="shared" si="2"/>
        <v>A</v>
      </c>
      <c r="R33" s="3" t="str">
        <f t="shared" si="3"/>
        <v>H</v>
      </c>
      <c r="S33" s="3" t="str">
        <f t="shared" si="4"/>
        <v>H</v>
      </c>
      <c r="T33" s="3" t="str">
        <f t="shared" si="5"/>
        <v>H</v>
      </c>
      <c r="U33" s="3" t="str">
        <f t="shared" si="6"/>
        <v>H</v>
      </c>
      <c r="V33" s="3" t="str">
        <f t="shared" si="7"/>
        <v>D</v>
      </c>
      <c r="W33" s="3" t="str">
        <f t="shared" si="8"/>
        <v>H</v>
      </c>
      <c r="X33" s="3" t="e">
        <f t="shared" si="9"/>
        <v>#VALUE!</v>
      </c>
      <c r="Y33" s="3" t="str">
        <f t="shared" si="10"/>
        <v>D</v>
      </c>
      <c r="Z33" s="3" t="str">
        <f t="shared" si="11"/>
        <v>L</v>
      </c>
      <c r="AA33" s="3" t="str">
        <f t="shared" si="12"/>
        <v>L</v>
      </c>
      <c r="AB33" s="3" t="str">
        <f t="shared" si="13"/>
        <v>L</v>
      </c>
      <c r="AC33" s="3" t="str">
        <f t="shared" si="14"/>
        <v>L</v>
      </c>
      <c r="AD33" s="3" t="str">
        <f t="shared" si="15"/>
        <v>L</v>
      </c>
      <c r="AE33" s="3" t="str">
        <f t="shared" si="16"/>
        <v>L</v>
      </c>
      <c r="AF33" s="3" t="str">
        <f t="shared" si="17"/>
        <v/>
      </c>
      <c r="AG33" s="3" t="str">
        <f t="shared" si="18"/>
        <v>L</v>
      </c>
    </row>
    <row r="34" spans="1:33" x14ac:dyDescent="0.25">
      <c r="A34" s="28" t="s">
        <v>198</v>
      </c>
      <c r="B34" s="19" t="s">
        <v>199</v>
      </c>
      <c r="C34" s="36">
        <v>46193</v>
      </c>
      <c r="D34" s="37">
        <v>0.75</v>
      </c>
      <c r="E34" s="19" t="s">
        <v>69</v>
      </c>
      <c r="F34" s="19" t="s">
        <v>62</v>
      </c>
      <c r="G34" s="19" t="s">
        <v>168</v>
      </c>
      <c r="H34" s="38" t="s">
        <v>2741</v>
      </c>
      <c r="I34" s="39" t="s">
        <v>2713</v>
      </c>
      <c r="J34" s="39" t="s">
        <v>2727</v>
      </c>
      <c r="K34" s="39" t="s">
        <v>2717</v>
      </c>
      <c r="L34" s="39" t="s">
        <v>2730</v>
      </c>
      <c r="M34" s="39" t="s">
        <v>2717</v>
      </c>
      <c r="N34" s="39" t="s">
        <v>2717</v>
      </c>
      <c r="O34" s="49"/>
      <c r="P34" s="39" t="s">
        <v>2717</v>
      </c>
      <c r="Q34" s="3" t="str">
        <f t="shared" si="2"/>
        <v>H</v>
      </c>
      <c r="R34" s="3" t="str">
        <f t="shared" si="3"/>
        <v>H</v>
      </c>
      <c r="S34" s="3" t="str">
        <f t="shared" si="4"/>
        <v>A</v>
      </c>
      <c r="T34" s="3" t="str">
        <f t="shared" si="5"/>
        <v>D</v>
      </c>
      <c r="U34" s="3" t="str">
        <f t="shared" si="6"/>
        <v>D</v>
      </c>
      <c r="V34" s="3" t="str">
        <f t="shared" si="7"/>
        <v>D</v>
      </c>
      <c r="W34" s="3" t="str">
        <f t="shared" si="8"/>
        <v>D</v>
      </c>
      <c r="X34" s="3" t="e">
        <f t="shared" si="9"/>
        <v>#VALUE!</v>
      </c>
      <c r="Y34" s="3" t="str">
        <f t="shared" si="10"/>
        <v>D</v>
      </c>
      <c r="Z34" s="3" t="str">
        <f t="shared" si="11"/>
        <v>D</v>
      </c>
      <c r="AA34" s="3" t="str">
        <f t="shared" si="12"/>
        <v>L</v>
      </c>
      <c r="AB34" s="3" t="str">
        <f t="shared" si="13"/>
        <v>L</v>
      </c>
      <c r="AC34" s="3" t="str">
        <f t="shared" si="14"/>
        <v>L</v>
      </c>
      <c r="AD34" s="3" t="str">
        <f t="shared" si="15"/>
        <v>L</v>
      </c>
      <c r="AE34" s="3" t="str">
        <f t="shared" si="16"/>
        <v>L</v>
      </c>
      <c r="AF34" s="3" t="str">
        <f t="shared" si="17"/>
        <v/>
      </c>
      <c r="AG34" s="3" t="str">
        <f t="shared" si="18"/>
        <v>L</v>
      </c>
    </row>
    <row r="35" spans="1:33" x14ac:dyDescent="0.25">
      <c r="A35" s="28" t="s">
        <v>196</v>
      </c>
      <c r="B35" s="19" t="s">
        <v>2753</v>
      </c>
      <c r="C35" s="36">
        <v>46193</v>
      </c>
      <c r="D35" s="37">
        <v>0.875</v>
      </c>
      <c r="E35" s="19" t="s">
        <v>74</v>
      </c>
      <c r="F35" s="19" t="s">
        <v>2699</v>
      </c>
      <c r="G35" s="19" t="s">
        <v>168</v>
      </c>
      <c r="H35" s="38" t="s">
        <v>2713</v>
      </c>
      <c r="I35" s="39" t="s">
        <v>2712</v>
      </c>
      <c r="J35" s="39" t="s">
        <v>2741</v>
      </c>
      <c r="K35" s="39" t="s">
        <v>2714</v>
      </c>
      <c r="L35" s="39" t="s">
        <v>2714</v>
      </c>
      <c r="M35" s="39" t="s">
        <v>2734</v>
      </c>
      <c r="N35" s="39" t="s">
        <v>2713</v>
      </c>
      <c r="O35" s="39" t="s">
        <v>2712</v>
      </c>
      <c r="P35" s="39" t="s">
        <v>2715</v>
      </c>
      <c r="Q35" s="3" t="str">
        <f t="shared" si="2"/>
        <v>H</v>
      </c>
      <c r="R35" s="3" t="str">
        <f t="shared" si="3"/>
        <v>H</v>
      </c>
      <c r="S35" s="3" t="str">
        <f t="shared" si="4"/>
        <v>H</v>
      </c>
      <c r="T35" s="3" t="str">
        <f t="shared" si="5"/>
        <v>H</v>
      </c>
      <c r="U35" s="3" t="str">
        <f t="shared" si="6"/>
        <v>H</v>
      </c>
      <c r="V35" s="3" t="str">
        <f t="shared" si="7"/>
        <v>H</v>
      </c>
      <c r="W35" s="3" t="str">
        <f t="shared" si="8"/>
        <v>H</v>
      </c>
      <c r="X35" s="3" t="str">
        <f t="shared" si="9"/>
        <v>H</v>
      </c>
      <c r="Y35" s="3" t="str">
        <f t="shared" si="10"/>
        <v>H</v>
      </c>
      <c r="Z35" s="3" t="str">
        <f t="shared" si="11"/>
        <v>D</v>
      </c>
      <c r="AA35" s="3" t="str">
        <f t="shared" si="12"/>
        <v>D</v>
      </c>
      <c r="AB35" s="3" t="str">
        <f t="shared" si="13"/>
        <v>D</v>
      </c>
      <c r="AC35" s="3" t="str">
        <f t="shared" si="14"/>
        <v>D</v>
      </c>
      <c r="AD35" s="3" t="str">
        <f t="shared" si="15"/>
        <v>D</v>
      </c>
      <c r="AE35" s="3" t="str">
        <f t="shared" si="16"/>
        <v>W</v>
      </c>
      <c r="AF35" s="3" t="str">
        <f t="shared" si="17"/>
        <v>D</v>
      </c>
      <c r="AG35" s="3" t="str">
        <f t="shared" si="18"/>
        <v>D</v>
      </c>
    </row>
    <row r="36" spans="1:33" x14ac:dyDescent="0.25">
      <c r="A36" s="28" t="s">
        <v>194</v>
      </c>
      <c r="B36" s="19" t="s">
        <v>2754</v>
      </c>
      <c r="C36" s="36">
        <v>46194</v>
      </c>
      <c r="D36" s="37">
        <v>4.1666666666666664E-2</v>
      </c>
      <c r="E36" s="19" t="s">
        <v>146</v>
      </c>
      <c r="F36" s="19" t="s">
        <v>2732</v>
      </c>
      <c r="G36" s="19" t="s">
        <v>168</v>
      </c>
      <c r="H36" s="38" t="s">
        <v>2740</v>
      </c>
      <c r="I36" s="39" t="s">
        <v>2712</v>
      </c>
      <c r="J36" s="39" t="s">
        <v>2734</v>
      </c>
      <c r="K36" s="39" t="s">
        <v>2734</v>
      </c>
      <c r="L36" s="39" t="s">
        <v>2722</v>
      </c>
      <c r="M36" s="39" t="s">
        <v>2712</v>
      </c>
      <c r="N36" s="39" t="s">
        <v>2734</v>
      </c>
      <c r="O36" s="39" t="s">
        <v>2734</v>
      </c>
      <c r="P36" s="39" t="s">
        <v>2712</v>
      </c>
      <c r="Q36" s="3" t="str">
        <f t="shared" si="2"/>
        <v>D</v>
      </c>
      <c r="R36" s="3" t="str">
        <f t="shared" si="3"/>
        <v>H</v>
      </c>
      <c r="S36" s="3" t="str">
        <f t="shared" si="4"/>
        <v>H</v>
      </c>
      <c r="T36" s="3" t="str">
        <f t="shared" si="5"/>
        <v>H</v>
      </c>
      <c r="U36" s="3" t="str">
        <f t="shared" si="6"/>
        <v>H</v>
      </c>
      <c r="V36" s="3" t="str">
        <f t="shared" si="7"/>
        <v>H</v>
      </c>
      <c r="W36" s="3" t="str">
        <f t="shared" si="8"/>
        <v>H</v>
      </c>
      <c r="X36" s="3" t="str">
        <f t="shared" si="9"/>
        <v>H</v>
      </c>
      <c r="Y36" s="3" t="str">
        <f t="shared" si="10"/>
        <v>H</v>
      </c>
      <c r="Z36" s="3" t="str">
        <f t="shared" si="11"/>
        <v>L</v>
      </c>
      <c r="AA36" s="3" t="str">
        <f t="shared" si="12"/>
        <v>L</v>
      </c>
      <c r="AB36" s="3" t="str">
        <f t="shared" si="13"/>
        <v>L</v>
      </c>
      <c r="AC36" s="3" t="str">
        <f t="shared" si="14"/>
        <v>L</v>
      </c>
      <c r="AD36" s="3" t="str">
        <f t="shared" si="15"/>
        <v>L</v>
      </c>
      <c r="AE36" s="3" t="str">
        <f t="shared" si="16"/>
        <v>L</v>
      </c>
      <c r="AF36" s="3" t="str">
        <f t="shared" si="17"/>
        <v>L</v>
      </c>
      <c r="AG36" s="3" t="str">
        <f t="shared" si="18"/>
        <v>L</v>
      </c>
    </row>
    <row r="37" spans="1:33" x14ac:dyDescent="0.25">
      <c r="A37" s="28" t="s">
        <v>191</v>
      </c>
      <c r="B37" s="19" t="s">
        <v>192</v>
      </c>
      <c r="C37" s="36">
        <v>46194</v>
      </c>
      <c r="D37" s="37">
        <v>0.20833333333333334</v>
      </c>
      <c r="E37" s="19" t="s">
        <v>139</v>
      </c>
      <c r="F37" s="19" t="s">
        <v>79</v>
      </c>
      <c r="G37" s="19" t="s">
        <v>168</v>
      </c>
      <c r="H37" s="38" t="s">
        <v>2747</v>
      </c>
      <c r="I37" s="39" t="s">
        <v>2727</v>
      </c>
      <c r="J37" s="39" t="s">
        <v>2724</v>
      </c>
      <c r="K37" s="39" t="s">
        <v>2726</v>
      </c>
      <c r="L37" s="39" t="s">
        <v>2727</v>
      </c>
      <c r="M37" s="39" t="s">
        <v>2727</v>
      </c>
      <c r="N37" s="39" t="s">
        <v>2727</v>
      </c>
      <c r="O37" s="39" t="s">
        <v>2720</v>
      </c>
      <c r="P37" s="39" t="s">
        <v>2720</v>
      </c>
      <c r="Q37" s="3" t="str">
        <f t="shared" si="2"/>
        <v>A</v>
      </c>
      <c r="R37" s="3" t="str">
        <f t="shared" si="3"/>
        <v>A</v>
      </c>
      <c r="S37" s="3" t="str">
        <f t="shared" si="4"/>
        <v>A</v>
      </c>
      <c r="T37" s="3" t="str">
        <f t="shared" si="5"/>
        <v>A</v>
      </c>
      <c r="U37" s="3" t="str">
        <f t="shared" si="6"/>
        <v>A</v>
      </c>
      <c r="V37" s="3" t="str">
        <f t="shared" si="7"/>
        <v>A</v>
      </c>
      <c r="W37" s="3" t="str">
        <f t="shared" si="8"/>
        <v>A</v>
      </c>
      <c r="X37" s="3" t="str">
        <f t="shared" si="9"/>
        <v>A</v>
      </c>
      <c r="Y37" s="3" t="str">
        <f t="shared" si="10"/>
        <v>A</v>
      </c>
      <c r="Z37" s="3" t="str">
        <f t="shared" si="11"/>
        <v>D</v>
      </c>
      <c r="AA37" s="3" t="str">
        <f t="shared" si="12"/>
        <v>D</v>
      </c>
      <c r="AB37" s="3" t="str">
        <f t="shared" si="13"/>
        <v>D</v>
      </c>
      <c r="AC37" s="3" t="str">
        <f t="shared" si="14"/>
        <v>D</v>
      </c>
      <c r="AD37" s="3" t="str">
        <f t="shared" si="15"/>
        <v>D</v>
      </c>
      <c r="AE37" s="3" t="str">
        <f t="shared" si="16"/>
        <v>D</v>
      </c>
      <c r="AF37" s="3" t="str">
        <f t="shared" si="17"/>
        <v>D</v>
      </c>
      <c r="AG37" s="3" t="str">
        <f t="shared" si="18"/>
        <v>D</v>
      </c>
    </row>
    <row r="38" spans="1:33" x14ac:dyDescent="0.25">
      <c r="A38" s="28" t="s">
        <v>189</v>
      </c>
      <c r="B38" s="19" t="s">
        <v>190</v>
      </c>
      <c r="C38" s="36">
        <v>46194</v>
      </c>
      <c r="D38" s="37">
        <v>0.70833333333333337</v>
      </c>
      <c r="E38" s="19" t="s">
        <v>123</v>
      </c>
      <c r="F38" s="19" t="s">
        <v>119</v>
      </c>
      <c r="G38" s="19" t="s">
        <v>168</v>
      </c>
      <c r="H38" s="38" t="s">
        <v>2738</v>
      </c>
      <c r="I38" s="39" t="s">
        <v>2734</v>
      </c>
      <c r="J38" s="39" t="s">
        <v>2722</v>
      </c>
      <c r="K38" s="39" t="s">
        <v>2734</v>
      </c>
      <c r="L38" s="39" t="s">
        <v>2734</v>
      </c>
      <c r="M38" s="39" t="s">
        <v>2712</v>
      </c>
      <c r="N38" s="39" t="s">
        <v>2734</v>
      </c>
      <c r="O38" s="39" t="s">
        <v>2712</v>
      </c>
      <c r="P38" s="39" t="s">
        <v>2734</v>
      </c>
      <c r="Q38" s="3" t="str">
        <f t="shared" si="2"/>
        <v>H</v>
      </c>
      <c r="R38" s="3" t="str">
        <f t="shared" si="3"/>
        <v>H</v>
      </c>
      <c r="S38" s="3" t="str">
        <f t="shared" si="4"/>
        <v>H</v>
      </c>
      <c r="T38" s="3" t="str">
        <f t="shared" si="5"/>
        <v>H</v>
      </c>
      <c r="U38" s="3" t="str">
        <f t="shared" si="6"/>
        <v>H</v>
      </c>
      <c r="V38" s="3" t="str">
        <f t="shared" si="7"/>
        <v>H</v>
      </c>
      <c r="W38" s="3" t="str">
        <f t="shared" si="8"/>
        <v>H</v>
      </c>
      <c r="X38" s="3" t="str">
        <f t="shared" si="9"/>
        <v>H</v>
      </c>
      <c r="Y38" s="3" t="str">
        <f t="shared" si="10"/>
        <v>H</v>
      </c>
      <c r="Z38" s="3" t="str">
        <f t="shared" si="11"/>
        <v>D</v>
      </c>
      <c r="AA38" s="3" t="str">
        <f t="shared" si="12"/>
        <v>D</v>
      </c>
      <c r="AB38" s="3" t="str">
        <f t="shared" si="13"/>
        <v>D</v>
      </c>
      <c r="AC38" s="3" t="str">
        <f t="shared" si="14"/>
        <v>D</v>
      </c>
      <c r="AD38" s="3" t="str">
        <f t="shared" si="15"/>
        <v>D</v>
      </c>
      <c r="AE38" s="3" t="str">
        <f t="shared" si="16"/>
        <v>D</v>
      </c>
      <c r="AF38" s="3" t="str">
        <f t="shared" si="17"/>
        <v>D</v>
      </c>
      <c r="AG38" s="3" t="str">
        <f t="shared" si="18"/>
        <v>D</v>
      </c>
    </row>
    <row r="39" spans="1:33" x14ac:dyDescent="0.25">
      <c r="A39" s="28" t="s">
        <v>187</v>
      </c>
      <c r="B39" s="19" t="s">
        <v>2755</v>
      </c>
      <c r="C39" s="36">
        <v>46194</v>
      </c>
      <c r="D39" s="37">
        <v>0.83333333333333337</v>
      </c>
      <c r="E39" s="19" t="s">
        <v>113</v>
      </c>
      <c r="F39" s="19" t="s">
        <v>1540</v>
      </c>
      <c r="G39" s="19" t="s">
        <v>168</v>
      </c>
      <c r="H39" s="38" t="s">
        <v>2740</v>
      </c>
      <c r="I39" s="39" t="s">
        <v>2734</v>
      </c>
      <c r="J39" s="39" t="s">
        <v>2714</v>
      </c>
      <c r="K39" s="39" t="s">
        <v>2714</v>
      </c>
      <c r="L39" s="39" t="s">
        <v>2714</v>
      </c>
      <c r="M39" s="39" t="s">
        <v>2713</v>
      </c>
      <c r="N39" s="39" t="s">
        <v>2712</v>
      </c>
      <c r="O39" s="39" t="s">
        <v>2712</v>
      </c>
      <c r="P39" s="39" t="s">
        <v>2712</v>
      </c>
      <c r="Q39" s="3" t="str">
        <f t="shared" si="2"/>
        <v>D</v>
      </c>
      <c r="R39" s="3" t="str">
        <f t="shared" si="3"/>
        <v>H</v>
      </c>
      <c r="S39" s="3" t="str">
        <f t="shared" si="4"/>
        <v>H</v>
      </c>
      <c r="T39" s="3" t="str">
        <f t="shared" si="5"/>
        <v>H</v>
      </c>
      <c r="U39" s="3" t="str">
        <f t="shared" si="6"/>
        <v>H</v>
      </c>
      <c r="V39" s="3" t="str">
        <f t="shared" si="7"/>
        <v>H</v>
      </c>
      <c r="W39" s="3" t="str">
        <f t="shared" si="8"/>
        <v>H</v>
      </c>
      <c r="X39" s="3" t="str">
        <f t="shared" si="9"/>
        <v>H</v>
      </c>
      <c r="Y39" s="3" t="str">
        <f t="shared" si="10"/>
        <v>H</v>
      </c>
      <c r="Z39" s="3" t="str">
        <f t="shared" si="11"/>
        <v>L</v>
      </c>
      <c r="AA39" s="3" t="str">
        <f t="shared" si="12"/>
        <v>L</v>
      </c>
      <c r="AB39" s="3" t="str">
        <f t="shared" si="13"/>
        <v>L</v>
      </c>
      <c r="AC39" s="3" t="str">
        <f t="shared" si="14"/>
        <v>L</v>
      </c>
      <c r="AD39" s="3" t="str">
        <f t="shared" si="15"/>
        <v>L</v>
      </c>
      <c r="AE39" s="3" t="str">
        <f t="shared" si="16"/>
        <v>L</v>
      </c>
      <c r="AF39" s="3" t="str">
        <f t="shared" si="17"/>
        <v>L</v>
      </c>
      <c r="AG39" s="3" t="str">
        <f t="shared" si="18"/>
        <v>L</v>
      </c>
    </row>
    <row r="40" spans="1:33" x14ac:dyDescent="0.25">
      <c r="A40" s="28" t="s">
        <v>185</v>
      </c>
      <c r="B40" s="19" t="s">
        <v>2756</v>
      </c>
      <c r="C40" s="36">
        <v>46194</v>
      </c>
      <c r="D40" s="37">
        <v>0.95833333333333337</v>
      </c>
      <c r="E40" s="19" t="s">
        <v>122</v>
      </c>
      <c r="F40" s="19" t="s">
        <v>2743</v>
      </c>
      <c r="G40" s="19" t="s">
        <v>168</v>
      </c>
      <c r="H40" s="38" t="s">
        <v>2730</v>
      </c>
      <c r="I40" s="39" t="s">
        <v>2734</v>
      </c>
      <c r="J40" s="39" t="s">
        <v>2712</v>
      </c>
      <c r="K40" s="39" t="s">
        <v>2712</v>
      </c>
      <c r="L40" s="39" t="s">
        <v>2714</v>
      </c>
      <c r="M40" s="39" t="s">
        <v>2712</v>
      </c>
      <c r="N40" s="39" t="s">
        <v>2714</v>
      </c>
      <c r="O40" s="39" t="s">
        <v>2715</v>
      </c>
      <c r="P40" s="39" t="s">
        <v>2715</v>
      </c>
      <c r="Q40" s="3" t="str">
        <f t="shared" si="2"/>
        <v>D</v>
      </c>
      <c r="R40" s="3" t="str">
        <f t="shared" si="3"/>
        <v>H</v>
      </c>
      <c r="S40" s="3" t="str">
        <f t="shared" si="4"/>
        <v>H</v>
      </c>
      <c r="T40" s="3" t="str">
        <f t="shared" si="5"/>
        <v>H</v>
      </c>
      <c r="U40" s="3" t="str">
        <f t="shared" si="6"/>
        <v>H</v>
      </c>
      <c r="V40" s="3" t="str">
        <f t="shared" si="7"/>
        <v>H</v>
      </c>
      <c r="W40" s="3" t="str">
        <f t="shared" si="8"/>
        <v>H</v>
      </c>
      <c r="X40" s="3" t="str">
        <f t="shared" si="9"/>
        <v>H</v>
      </c>
      <c r="Y40" s="3" t="str">
        <f t="shared" si="10"/>
        <v>H</v>
      </c>
      <c r="Z40" s="3" t="str">
        <f t="shared" si="11"/>
        <v>L</v>
      </c>
      <c r="AA40" s="3" t="str">
        <f t="shared" si="12"/>
        <v>L</v>
      </c>
      <c r="AB40" s="3" t="str">
        <f t="shared" si="13"/>
        <v>L</v>
      </c>
      <c r="AC40" s="3" t="str">
        <f t="shared" si="14"/>
        <v>L</v>
      </c>
      <c r="AD40" s="3" t="str">
        <f t="shared" si="15"/>
        <v>L</v>
      </c>
      <c r="AE40" s="3" t="str">
        <f t="shared" si="16"/>
        <v>L</v>
      </c>
      <c r="AF40" s="3" t="str">
        <f t="shared" si="17"/>
        <v>L</v>
      </c>
      <c r="AG40" s="3" t="str">
        <f t="shared" si="18"/>
        <v>L</v>
      </c>
    </row>
    <row r="41" spans="1:33" x14ac:dyDescent="0.25">
      <c r="A41" s="28" t="s">
        <v>183</v>
      </c>
      <c r="B41" s="19" t="s">
        <v>184</v>
      </c>
      <c r="C41" s="36">
        <v>46195</v>
      </c>
      <c r="D41" s="37">
        <v>8.3333333333333329E-2</v>
      </c>
      <c r="E41" s="19" t="s">
        <v>112</v>
      </c>
      <c r="F41" s="19" t="s">
        <v>46</v>
      </c>
      <c r="G41" s="19" t="s">
        <v>168</v>
      </c>
      <c r="H41" s="38" t="s">
        <v>2726</v>
      </c>
      <c r="I41" s="39" t="s">
        <v>2724</v>
      </c>
      <c r="J41" s="39" t="s">
        <v>2727</v>
      </c>
      <c r="K41" s="39" t="s">
        <v>2717</v>
      </c>
      <c r="L41" s="39" t="s">
        <v>2713</v>
      </c>
      <c r="M41" s="39" t="s">
        <v>2727</v>
      </c>
      <c r="N41" s="39" t="s">
        <v>2724</v>
      </c>
      <c r="O41" s="39" t="s">
        <v>2720</v>
      </c>
      <c r="P41" s="39" t="s">
        <v>2720</v>
      </c>
      <c r="Q41" s="3" t="str">
        <f t="shared" si="2"/>
        <v>A</v>
      </c>
      <c r="R41" s="3" t="str">
        <f t="shared" si="3"/>
        <v>A</v>
      </c>
      <c r="S41" s="3" t="str">
        <f t="shared" si="4"/>
        <v>A</v>
      </c>
      <c r="T41" s="3" t="str">
        <f t="shared" si="5"/>
        <v>D</v>
      </c>
      <c r="U41" s="3" t="str">
        <f t="shared" si="6"/>
        <v>H</v>
      </c>
      <c r="V41" s="3" t="str">
        <f t="shared" si="7"/>
        <v>A</v>
      </c>
      <c r="W41" s="3" t="str">
        <f t="shared" si="8"/>
        <v>A</v>
      </c>
      <c r="X41" s="3" t="str">
        <f t="shared" si="9"/>
        <v>A</v>
      </c>
      <c r="Y41" s="3" t="str">
        <f t="shared" si="10"/>
        <v>A</v>
      </c>
      <c r="Z41" s="3" t="str">
        <f t="shared" si="11"/>
        <v>D</v>
      </c>
      <c r="AA41" s="3" t="str">
        <f t="shared" si="12"/>
        <v>D</v>
      </c>
      <c r="AB41" s="3" t="str">
        <f t="shared" si="13"/>
        <v>L</v>
      </c>
      <c r="AC41" s="3" t="str">
        <f t="shared" si="14"/>
        <v>L</v>
      </c>
      <c r="AD41" s="3" t="str">
        <f t="shared" si="15"/>
        <v>D</v>
      </c>
      <c r="AE41" s="3" t="str">
        <f t="shared" si="16"/>
        <v>D</v>
      </c>
      <c r="AF41" s="3" t="str">
        <f t="shared" si="17"/>
        <v>D</v>
      </c>
      <c r="AG41" s="3" t="str">
        <f t="shared" si="18"/>
        <v>D</v>
      </c>
    </row>
    <row r="42" spans="1:33" x14ac:dyDescent="0.25">
      <c r="A42" s="28" t="s">
        <v>181</v>
      </c>
      <c r="B42" s="19" t="s">
        <v>182</v>
      </c>
      <c r="C42" s="36">
        <v>46195</v>
      </c>
      <c r="D42" s="37">
        <v>0.75</v>
      </c>
      <c r="E42" s="19" t="s">
        <v>40</v>
      </c>
      <c r="F42" s="19" t="s">
        <v>88</v>
      </c>
      <c r="G42" s="19" t="s">
        <v>168</v>
      </c>
      <c r="H42" s="38" t="s">
        <v>2712</v>
      </c>
      <c r="I42" s="39" t="s">
        <v>2734</v>
      </c>
      <c r="J42" s="39" t="s">
        <v>2722</v>
      </c>
      <c r="K42" s="39" t="s">
        <v>2713</v>
      </c>
      <c r="L42" s="39" t="s">
        <v>2734</v>
      </c>
      <c r="M42" s="39" t="s">
        <v>2730</v>
      </c>
      <c r="N42" s="39" t="s">
        <v>2712</v>
      </c>
      <c r="O42" s="39" t="s">
        <v>2712</v>
      </c>
      <c r="P42" s="39" t="s">
        <v>2715</v>
      </c>
      <c r="Q42" s="3" t="str">
        <f t="shared" si="2"/>
        <v>H</v>
      </c>
      <c r="R42" s="3" t="str">
        <f t="shared" si="3"/>
        <v>H</v>
      </c>
      <c r="S42" s="3" t="str">
        <f t="shared" si="4"/>
        <v>H</v>
      </c>
      <c r="T42" s="3" t="str">
        <f t="shared" si="5"/>
        <v>H</v>
      </c>
      <c r="U42" s="3" t="str">
        <f t="shared" si="6"/>
        <v>H</v>
      </c>
      <c r="V42" s="3" t="str">
        <f t="shared" si="7"/>
        <v>D</v>
      </c>
      <c r="W42" s="3" t="str">
        <f t="shared" si="8"/>
        <v>H</v>
      </c>
      <c r="X42" s="3" t="str">
        <f t="shared" si="9"/>
        <v>H</v>
      </c>
      <c r="Y42" s="3" t="str">
        <f t="shared" si="10"/>
        <v>H</v>
      </c>
      <c r="Z42" s="3" t="str">
        <f t="shared" si="11"/>
        <v>D</v>
      </c>
      <c r="AA42" s="3" t="str">
        <f t="shared" si="12"/>
        <v>D</v>
      </c>
      <c r="AB42" s="3" t="str">
        <f t="shared" si="13"/>
        <v>D</v>
      </c>
      <c r="AC42" s="3" t="str">
        <f t="shared" si="14"/>
        <v>D</v>
      </c>
      <c r="AD42" s="3" t="str">
        <f t="shared" si="15"/>
        <v>L</v>
      </c>
      <c r="AE42" s="3" t="str">
        <f t="shared" si="16"/>
        <v>W</v>
      </c>
      <c r="AF42" s="3" t="str">
        <f t="shared" si="17"/>
        <v>W</v>
      </c>
      <c r="AG42" s="3" t="str">
        <f t="shared" si="18"/>
        <v>D</v>
      </c>
    </row>
    <row r="43" spans="1:33" x14ac:dyDescent="0.25">
      <c r="A43" s="28" t="s">
        <v>179</v>
      </c>
      <c r="B43" s="19" t="s">
        <v>180</v>
      </c>
      <c r="C43" s="36">
        <v>46195</v>
      </c>
      <c r="D43" s="37">
        <v>0.91666666666666663</v>
      </c>
      <c r="E43" s="19" t="s">
        <v>61</v>
      </c>
      <c r="F43" s="19" t="s">
        <v>127</v>
      </c>
      <c r="G43" s="19" t="s">
        <v>168</v>
      </c>
      <c r="H43" s="38" t="s">
        <v>2734</v>
      </c>
      <c r="I43" s="39" t="s">
        <v>2738</v>
      </c>
      <c r="J43" s="39" t="s">
        <v>2734</v>
      </c>
      <c r="K43" s="39" t="s">
        <v>2738</v>
      </c>
      <c r="L43" s="39" t="s">
        <v>2736</v>
      </c>
      <c r="M43" s="39" t="s">
        <v>2757</v>
      </c>
      <c r="N43" s="39" t="s">
        <v>2738</v>
      </c>
      <c r="O43" s="39" t="s">
        <v>2734</v>
      </c>
      <c r="P43" s="39" t="s">
        <v>2734</v>
      </c>
      <c r="Q43" s="3" t="str">
        <f t="shared" si="2"/>
        <v>H</v>
      </c>
      <c r="R43" s="3" t="str">
        <f t="shared" si="3"/>
        <v>H</v>
      </c>
      <c r="S43" s="3" t="str">
        <f t="shared" si="4"/>
        <v>H</v>
      </c>
      <c r="T43" s="3" t="str">
        <f t="shared" si="5"/>
        <v>H</v>
      </c>
      <c r="U43" s="3" t="str">
        <f t="shared" si="6"/>
        <v>H</v>
      </c>
      <c r="V43" s="3" t="str">
        <f t="shared" si="7"/>
        <v>H</v>
      </c>
      <c r="W43" s="3" t="str">
        <f t="shared" si="8"/>
        <v>H</v>
      </c>
      <c r="X43" s="3" t="str">
        <f t="shared" si="9"/>
        <v>H</v>
      </c>
      <c r="Y43" s="3" t="str">
        <f t="shared" si="10"/>
        <v>H</v>
      </c>
      <c r="Z43" s="3" t="str">
        <f t="shared" si="11"/>
        <v>D</v>
      </c>
      <c r="AA43" s="3" t="str">
        <f t="shared" si="12"/>
        <v>W</v>
      </c>
      <c r="AB43" s="3" t="str">
        <f t="shared" si="13"/>
        <v>D</v>
      </c>
      <c r="AC43" s="3" t="str">
        <f t="shared" si="14"/>
        <v>D</v>
      </c>
      <c r="AD43" s="3" t="str">
        <f t="shared" si="15"/>
        <v>D</v>
      </c>
      <c r="AE43" s="3" t="str">
        <f t="shared" si="16"/>
        <v>D</v>
      </c>
      <c r="AF43" s="3" t="str">
        <f t="shared" si="17"/>
        <v>W</v>
      </c>
      <c r="AG43" s="3" t="str">
        <f t="shared" si="18"/>
        <v>W</v>
      </c>
    </row>
    <row r="44" spans="1:33" x14ac:dyDescent="0.25">
      <c r="A44" s="28" t="s">
        <v>177</v>
      </c>
      <c r="B44" s="19" t="s">
        <v>178</v>
      </c>
      <c r="C44" s="36">
        <v>46196</v>
      </c>
      <c r="D44" s="37">
        <v>4.1666666666666664E-2</v>
      </c>
      <c r="E44" s="19" t="s">
        <v>66</v>
      </c>
      <c r="F44" s="19" t="s">
        <v>126</v>
      </c>
      <c r="G44" s="19" t="s">
        <v>168</v>
      </c>
      <c r="H44" s="38" t="s">
        <v>2750</v>
      </c>
      <c r="I44" s="39" t="s">
        <v>2713</v>
      </c>
      <c r="J44" s="39" t="s">
        <v>2730</v>
      </c>
      <c r="K44" s="39" t="s">
        <v>2717</v>
      </c>
      <c r="L44" s="39" t="s">
        <v>2714</v>
      </c>
      <c r="M44" s="39" t="s">
        <v>2730</v>
      </c>
      <c r="N44" s="39" t="s">
        <v>2717</v>
      </c>
      <c r="O44" s="39" t="s">
        <v>2713</v>
      </c>
      <c r="P44" s="39" t="s">
        <v>2717</v>
      </c>
      <c r="Q44" s="3" t="str">
        <f t="shared" si="2"/>
        <v>H</v>
      </c>
      <c r="R44" s="3" t="str">
        <f t="shared" si="3"/>
        <v>H</v>
      </c>
      <c r="S44" s="3" t="str">
        <f t="shared" si="4"/>
        <v>D</v>
      </c>
      <c r="T44" s="3" t="str">
        <f t="shared" si="5"/>
        <v>D</v>
      </c>
      <c r="U44" s="3" t="str">
        <f t="shared" si="6"/>
        <v>H</v>
      </c>
      <c r="V44" s="3" t="str">
        <f t="shared" si="7"/>
        <v>D</v>
      </c>
      <c r="W44" s="3" t="str">
        <f t="shared" si="8"/>
        <v>D</v>
      </c>
      <c r="X44" s="3" t="str">
        <f t="shared" si="9"/>
        <v>H</v>
      </c>
      <c r="Y44" s="3" t="str">
        <f t="shared" si="10"/>
        <v>D</v>
      </c>
      <c r="Z44" s="3" t="str">
        <f t="shared" si="11"/>
        <v>D</v>
      </c>
      <c r="AA44" s="3" t="str">
        <f t="shared" si="12"/>
        <v>L</v>
      </c>
      <c r="AB44" s="3" t="str">
        <f t="shared" si="13"/>
        <v>L</v>
      </c>
      <c r="AC44" s="3" t="str">
        <f t="shared" si="14"/>
        <v>D</v>
      </c>
      <c r="AD44" s="3" t="str">
        <f t="shared" si="15"/>
        <v>L</v>
      </c>
      <c r="AE44" s="3" t="str">
        <f t="shared" si="16"/>
        <v>L</v>
      </c>
      <c r="AF44" s="3" t="str">
        <f t="shared" si="17"/>
        <v>D</v>
      </c>
      <c r="AG44" s="3" t="str">
        <f t="shared" si="18"/>
        <v>L</v>
      </c>
    </row>
    <row r="45" spans="1:33" x14ac:dyDescent="0.25">
      <c r="A45" s="28" t="s">
        <v>175</v>
      </c>
      <c r="B45" s="19" t="s">
        <v>176</v>
      </c>
      <c r="C45" s="36">
        <v>46196</v>
      </c>
      <c r="D45" s="37">
        <v>0.16666666666666666</v>
      </c>
      <c r="E45" s="19" t="s">
        <v>92</v>
      </c>
      <c r="F45" s="19" t="s">
        <v>87</v>
      </c>
      <c r="G45" s="19" t="s">
        <v>168</v>
      </c>
      <c r="H45" s="38" t="s">
        <v>2727</v>
      </c>
      <c r="I45" s="39" t="s">
        <v>2727</v>
      </c>
      <c r="J45" s="39" t="s">
        <v>2724</v>
      </c>
      <c r="K45" s="39" t="s">
        <v>2724</v>
      </c>
      <c r="L45" s="39" t="s">
        <v>2730</v>
      </c>
      <c r="M45" s="39" t="s">
        <v>2724</v>
      </c>
      <c r="N45" s="39" t="s">
        <v>2724</v>
      </c>
      <c r="O45" s="39" t="s">
        <v>2720</v>
      </c>
      <c r="P45" s="39" t="s">
        <v>2720</v>
      </c>
      <c r="Q45" s="3" t="str">
        <f t="shared" si="2"/>
        <v>A</v>
      </c>
      <c r="R45" s="3" t="str">
        <f t="shared" si="3"/>
        <v>A</v>
      </c>
      <c r="S45" s="3" t="str">
        <f t="shared" si="4"/>
        <v>A</v>
      </c>
      <c r="T45" s="3" t="str">
        <f t="shared" si="5"/>
        <v>A</v>
      </c>
      <c r="U45" s="3" t="str">
        <f t="shared" si="6"/>
        <v>D</v>
      </c>
      <c r="V45" s="3" t="str">
        <f t="shared" si="7"/>
        <v>A</v>
      </c>
      <c r="W45" s="3" t="str">
        <f t="shared" si="8"/>
        <v>A</v>
      </c>
      <c r="X45" s="3" t="str">
        <f t="shared" si="9"/>
        <v>A</v>
      </c>
      <c r="Y45" s="3" t="str">
        <f t="shared" si="10"/>
        <v>A</v>
      </c>
      <c r="Z45" s="3" t="str">
        <f t="shared" si="11"/>
        <v>W</v>
      </c>
      <c r="AA45" s="3" t="str">
        <f t="shared" si="12"/>
        <v>D</v>
      </c>
      <c r="AB45" s="3" t="str">
        <f t="shared" si="13"/>
        <v>D</v>
      </c>
      <c r="AC45" s="3" t="str">
        <f t="shared" si="14"/>
        <v>L</v>
      </c>
      <c r="AD45" s="3" t="str">
        <f t="shared" si="15"/>
        <v>D</v>
      </c>
      <c r="AE45" s="3" t="str">
        <f t="shared" si="16"/>
        <v>D</v>
      </c>
      <c r="AF45" s="3" t="str">
        <f t="shared" si="17"/>
        <v>D</v>
      </c>
      <c r="AG45" s="3" t="str">
        <f t="shared" si="18"/>
        <v>D</v>
      </c>
    </row>
    <row r="46" spans="1:33" x14ac:dyDescent="0.25">
      <c r="A46" s="28" t="s">
        <v>173</v>
      </c>
      <c r="B46" s="19" t="s">
        <v>174</v>
      </c>
      <c r="C46" s="36">
        <v>46196</v>
      </c>
      <c r="D46" s="37">
        <v>0.75</v>
      </c>
      <c r="E46" s="19" t="s">
        <v>101</v>
      </c>
      <c r="F46" s="19" t="s">
        <v>97</v>
      </c>
      <c r="G46" s="19" t="s">
        <v>168</v>
      </c>
      <c r="H46" s="38" t="s">
        <v>2736</v>
      </c>
      <c r="I46" s="39" t="s">
        <v>2714</v>
      </c>
      <c r="J46" s="39" t="s">
        <v>2738</v>
      </c>
      <c r="K46" s="39" t="s">
        <v>2712</v>
      </c>
      <c r="L46" s="39" t="s">
        <v>2714</v>
      </c>
      <c r="M46" s="39" t="s">
        <v>2713</v>
      </c>
      <c r="N46" s="39" t="s">
        <v>2712</v>
      </c>
      <c r="O46" s="39" t="s">
        <v>2712</v>
      </c>
      <c r="P46" s="39" t="s">
        <v>2712</v>
      </c>
      <c r="Q46" s="3" t="str">
        <f t="shared" si="2"/>
        <v>H</v>
      </c>
      <c r="R46" s="3" t="str">
        <f t="shared" si="3"/>
        <v>H</v>
      </c>
      <c r="S46" s="3" t="str">
        <f t="shared" si="4"/>
        <v>H</v>
      </c>
      <c r="T46" s="3" t="str">
        <f t="shared" si="5"/>
        <v>H</v>
      </c>
      <c r="U46" s="3" t="str">
        <f t="shared" si="6"/>
        <v>H</v>
      </c>
      <c r="V46" s="3" t="str">
        <f t="shared" si="7"/>
        <v>H</v>
      </c>
      <c r="W46" s="3" t="str">
        <f t="shared" si="8"/>
        <v>H</v>
      </c>
      <c r="X46" s="3" t="str">
        <f t="shared" si="9"/>
        <v>H</v>
      </c>
      <c r="Y46" s="3" t="str">
        <f t="shared" si="10"/>
        <v>H</v>
      </c>
      <c r="Z46" s="3" t="str">
        <f t="shared" si="11"/>
        <v>D</v>
      </c>
      <c r="AA46" s="3" t="str">
        <f t="shared" si="12"/>
        <v>D</v>
      </c>
      <c r="AB46" s="3" t="str">
        <f t="shared" si="13"/>
        <v>D</v>
      </c>
      <c r="AC46" s="3" t="str">
        <f t="shared" si="14"/>
        <v>D</v>
      </c>
      <c r="AD46" s="3" t="str">
        <f t="shared" si="15"/>
        <v>D</v>
      </c>
      <c r="AE46" s="3" t="str">
        <f t="shared" si="16"/>
        <v>D</v>
      </c>
      <c r="AF46" s="3" t="str">
        <f t="shared" si="17"/>
        <v>D</v>
      </c>
      <c r="AG46" s="3" t="str">
        <f t="shared" si="18"/>
        <v>D</v>
      </c>
    </row>
    <row r="47" spans="1:33" x14ac:dyDescent="0.25">
      <c r="A47" s="28" t="s">
        <v>171</v>
      </c>
      <c r="B47" s="19" t="s">
        <v>172</v>
      </c>
      <c r="C47" s="36">
        <v>46196</v>
      </c>
      <c r="D47" s="37">
        <v>0.875</v>
      </c>
      <c r="E47" s="19" t="s">
        <v>109</v>
      </c>
      <c r="F47" s="19" t="s">
        <v>105</v>
      </c>
      <c r="G47" s="19" t="s">
        <v>168</v>
      </c>
      <c r="H47" s="38" t="s">
        <v>2740</v>
      </c>
      <c r="I47" s="39" t="s">
        <v>2712</v>
      </c>
      <c r="J47" s="39" t="s">
        <v>2722</v>
      </c>
      <c r="K47" s="39" t="s">
        <v>2734</v>
      </c>
      <c r="L47" s="39" t="s">
        <v>2722</v>
      </c>
      <c r="M47" s="39" t="s">
        <v>2712</v>
      </c>
      <c r="N47" s="39" t="s">
        <v>2712</v>
      </c>
      <c r="O47" s="39" t="s">
        <v>2734</v>
      </c>
      <c r="P47" s="39" t="s">
        <v>2715</v>
      </c>
      <c r="Q47" s="3" t="str">
        <f t="shared" si="2"/>
        <v>D</v>
      </c>
      <c r="R47" s="3" t="str">
        <f t="shared" si="3"/>
        <v>H</v>
      </c>
      <c r="S47" s="3" t="str">
        <f t="shared" si="4"/>
        <v>H</v>
      </c>
      <c r="T47" s="3" t="str">
        <f t="shared" si="5"/>
        <v>H</v>
      </c>
      <c r="U47" s="3" t="str">
        <f t="shared" si="6"/>
        <v>H</v>
      </c>
      <c r="V47" s="3" t="str">
        <f t="shared" si="7"/>
        <v>H</v>
      </c>
      <c r="W47" s="3" t="str">
        <f t="shared" si="8"/>
        <v>H</v>
      </c>
      <c r="X47" s="3" t="str">
        <f t="shared" si="9"/>
        <v>H</v>
      </c>
      <c r="Y47" s="3" t="str">
        <f t="shared" si="10"/>
        <v>H</v>
      </c>
      <c r="Z47" s="3" t="str">
        <f t="shared" si="11"/>
        <v>L</v>
      </c>
      <c r="AA47" s="3" t="str">
        <f t="shared" si="12"/>
        <v>L</v>
      </c>
      <c r="AB47" s="3" t="str">
        <f t="shared" si="13"/>
        <v>L</v>
      </c>
      <c r="AC47" s="3" t="str">
        <f t="shared" si="14"/>
        <v>L</v>
      </c>
      <c r="AD47" s="3" t="str">
        <f t="shared" si="15"/>
        <v>L</v>
      </c>
      <c r="AE47" s="3" t="str">
        <f t="shared" si="16"/>
        <v>L</v>
      </c>
      <c r="AF47" s="3" t="str">
        <f t="shared" si="17"/>
        <v>L</v>
      </c>
      <c r="AG47" s="3" t="str">
        <f t="shared" si="18"/>
        <v>L</v>
      </c>
    </row>
    <row r="48" spans="1:33" x14ac:dyDescent="0.25">
      <c r="A48" s="28" t="s">
        <v>169</v>
      </c>
      <c r="B48" s="19" t="s">
        <v>170</v>
      </c>
      <c r="C48" s="36">
        <v>46197</v>
      </c>
      <c r="D48" s="37">
        <v>0</v>
      </c>
      <c r="E48" s="19" t="s">
        <v>108</v>
      </c>
      <c r="F48" s="19" t="s">
        <v>104</v>
      </c>
      <c r="G48" s="19" t="s">
        <v>168</v>
      </c>
      <c r="H48" s="38" t="s">
        <v>2720</v>
      </c>
      <c r="I48" s="39" t="s">
        <v>2724</v>
      </c>
      <c r="J48" s="39" t="s">
        <v>2758</v>
      </c>
      <c r="K48" s="39" t="s">
        <v>2747</v>
      </c>
      <c r="L48" s="39" t="s">
        <v>2724</v>
      </c>
      <c r="M48" s="39" t="s">
        <v>2724</v>
      </c>
      <c r="N48" s="39" t="s">
        <v>2724</v>
      </c>
      <c r="O48" s="39" t="s">
        <v>2720</v>
      </c>
      <c r="P48" s="39" t="s">
        <v>2720</v>
      </c>
      <c r="Q48" s="3" t="str">
        <f t="shared" si="2"/>
        <v>A</v>
      </c>
      <c r="R48" s="3" t="str">
        <f t="shared" si="3"/>
        <v>A</v>
      </c>
      <c r="S48" s="3" t="str">
        <f t="shared" si="4"/>
        <v>A</v>
      </c>
      <c r="T48" s="3" t="str">
        <f t="shared" si="5"/>
        <v>A</v>
      </c>
      <c r="U48" s="3" t="str">
        <f t="shared" si="6"/>
        <v>A</v>
      </c>
      <c r="V48" s="3" t="str">
        <f t="shared" si="7"/>
        <v>A</v>
      </c>
      <c r="W48" s="3" t="str">
        <f t="shared" si="8"/>
        <v>A</v>
      </c>
      <c r="X48" s="3" t="str">
        <f t="shared" si="9"/>
        <v>A</v>
      </c>
      <c r="Y48" s="3" t="str">
        <f t="shared" si="10"/>
        <v>A</v>
      </c>
      <c r="Z48" s="3" t="str">
        <f t="shared" si="11"/>
        <v>D</v>
      </c>
      <c r="AA48" s="3" t="str">
        <f t="shared" si="12"/>
        <v>D</v>
      </c>
      <c r="AB48" s="3" t="str">
        <f t="shared" si="13"/>
        <v>D</v>
      </c>
      <c r="AC48" s="3" t="str">
        <f t="shared" si="14"/>
        <v>D</v>
      </c>
      <c r="AD48" s="3" t="str">
        <f t="shared" si="15"/>
        <v>D</v>
      </c>
      <c r="AE48" s="3" t="str">
        <f t="shared" si="16"/>
        <v>D</v>
      </c>
      <c r="AF48" s="3" t="str">
        <f t="shared" si="17"/>
        <v>W</v>
      </c>
      <c r="AG48" s="3" t="str">
        <f t="shared" si="18"/>
        <v>W</v>
      </c>
    </row>
    <row r="49" spans="1:33" x14ac:dyDescent="0.25">
      <c r="A49" s="28" t="s">
        <v>166</v>
      </c>
      <c r="B49" s="19" t="s">
        <v>167</v>
      </c>
      <c r="C49" s="36">
        <v>46197</v>
      </c>
      <c r="D49" s="37">
        <v>0.125</v>
      </c>
      <c r="E49" s="19" t="s">
        <v>100</v>
      </c>
      <c r="F49" s="19" t="s">
        <v>96</v>
      </c>
      <c r="G49" s="19" t="s">
        <v>168</v>
      </c>
      <c r="H49" s="38" t="s">
        <v>2715</v>
      </c>
      <c r="I49" s="39" t="s">
        <v>2712</v>
      </c>
      <c r="J49" s="39" t="s">
        <v>2714</v>
      </c>
      <c r="K49" s="39" t="s">
        <v>2712</v>
      </c>
      <c r="L49" s="39" t="s">
        <v>2750</v>
      </c>
      <c r="M49" s="39" t="s">
        <v>2713</v>
      </c>
      <c r="N49" s="39" t="s">
        <v>2713</v>
      </c>
      <c r="O49" s="39" t="s">
        <v>2712</v>
      </c>
      <c r="P49" s="39" t="s">
        <v>2715</v>
      </c>
      <c r="Q49" s="3" t="str">
        <f t="shared" si="2"/>
        <v>H</v>
      </c>
      <c r="R49" s="3" t="str">
        <f t="shared" si="3"/>
        <v>H</v>
      </c>
      <c r="S49" s="3" t="str">
        <f t="shared" si="4"/>
        <v>H</v>
      </c>
      <c r="T49" s="3" t="str">
        <f t="shared" si="5"/>
        <v>H</v>
      </c>
      <c r="U49" s="3" t="str">
        <f t="shared" si="6"/>
        <v>H</v>
      </c>
      <c r="V49" s="3" t="str">
        <f t="shared" si="7"/>
        <v>H</v>
      </c>
      <c r="W49" s="3" t="str">
        <f t="shared" si="8"/>
        <v>H</v>
      </c>
      <c r="X49" s="3" t="str">
        <f t="shared" si="9"/>
        <v>H</v>
      </c>
      <c r="Y49" s="3" t="str">
        <f t="shared" si="10"/>
        <v>H</v>
      </c>
      <c r="Z49" s="3" t="str">
        <f t="shared" si="11"/>
        <v>D</v>
      </c>
      <c r="AA49" s="3" t="str">
        <f t="shared" si="12"/>
        <v>D</v>
      </c>
      <c r="AB49" s="3" t="str">
        <f t="shared" si="13"/>
        <v>D</v>
      </c>
      <c r="AC49" s="3" t="str">
        <f t="shared" si="14"/>
        <v>D</v>
      </c>
      <c r="AD49" s="3" t="str">
        <f t="shared" si="15"/>
        <v>D</v>
      </c>
      <c r="AE49" s="3" t="str">
        <f t="shared" si="16"/>
        <v>D</v>
      </c>
      <c r="AF49" s="3" t="str">
        <f t="shared" si="17"/>
        <v>D</v>
      </c>
      <c r="AG49" s="3" t="str">
        <f t="shared" si="18"/>
        <v>W</v>
      </c>
    </row>
    <row r="50" spans="1:33" x14ac:dyDescent="0.25">
      <c r="A50" s="28" t="s">
        <v>160</v>
      </c>
      <c r="B50" s="19" t="s">
        <v>2759</v>
      </c>
      <c r="C50" s="36">
        <v>46197</v>
      </c>
      <c r="D50" s="37">
        <v>0.83333333333333337</v>
      </c>
      <c r="E50" s="19" t="s">
        <v>2719</v>
      </c>
      <c r="F50" s="19" t="s">
        <v>162</v>
      </c>
      <c r="G50" s="19" t="s">
        <v>89</v>
      </c>
      <c r="H50" s="38" t="s">
        <v>2714</v>
      </c>
      <c r="I50" s="39" t="s">
        <v>2717</v>
      </c>
      <c r="J50" s="39" t="s">
        <v>2714</v>
      </c>
      <c r="K50" s="39" t="s">
        <v>2712</v>
      </c>
      <c r="L50" s="39" t="s">
        <v>2713</v>
      </c>
      <c r="M50" s="39" t="s">
        <v>2717</v>
      </c>
      <c r="N50" s="39" t="s">
        <v>2712</v>
      </c>
      <c r="O50" s="39" t="s">
        <v>2715</v>
      </c>
      <c r="P50" s="39" t="s">
        <v>2712</v>
      </c>
      <c r="Q50" s="3" t="str">
        <f t="shared" si="2"/>
        <v>H</v>
      </c>
      <c r="R50" s="3" t="str">
        <f t="shared" si="3"/>
        <v>D</v>
      </c>
      <c r="S50" s="3" t="str">
        <f t="shared" si="4"/>
        <v>H</v>
      </c>
      <c r="T50" s="3" t="str">
        <f t="shared" si="5"/>
        <v>H</v>
      </c>
      <c r="U50" s="3" t="str">
        <f t="shared" si="6"/>
        <v>H</v>
      </c>
      <c r="V50" s="3" t="str">
        <f t="shared" si="7"/>
        <v>D</v>
      </c>
      <c r="W50" s="3" t="str">
        <f t="shared" si="8"/>
        <v>H</v>
      </c>
      <c r="X50" s="3" t="str">
        <f t="shared" si="9"/>
        <v>H</v>
      </c>
      <c r="Y50" s="3" t="str">
        <f t="shared" si="10"/>
        <v>H</v>
      </c>
      <c r="Z50" s="3" t="str">
        <f t="shared" si="11"/>
        <v>L</v>
      </c>
      <c r="AA50" s="3" t="str">
        <f t="shared" si="12"/>
        <v>W</v>
      </c>
      <c r="AB50" s="3" t="str">
        <f t="shared" si="13"/>
        <v>D</v>
      </c>
      <c r="AC50" s="3" t="str">
        <f t="shared" si="14"/>
        <v>D</v>
      </c>
      <c r="AD50" s="3" t="str">
        <f t="shared" si="15"/>
        <v>L</v>
      </c>
      <c r="AE50" s="3" t="str">
        <f t="shared" si="16"/>
        <v>D</v>
      </c>
      <c r="AF50" s="3" t="str">
        <f t="shared" si="17"/>
        <v>D</v>
      </c>
      <c r="AG50" s="3" t="str">
        <f t="shared" si="18"/>
        <v>D</v>
      </c>
    </row>
    <row r="51" spans="1:33" x14ac:dyDescent="0.25">
      <c r="A51" s="28" t="s">
        <v>163</v>
      </c>
      <c r="B51" s="19" t="s">
        <v>164</v>
      </c>
      <c r="C51" s="36">
        <v>46197</v>
      </c>
      <c r="D51" s="37">
        <v>0.83333333333333337</v>
      </c>
      <c r="E51" s="19" t="s">
        <v>165</v>
      </c>
      <c r="F51" s="19" t="s">
        <v>83</v>
      </c>
      <c r="G51" s="19" t="s">
        <v>89</v>
      </c>
      <c r="H51" s="38" t="s">
        <v>2713</v>
      </c>
      <c r="I51" s="39" t="s">
        <v>2713</v>
      </c>
      <c r="J51" s="39" t="s">
        <v>2727</v>
      </c>
      <c r="K51" s="39" t="s">
        <v>2712</v>
      </c>
      <c r="L51" s="39" t="s">
        <v>2730</v>
      </c>
      <c r="M51" s="39" t="s">
        <v>2713</v>
      </c>
      <c r="N51" s="39" t="s">
        <v>2713</v>
      </c>
      <c r="O51" s="39" t="s">
        <v>2717</v>
      </c>
      <c r="P51" s="39" t="s">
        <v>2717</v>
      </c>
      <c r="Q51" s="3" t="str">
        <f t="shared" si="2"/>
        <v>H</v>
      </c>
      <c r="R51" s="3" t="str">
        <f t="shared" si="3"/>
        <v>H</v>
      </c>
      <c r="S51" s="3" t="str">
        <f t="shared" si="4"/>
        <v>A</v>
      </c>
      <c r="T51" s="3" t="str">
        <f t="shared" si="5"/>
        <v>H</v>
      </c>
      <c r="U51" s="3" t="str">
        <f t="shared" si="6"/>
        <v>D</v>
      </c>
      <c r="V51" s="3" t="str">
        <f t="shared" si="7"/>
        <v>H</v>
      </c>
      <c r="W51" s="3" t="str">
        <f t="shared" si="8"/>
        <v>H</v>
      </c>
      <c r="X51" s="3" t="str">
        <f t="shared" si="9"/>
        <v>D</v>
      </c>
      <c r="Y51" s="3" t="str">
        <f t="shared" si="10"/>
        <v>D</v>
      </c>
      <c r="Z51" s="3" t="str">
        <f t="shared" si="11"/>
        <v>W</v>
      </c>
      <c r="AA51" s="3" t="str">
        <f t="shared" si="12"/>
        <v>L</v>
      </c>
      <c r="AB51" s="3" t="str">
        <f t="shared" si="13"/>
        <v>D</v>
      </c>
      <c r="AC51" s="3" t="str">
        <f t="shared" si="14"/>
        <v>L</v>
      </c>
      <c r="AD51" s="3" t="str">
        <f t="shared" si="15"/>
        <v>W</v>
      </c>
      <c r="AE51" s="3" t="str">
        <f t="shared" si="16"/>
        <v>W</v>
      </c>
      <c r="AF51" s="3" t="str">
        <f t="shared" si="17"/>
        <v>L</v>
      </c>
      <c r="AG51" s="3" t="str">
        <f t="shared" si="18"/>
        <v>L</v>
      </c>
    </row>
    <row r="52" spans="1:33" x14ac:dyDescent="0.25">
      <c r="A52" s="28" t="s">
        <v>154</v>
      </c>
      <c r="B52" s="19" t="s">
        <v>155</v>
      </c>
      <c r="C52" s="36">
        <v>46197</v>
      </c>
      <c r="D52" s="37">
        <v>0.95833333333333337</v>
      </c>
      <c r="E52" s="19" t="s">
        <v>156</v>
      </c>
      <c r="F52" s="19" t="s">
        <v>78</v>
      </c>
      <c r="G52" s="19" t="s">
        <v>89</v>
      </c>
      <c r="H52" s="38" t="s">
        <v>2725</v>
      </c>
      <c r="I52" s="39" t="s">
        <v>2727</v>
      </c>
      <c r="J52" s="39" t="s">
        <v>2726</v>
      </c>
      <c r="K52" s="39" t="s">
        <v>2724</v>
      </c>
      <c r="L52" s="39" t="s">
        <v>2725</v>
      </c>
      <c r="M52" s="39" t="s">
        <v>2727</v>
      </c>
      <c r="N52" s="39" t="s">
        <v>2727</v>
      </c>
      <c r="O52" s="39" t="s">
        <v>2726</v>
      </c>
      <c r="P52" s="39" t="s">
        <v>2724</v>
      </c>
      <c r="Q52" s="3" t="str">
        <f t="shared" si="2"/>
        <v>A</v>
      </c>
      <c r="R52" s="3" t="str">
        <f t="shared" si="3"/>
        <v>A</v>
      </c>
      <c r="S52" s="3" t="str">
        <f t="shared" si="4"/>
        <v>A</v>
      </c>
      <c r="T52" s="3" t="str">
        <f t="shared" si="5"/>
        <v>A</v>
      </c>
      <c r="U52" s="3" t="str">
        <f t="shared" si="6"/>
        <v>A</v>
      </c>
      <c r="V52" s="3" t="str">
        <f t="shared" si="7"/>
        <v>A</v>
      </c>
      <c r="W52" s="3" t="str">
        <f t="shared" si="8"/>
        <v>A</v>
      </c>
      <c r="X52" s="3" t="str">
        <f t="shared" si="9"/>
        <v>A</v>
      </c>
      <c r="Y52" s="3" t="str">
        <f t="shared" si="10"/>
        <v>A</v>
      </c>
      <c r="Z52" s="3" t="str">
        <f t="shared" si="11"/>
        <v>D</v>
      </c>
      <c r="AA52" s="3" t="str">
        <f t="shared" si="12"/>
        <v>D</v>
      </c>
      <c r="AB52" s="3" t="str">
        <f t="shared" si="13"/>
        <v>D</v>
      </c>
      <c r="AC52" s="3" t="str">
        <f t="shared" si="14"/>
        <v>W</v>
      </c>
      <c r="AD52" s="3" t="str">
        <f t="shared" si="15"/>
        <v>D</v>
      </c>
      <c r="AE52" s="3" t="str">
        <f t="shared" si="16"/>
        <v>D</v>
      </c>
      <c r="AF52" s="3" t="str">
        <f t="shared" si="17"/>
        <v>D</v>
      </c>
      <c r="AG52" s="3" t="str">
        <f t="shared" si="18"/>
        <v>D</v>
      </c>
    </row>
    <row r="53" spans="1:33" x14ac:dyDescent="0.25">
      <c r="A53" s="28" t="s">
        <v>157</v>
      </c>
      <c r="B53" s="19" t="s">
        <v>158</v>
      </c>
      <c r="C53" s="36">
        <v>46197</v>
      </c>
      <c r="D53" s="37">
        <v>0.95833333333333337</v>
      </c>
      <c r="E53" s="19" t="s">
        <v>70</v>
      </c>
      <c r="F53" s="19" t="s">
        <v>159</v>
      </c>
      <c r="G53" s="19" t="s">
        <v>89</v>
      </c>
      <c r="H53" s="38" t="s">
        <v>2723</v>
      </c>
      <c r="I53" s="39" t="s">
        <v>2712</v>
      </c>
      <c r="J53" s="39" t="s">
        <v>2734</v>
      </c>
      <c r="K53" s="39" t="s">
        <v>2712</v>
      </c>
      <c r="L53" s="39" t="s">
        <v>2738</v>
      </c>
      <c r="M53" s="39" t="s">
        <v>2712</v>
      </c>
      <c r="N53" s="39" t="s">
        <v>2734</v>
      </c>
      <c r="O53" s="39" t="s">
        <v>2712</v>
      </c>
      <c r="P53" s="39" t="s">
        <v>2712</v>
      </c>
      <c r="Q53" s="3" t="str">
        <f t="shared" si="2"/>
        <v>H</v>
      </c>
      <c r="R53" s="3" t="str">
        <f t="shared" si="3"/>
        <v>H</v>
      </c>
      <c r="S53" s="3" t="str">
        <f t="shared" si="4"/>
        <v>H</v>
      </c>
      <c r="T53" s="3" t="str">
        <f t="shared" si="5"/>
        <v>H</v>
      </c>
      <c r="U53" s="3" t="str">
        <f t="shared" si="6"/>
        <v>H</v>
      </c>
      <c r="V53" s="3" t="str">
        <f t="shared" si="7"/>
        <v>H</v>
      </c>
      <c r="W53" s="3" t="str">
        <f t="shared" si="8"/>
        <v>H</v>
      </c>
      <c r="X53" s="3" t="str">
        <f t="shared" si="9"/>
        <v>H</v>
      </c>
      <c r="Y53" s="3" t="str">
        <f t="shared" si="10"/>
        <v>H</v>
      </c>
      <c r="Z53" s="3" t="str">
        <f t="shared" si="11"/>
        <v>D</v>
      </c>
      <c r="AA53" s="3" t="str">
        <f t="shared" si="12"/>
        <v>D</v>
      </c>
      <c r="AB53" s="3" t="str">
        <f t="shared" si="13"/>
        <v>D</v>
      </c>
      <c r="AC53" s="3" t="str">
        <f t="shared" si="14"/>
        <v>D</v>
      </c>
      <c r="AD53" s="3" t="str">
        <f t="shared" si="15"/>
        <v>D</v>
      </c>
      <c r="AE53" s="3" t="str">
        <f t="shared" si="16"/>
        <v>D</v>
      </c>
      <c r="AF53" s="3" t="str">
        <f t="shared" si="17"/>
        <v>D</v>
      </c>
      <c r="AG53" s="3" t="str">
        <f t="shared" si="18"/>
        <v>D</v>
      </c>
    </row>
    <row r="54" spans="1:33" x14ac:dyDescent="0.25">
      <c r="A54" s="28" t="s">
        <v>147</v>
      </c>
      <c r="B54" s="19" t="s">
        <v>2760</v>
      </c>
      <c r="C54" s="36">
        <v>46198</v>
      </c>
      <c r="D54" s="37">
        <v>8.3333333333333329E-2</v>
      </c>
      <c r="E54" s="19" t="s">
        <v>82</v>
      </c>
      <c r="F54" s="19" t="s">
        <v>2697</v>
      </c>
      <c r="G54" s="19" t="s">
        <v>89</v>
      </c>
      <c r="H54" s="38" t="s">
        <v>2715</v>
      </c>
      <c r="I54" s="39" t="s">
        <v>2727</v>
      </c>
      <c r="J54" s="39" t="s">
        <v>2726</v>
      </c>
      <c r="K54" s="39" t="s">
        <v>2720</v>
      </c>
      <c r="L54" s="39" t="s">
        <v>2727</v>
      </c>
      <c r="M54" s="39" t="s">
        <v>2724</v>
      </c>
      <c r="N54" s="39" t="s">
        <v>2724</v>
      </c>
      <c r="O54" s="39" t="s">
        <v>2720</v>
      </c>
      <c r="P54" s="39" t="s">
        <v>2720</v>
      </c>
      <c r="Q54" s="3" t="str">
        <f t="shared" si="2"/>
        <v>H</v>
      </c>
      <c r="R54" s="3" t="str">
        <f t="shared" si="3"/>
        <v>A</v>
      </c>
      <c r="S54" s="3" t="str">
        <f t="shared" si="4"/>
        <v>A</v>
      </c>
      <c r="T54" s="3" t="str">
        <f t="shared" si="5"/>
        <v>A</v>
      </c>
      <c r="U54" s="3" t="str">
        <f t="shared" si="6"/>
        <v>A</v>
      </c>
      <c r="V54" s="3" t="str">
        <f t="shared" si="7"/>
        <v>A</v>
      </c>
      <c r="W54" s="3" t="str">
        <f t="shared" si="8"/>
        <v>A</v>
      </c>
      <c r="X54" s="3" t="str">
        <f t="shared" si="9"/>
        <v>A</v>
      </c>
      <c r="Y54" s="3" t="str">
        <f t="shared" si="10"/>
        <v>A</v>
      </c>
      <c r="Z54" s="3" t="str">
        <f t="shared" si="11"/>
        <v>L</v>
      </c>
      <c r="AA54" s="3" t="str">
        <f t="shared" si="12"/>
        <v>L</v>
      </c>
      <c r="AB54" s="3" t="str">
        <f t="shared" si="13"/>
        <v>L</v>
      </c>
      <c r="AC54" s="3" t="str">
        <f t="shared" si="14"/>
        <v>L</v>
      </c>
      <c r="AD54" s="3" t="str">
        <f t="shared" si="15"/>
        <v>L</v>
      </c>
      <c r="AE54" s="3" t="str">
        <f t="shared" si="16"/>
        <v>L</v>
      </c>
      <c r="AF54" s="3" t="str">
        <f t="shared" si="17"/>
        <v>L</v>
      </c>
      <c r="AG54" s="3" t="str">
        <f t="shared" si="18"/>
        <v>L</v>
      </c>
    </row>
    <row r="55" spans="1:33" x14ac:dyDescent="0.25">
      <c r="A55" s="28" t="s">
        <v>150</v>
      </c>
      <c r="B55" s="19" t="s">
        <v>151</v>
      </c>
      <c r="C55" s="36">
        <v>46198</v>
      </c>
      <c r="D55" s="37">
        <v>8.3333333333333329E-2</v>
      </c>
      <c r="E55" s="19" t="s">
        <v>152</v>
      </c>
      <c r="F55" s="19" t="s">
        <v>153</v>
      </c>
      <c r="G55" s="19" t="s">
        <v>89</v>
      </c>
      <c r="H55" s="38" t="s">
        <v>2725</v>
      </c>
      <c r="I55" s="39" t="s">
        <v>2727</v>
      </c>
      <c r="J55" s="39" t="s">
        <v>2717</v>
      </c>
      <c r="K55" s="39" t="s">
        <v>2717</v>
      </c>
      <c r="L55" s="39" t="s">
        <v>2727</v>
      </c>
      <c r="M55" s="39" t="s">
        <v>2717</v>
      </c>
      <c r="N55" s="39" t="s">
        <v>2720</v>
      </c>
      <c r="O55" s="39" t="s">
        <v>2720</v>
      </c>
      <c r="P55" s="39" t="s">
        <v>2720</v>
      </c>
      <c r="Q55" s="3" t="str">
        <f t="shared" si="2"/>
        <v>A</v>
      </c>
      <c r="R55" s="3" t="str">
        <f t="shared" si="3"/>
        <v>A</v>
      </c>
      <c r="S55" s="3" t="str">
        <f t="shared" si="4"/>
        <v>D</v>
      </c>
      <c r="T55" s="3" t="str">
        <f t="shared" si="5"/>
        <v>D</v>
      </c>
      <c r="U55" s="3" t="str">
        <f t="shared" si="6"/>
        <v>A</v>
      </c>
      <c r="V55" s="3" t="str">
        <f t="shared" si="7"/>
        <v>D</v>
      </c>
      <c r="W55" s="3" t="str">
        <f t="shared" si="8"/>
        <v>A</v>
      </c>
      <c r="X55" s="3" t="str">
        <f t="shared" si="9"/>
        <v>A</v>
      </c>
      <c r="Y55" s="3" t="str">
        <f t="shared" si="10"/>
        <v>A</v>
      </c>
      <c r="Z55" s="3" t="str">
        <f t="shared" si="11"/>
        <v>D</v>
      </c>
      <c r="AA55" s="3" t="str">
        <f t="shared" si="12"/>
        <v>L</v>
      </c>
      <c r="AB55" s="3" t="str">
        <f t="shared" si="13"/>
        <v>L</v>
      </c>
      <c r="AC55" s="3" t="str">
        <f t="shared" si="14"/>
        <v>D</v>
      </c>
      <c r="AD55" s="3" t="str">
        <f t="shared" si="15"/>
        <v>L</v>
      </c>
      <c r="AE55" s="3" t="str">
        <f t="shared" si="16"/>
        <v>D</v>
      </c>
      <c r="AF55" s="3" t="str">
        <f t="shared" si="17"/>
        <v>D</v>
      </c>
      <c r="AG55" s="3" t="str">
        <f t="shared" si="18"/>
        <v>D</v>
      </c>
    </row>
    <row r="56" spans="1:33" x14ac:dyDescent="0.25">
      <c r="A56" s="28" t="s">
        <v>140</v>
      </c>
      <c r="B56" s="19" t="s">
        <v>2761</v>
      </c>
      <c r="C56" s="36">
        <v>46198</v>
      </c>
      <c r="D56" s="37">
        <v>0.875</v>
      </c>
      <c r="E56" s="19" t="s">
        <v>2732</v>
      </c>
      <c r="F56" s="19" t="s">
        <v>2699</v>
      </c>
      <c r="G56" s="19" t="s">
        <v>89</v>
      </c>
      <c r="H56" s="38" t="s">
        <v>2724</v>
      </c>
      <c r="I56" s="39" t="s">
        <v>2725</v>
      </c>
      <c r="J56" s="39" t="s">
        <v>2727</v>
      </c>
      <c r="K56" s="39" t="s">
        <v>2724</v>
      </c>
      <c r="L56" s="39" t="s">
        <v>2726</v>
      </c>
      <c r="M56" s="39" t="s">
        <v>2725</v>
      </c>
      <c r="N56" s="39" t="s">
        <v>2726</v>
      </c>
      <c r="O56" s="39" t="s">
        <v>2724</v>
      </c>
      <c r="P56" s="39" t="s">
        <v>2724</v>
      </c>
      <c r="Q56" s="3" t="str">
        <f t="shared" si="2"/>
        <v>A</v>
      </c>
      <c r="R56" s="3" t="str">
        <f t="shared" si="3"/>
        <v>A</v>
      </c>
      <c r="S56" s="3" t="str">
        <f t="shared" si="4"/>
        <v>A</v>
      </c>
      <c r="T56" s="3" t="str">
        <f t="shared" si="5"/>
        <v>A</v>
      </c>
      <c r="U56" s="3" t="str">
        <f t="shared" si="6"/>
        <v>A</v>
      </c>
      <c r="V56" s="3" t="str">
        <f t="shared" si="7"/>
        <v>A</v>
      </c>
      <c r="W56" s="3" t="str">
        <f t="shared" si="8"/>
        <v>A</v>
      </c>
      <c r="X56" s="3" t="str">
        <f t="shared" si="9"/>
        <v>A</v>
      </c>
      <c r="Y56" s="3" t="str">
        <f t="shared" si="10"/>
        <v>A</v>
      </c>
      <c r="Z56" s="3" t="str">
        <f t="shared" si="11"/>
        <v>D</v>
      </c>
      <c r="AA56" s="3" t="str">
        <f t="shared" si="12"/>
        <v>D</v>
      </c>
      <c r="AB56" s="3" t="str">
        <f t="shared" si="13"/>
        <v>W</v>
      </c>
      <c r="AC56" s="3" t="str">
        <f t="shared" si="14"/>
        <v>D</v>
      </c>
      <c r="AD56" s="3" t="str">
        <f t="shared" si="15"/>
        <v>D</v>
      </c>
      <c r="AE56" s="3" t="str">
        <f t="shared" si="16"/>
        <v>D</v>
      </c>
      <c r="AF56" s="3" t="str">
        <f t="shared" si="17"/>
        <v>W</v>
      </c>
      <c r="AG56" s="3" t="str">
        <f t="shared" si="18"/>
        <v>W</v>
      </c>
    </row>
    <row r="57" spans="1:33" x14ac:dyDescent="0.25">
      <c r="A57" s="28" t="s">
        <v>144</v>
      </c>
      <c r="B57" s="19" t="s">
        <v>145</v>
      </c>
      <c r="C57" s="36">
        <v>46198</v>
      </c>
      <c r="D57" s="37">
        <v>0.875</v>
      </c>
      <c r="E57" s="19" t="s">
        <v>146</v>
      </c>
      <c r="F57" s="19" t="s">
        <v>74</v>
      </c>
      <c r="G57" s="19" t="s">
        <v>89</v>
      </c>
      <c r="H57" s="38" t="s">
        <v>2713</v>
      </c>
      <c r="I57" s="39" t="s">
        <v>2727</v>
      </c>
      <c r="J57" s="39" t="s">
        <v>2726</v>
      </c>
      <c r="K57" s="39" t="s">
        <v>2727</v>
      </c>
      <c r="L57" s="39" t="s">
        <v>2724</v>
      </c>
      <c r="M57" s="39" t="s">
        <v>2727</v>
      </c>
      <c r="N57" s="39" t="s">
        <v>2713</v>
      </c>
      <c r="O57" s="39" t="s">
        <v>2720</v>
      </c>
      <c r="P57" s="39" t="s">
        <v>2720</v>
      </c>
      <c r="Q57" s="3" t="str">
        <f t="shared" si="2"/>
        <v>H</v>
      </c>
      <c r="R57" s="3" t="str">
        <f t="shared" si="3"/>
        <v>A</v>
      </c>
      <c r="S57" s="3" t="str">
        <f t="shared" si="4"/>
        <v>A</v>
      </c>
      <c r="T57" s="3" t="str">
        <f t="shared" si="5"/>
        <v>A</v>
      </c>
      <c r="U57" s="3" t="str">
        <f t="shared" si="6"/>
        <v>A</v>
      </c>
      <c r="V57" s="3" t="str">
        <f t="shared" si="7"/>
        <v>A</v>
      </c>
      <c r="W57" s="3" t="str">
        <f t="shared" si="8"/>
        <v>H</v>
      </c>
      <c r="X57" s="3" t="str">
        <f t="shared" si="9"/>
        <v>A</v>
      </c>
      <c r="Y57" s="3" t="str">
        <f t="shared" si="10"/>
        <v>A</v>
      </c>
      <c r="Z57" s="3" t="str">
        <f t="shared" si="11"/>
        <v>L</v>
      </c>
      <c r="AA57" s="3" t="str">
        <f t="shared" si="12"/>
        <v>L</v>
      </c>
      <c r="AB57" s="3" t="str">
        <f t="shared" si="13"/>
        <v>L</v>
      </c>
      <c r="AC57" s="3" t="str">
        <f t="shared" si="14"/>
        <v>L</v>
      </c>
      <c r="AD57" s="3" t="str">
        <f t="shared" si="15"/>
        <v>L</v>
      </c>
      <c r="AE57" s="3" t="str">
        <f t="shared" si="16"/>
        <v>W</v>
      </c>
      <c r="AF57" s="3" t="str">
        <f t="shared" si="17"/>
        <v>L</v>
      </c>
      <c r="AG57" s="3" t="str">
        <f t="shared" si="18"/>
        <v>L</v>
      </c>
    </row>
    <row r="58" spans="1:33" x14ac:dyDescent="0.25">
      <c r="A58" s="28" t="s">
        <v>135</v>
      </c>
      <c r="B58" s="19" t="s">
        <v>136</v>
      </c>
      <c r="C58" s="36">
        <v>46199</v>
      </c>
      <c r="D58" s="37">
        <v>0</v>
      </c>
      <c r="E58" s="19" t="s">
        <v>79</v>
      </c>
      <c r="F58" s="19" t="s">
        <v>62</v>
      </c>
      <c r="G58" s="19" t="s">
        <v>89</v>
      </c>
      <c r="H58" s="38" t="s">
        <v>2717</v>
      </c>
      <c r="I58" s="39" t="s">
        <v>2713</v>
      </c>
      <c r="J58" s="39" t="s">
        <v>2712</v>
      </c>
      <c r="K58" s="39" t="s">
        <v>2717</v>
      </c>
      <c r="L58" s="39" t="s">
        <v>2730</v>
      </c>
      <c r="M58" s="39" t="s">
        <v>2730</v>
      </c>
      <c r="N58" s="39" t="s">
        <v>2730</v>
      </c>
      <c r="O58" s="39" t="s">
        <v>2715</v>
      </c>
      <c r="P58" s="39" t="s">
        <v>2717</v>
      </c>
      <c r="Q58" s="3" t="str">
        <f t="shared" si="2"/>
        <v>D</v>
      </c>
      <c r="R58" s="3" t="str">
        <f t="shared" si="3"/>
        <v>H</v>
      </c>
      <c r="S58" s="3" t="str">
        <f t="shared" si="4"/>
        <v>H</v>
      </c>
      <c r="T58" s="3" t="str">
        <f t="shared" si="5"/>
        <v>D</v>
      </c>
      <c r="U58" s="3" t="str">
        <f t="shared" si="6"/>
        <v>D</v>
      </c>
      <c r="V58" s="3" t="str">
        <f t="shared" si="7"/>
        <v>D</v>
      </c>
      <c r="W58" s="3" t="str">
        <f t="shared" si="8"/>
        <v>D</v>
      </c>
      <c r="X58" s="3" t="str">
        <f t="shared" si="9"/>
        <v>H</v>
      </c>
      <c r="Y58" s="3" t="str">
        <f t="shared" si="10"/>
        <v>D</v>
      </c>
      <c r="Z58" s="3" t="str">
        <f t="shared" si="11"/>
        <v>L</v>
      </c>
      <c r="AA58" s="3" t="str">
        <f t="shared" si="12"/>
        <v>L</v>
      </c>
      <c r="AB58" s="3" t="str">
        <f t="shared" si="13"/>
        <v>W</v>
      </c>
      <c r="AC58" s="3" t="str">
        <f t="shared" si="14"/>
        <v>D</v>
      </c>
      <c r="AD58" s="3" t="str">
        <f t="shared" si="15"/>
        <v>D</v>
      </c>
      <c r="AE58" s="3" t="str">
        <f t="shared" si="16"/>
        <v>D</v>
      </c>
      <c r="AF58" s="3" t="str">
        <f t="shared" si="17"/>
        <v>L</v>
      </c>
      <c r="AG58" s="3" t="str">
        <f t="shared" si="18"/>
        <v>W</v>
      </c>
    </row>
    <row r="59" spans="1:33" x14ac:dyDescent="0.25">
      <c r="A59" s="28" t="s">
        <v>137</v>
      </c>
      <c r="B59" s="19" t="s">
        <v>138</v>
      </c>
      <c r="C59" s="36">
        <v>46199</v>
      </c>
      <c r="D59" s="37">
        <v>0</v>
      </c>
      <c r="E59" s="19" t="s">
        <v>139</v>
      </c>
      <c r="F59" s="19" t="s">
        <v>69</v>
      </c>
      <c r="G59" s="19" t="s">
        <v>89</v>
      </c>
      <c r="H59" s="38" t="s">
        <v>2726</v>
      </c>
      <c r="I59" s="39" t="s">
        <v>2727</v>
      </c>
      <c r="J59" s="39" t="s">
        <v>2725</v>
      </c>
      <c r="K59" s="39" t="s">
        <v>2724</v>
      </c>
      <c r="L59" s="39" t="s">
        <v>2726</v>
      </c>
      <c r="M59" s="39" t="s">
        <v>2747</v>
      </c>
      <c r="N59" s="39" t="s">
        <v>2725</v>
      </c>
      <c r="O59" s="39" t="s">
        <v>2724</v>
      </c>
      <c r="P59" s="39" t="s">
        <v>2725</v>
      </c>
      <c r="Q59" s="3" t="str">
        <f t="shared" si="2"/>
        <v>A</v>
      </c>
      <c r="R59" s="3" t="str">
        <f t="shared" si="3"/>
        <v>A</v>
      </c>
      <c r="S59" s="3" t="str">
        <f t="shared" si="4"/>
        <v>A</v>
      </c>
      <c r="T59" s="3" t="str">
        <f t="shared" si="5"/>
        <v>A</v>
      </c>
      <c r="U59" s="3" t="str">
        <f t="shared" si="6"/>
        <v>A</v>
      </c>
      <c r="V59" s="3" t="str">
        <f t="shared" si="7"/>
        <v>A</v>
      </c>
      <c r="W59" s="3" t="str">
        <f t="shared" si="8"/>
        <v>A</v>
      </c>
      <c r="X59" s="3" t="str">
        <f t="shared" si="9"/>
        <v>A</v>
      </c>
      <c r="Y59" s="3" t="str">
        <f t="shared" si="10"/>
        <v>A</v>
      </c>
      <c r="Z59" s="3" t="str">
        <f t="shared" si="11"/>
        <v>D</v>
      </c>
      <c r="AA59" s="3" t="str">
        <f t="shared" si="12"/>
        <v>D</v>
      </c>
      <c r="AB59" s="3" t="str">
        <f t="shared" si="13"/>
        <v>D</v>
      </c>
      <c r="AC59" s="3" t="str">
        <f t="shared" si="14"/>
        <v>W</v>
      </c>
      <c r="AD59" s="3" t="str">
        <f t="shared" si="15"/>
        <v>D</v>
      </c>
      <c r="AE59" s="3" t="str">
        <f t="shared" si="16"/>
        <v>D</v>
      </c>
      <c r="AF59" s="3" t="str">
        <f t="shared" si="17"/>
        <v>D</v>
      </c>
      <c r="AG59" s="3" t="str">
        <f t="shared" si="18"/>
        <v>D</v>
      </c>
    </row>
    <row r="60" spans="1:33" x14ac:dyDescent="0.25">
      <c r="A60" s="28" t="s">
        <v>130</v>
      </c>
      <c r="B60" s="19" t="s">
        <v>131</v>
      </c>
      <c r="C60" s="36">
        <v>46199</v>
      </c>
      <c r="D60" s="37">
        <v>0.125</v>
      </c>
      <c r="E60" s="19" t="s">
        <v>75</v>
      </c>
      <c r="F60" s="19" t="s">
        <v>45</v>
      </c>
      <c r="G60" s="19" t="s">
        <v>89</v>
      </c>
      <c r="H60" s="38" t="s">
        <v>2740</v>
      </c>
      <c r="I60" s="39" t="s">
        <v>2717</v>
      </c>
      <c r="J60" s="39" t="s">
        <v>2740</v>
      </c>
      <c r="K60" s="39" t="s">
        <v>2717</v>
      </c>
      <c r="L60" s="39" t="s">
        <v>2730</v>
      </c>
      <c r="M60" s="39" t="s">
        <v>2717</v>
      </c>
      <c r="N60" s="39" t="s">
        <v>2717</v>
      </c>
      <c r="O60" s="39" t="s">
        <v>2717</v>
      </c>
      <c r="P60" s="39" t="s">
        <v>2740</v>
      </c>
      <c r="Q60" s="3" t="str">
        <f t="shared" si="2"/>
        <v>D</v>
      </c>
      <c r="R60" s="3" t="str">
        <f t="shared" si="3"/>
        <v>D</v>
      </c>
      <c r="S60" s="3" t="str">
        <f t="shared" si="4"/>
        <v>D</v>
      </c>
      <c r="T60" s="3" t="str">
        <f t="shared" si="5"/>
        <v>D</v>
      </c>
      <c r="U60" s="3" t="str">
        <f t="shared" si="6"/>
        <v>D</v>
      </c>
      <c r="V60" s="3" t="str">
        <f t="shared" si="7"/>
        <v>D</v>
      </c>
      <c r="W60" s="3" t="str">
        <f t="shared" si="8"/>
        <v>D</v>
      </c>
      <c r="X60" s="3" t="str">
        <f t="shared" si="9"/>
        <v>D</v>
      </c>
      <c r="Y60" s="3" t="str">
        <f t="shared" si="10"/>
        <v>D</v>
      </c>
      <c r="Z60" s="3" t="str">
        <f t="shared" si="11"/>
        <v>D</v>
      </c>
      <c r="AA60" s="3" t="str">
        <f t="shared" si="12"/>
        <v>W</v>
      </c>
      <c r="AB60" s="3" t="str">
        <f t="shared" si="13"/>
        <v>D</v>
      </c>
      <c r="AC60" s="3" t="str">
        <f t="shared" si="14"/>
        <v>D</v>
      </c>
      <c r="AD60" s="3" t="str">
        <f t="shared" si="15"/>
        <v>D</v>
      </c>
      <c r="AE60" s="3" t="str">
        <f t="shared" si="16"/>
        <v>D</v>
      </c>
      <c r="AF60" s="3" t="str">
        <f t="shared" si="17"/>
        <v>D</v>
      </c>
      <c r="AG60" s="3" t="str">
        <f t="shared" si="18"/>
        <v>W</v>
      </c>
    </row>
    <row r="61" spans="1:33" x14ac:dyDescent="0.25">
      <c r="A61" s="28" t="s">
        <v>132</v>
      </c>
      <c r="B61" s="19" t="s">
        <v>2762</v>
      </c>
      <c r="C61" s="36">
        <v>46199</v>
      </c>
      <c r="D61" s="37">
        <v>0.125</v>
      </c>
      <c r="E61" s="19" t="s">
        <v>2696</v>
      </c>
      <c r="F61" s="19" t="s">
        <v>2522</v>
      </c>
      <c r="G61" s="19" t="s">
        <v>89</v>
      </c>
      <c r="H61" s="38" t="s">
        <v>2750</v>
      </c>
      <c r="I61" s="39" t="s">
        <v>2713</v>
      </c>
      <c r="J61" s="39" t="s">
        <v>2724</v>
      </c>
      <c r="K61" s="39" t="s">
        <v>2727</v>
      </c>
      <c r="L61" s="39" t="s">
        <v>2726</v>
      </c>
      <c r="M61" s="39" t="s">
        <v>2725</v>
      </c>
      <c r="N61" s="39" t="s">
        <v>2727</v>
      </c>
      <c r="O61" s="39" t="s">
        <v>2727</v>
      </c>
      <c r="P61" s="39" t="s">
        <v>2717</v>
      </c>
      <c r="Q61" s="3" t="str">
        <f t="shared" si="2"/>
        <v>H</v>
      </c>
      <c r="R61" s="3" t="str">
        <f t="shared" si="3"/>
        <v>H</v>
      </c>
      <c r="S61" s="3" t="str">
        <f t="shared" si="4"/>
        <v>A</v>
      </c>
      <c r="T61" s="3" t="str">
        <f t="shared" si="5"/>
        <v>A</v>
      </c>
      <c r="U61" s="3" t="str">
        <f t="shared" si="6"/>
        <v>A</v>
      </c>
      <c r="V61" s="3" t="str">
        <f t="shared" si="7"/>
        <v>A</v>
      </c>
      <c r="W61" s="3" t="str">
        <f t="shared" si="8"/>
        <v>A</v>
      </c>
      <c r="X61" s="3" t="str">
        <f t="shared" si="9"/>
        <v>A</v>
      </c>
      <c r="Y61" s="3" t="str">
        <f t="shared" si="10"/>
        <v>D</v>
      </c>
      <c r="Z61" s="3" t="str">
        <f t="shared" si="11"/>
        <v>D</v>
      </c>
      <c r="AA61" s="3" t="str">
        <f t="shared" si="12"/>
        <v>L</v>
      </c>
      <c r="AB61" s="3" t="str">
        <f t="shared" si="13"/>
        <v>L</v>
      </c>
      <c r="AC61" s="3" t="str">
        <f t="shared" si="14"/>
        <v>L</v>
      </c>
      <c r="AD61" s="3" t="str">
        <f t="shared" si="15"/>
        <v>L</v>
      </c>
      <c r="AE61" s="3" t="str">
        <f t="shared" si="16"/>
        <v>L</v>
      </c>
      <c r="AF61" s="3" t="str">
        <f t="shared" si="17"/>
        <v>L</v>
      </c>
      <c r="AG61" s="3" t="str">
        <f t="shared" si="18"/>
        <v>L</v>
      </c>
    </row>
    <row r="62" spans="1:33" x14ac:dyDescent="0.25">
      <c r="A62" s="28" t="s">
        <v>124</v>
      </c>
      <c r="B62" s="19" t="s">
        <v>125</v>
      </c>
      <c r="C62" s="36">
        <v>46199</v>
      </c>
      <c r="D62" s="37">
        <v>0.83333333333333337</v>
      </c>
      <c r="E62" s="19" t="s">
        <v>126</v>
      </c>
      <c r="F62" s="19" t="s">
        <v>127</v>
      </c>
      <c r="G62" s="19" t="s">
        <v>89</v>
      </c>
      <c r="H62" s="38" t="s">
        <v>2736</v>
      </c>
      <c r="I62" s="39" t="s">
        <v>2727</v>
      </c>
      <c r="J62" s="39" t="s">
        <v>2712</v>
      </c>
      <c r="K62" s="39" t="s">
        <v>2712</v>
      </c>
      <c r="L62" s="39" t="s">
        <v>2734</v>
      </c>
      <c r="M62" s="39" t="s">
        <v>2734</v>
      </c>
      <c r="N62" s="39" t="s">
        <v>2712</v>
      </c>
      <c r="O62" s="39" t="s">
        <v>2712</v>
      </c>
      <c r="P62" s="39" t="s">
        <v>2712</v>
      </c>
      <c r="Q62" s="3" t="str">
        <f t="shared" si="2"/>
        <v>H</v>
      </c>
      <c r="R62" s="3" t="str">
        <f t="shared" si="3"/>
        <v>A</v>
      </c>
      <c r="S62" s="3" t="str">
        <f t="shared" si="4"/>
        <v>H</v>
      </c>
      <c r="T62" s="3" t="str">
        <f t="shared" si="5"/>
        <v>H</v>
      </c>
      <c r="U62" s="3" t="str">
        <f t="shared" si="6"/>
        <v>H</v>
      </c>
      <c r="V62" s="3" t="str">
        <f t="shared" si="7"/>
        <v>H</v>
      </c>
      <c r="W62" s="3" t="str">
        <f t="shared" si="8"/>
        <v>H</v>
      </c>
      <c r="X62" s="3" t="str">
        <f t="shared" si="9"/>
        <v>H</v>
      </c>
      <c r="Y62" s="3" t="str">
        <f t="shared" si="10"/>
        <v>H</v>
      </c>
      <c r="Z62" s="3" t="str">
        <f t="shared" si="11"/>
        <v>L</v>
      </c>
      <c r="AA62" s="3" t="str">
        <f t="shared" si="12"/>
        <v>D</v>
      </c>
      <c r="AB62" s="3" t="str">
        <f t="shared" si="13"/>
        <v>D</v>
      </c>
      <c r="AC62" s="3" t="str">
        <f t="shared" si="14"/>
        <v>D</v>
      </c>
      <c r="AD62" s="3" t="str">
        <f t="shared" si="15"/>
        <v>D</v>
      </c>
      <c r="AE62" s="3" t="str">
        <f t="shared" si="16"/>
        <v>D</v>
      </c>
      <c r="AF62" s="3" t="str">
        <f t="shared" si="17"/>
        <v>D</v>
      </c>
      <c r="AG62" s="3" t="str">
        <f t="shared" si="18"/>
        <v>D</v>
      </c>
    </row>
    <row r="63" spans="1:33" x14ac:dyDescent="0.25">
      <c r="A63" s="28" t="s">
        <v>128</v>
      </c>
      <c r="B63" s="19" t="s">
        <v>129</v>
      </c>
      <c r="C63" s="36">
        <v>46199</v>
      </c>
      <c r="D63" s="37">
        <v>0.83333333333333337</v>
      </c>
      <c r="E63" s="19" t="s">
        <v>66</v>
      </c>
      <c r="F63" s="19" t="s">
        <v>61</v>
      </c>
      <c r="G63" s="19" t="s">
        <v>89</v>
      </c>
      <c r="H63" s="38" t="s">
        <v>2746</v>
      </c>
      <c r="I63" s="39" t="s">
        <v>2726</v>
      </c>
      <c r="J63" s="39" t="s">
        <v>2763</v>
      </c>
      <c r="K63" s="39" t="s">
        <v>2727</v>
      </c>
      <c r="L63" s="39" t="s">
        <v>2730</v>
      </c>
      <c r="M63" s="39" t="s">
        <v>2727</v>
      </c>
      <c r="N63" s="39" t="s">
        <v>2727</v>
      </c>
      <c r="O63" s="39" t="s">
        <v>2727</v>
      </c>
      <c r="P63" s="39" t="s">
        <v>2727</v>
      </c>
      <c r="Q63" s="3" t="str">
        <f t="shared" si="2"/>
        <v>A</v>
      </c>
      <c r="R63" s="3" t="str">
        <f t="shared" si="3"/>
        <v>A</v>
      </c>
      <c r="S63" s="3" t="str">
        <f t="shared" si="4"/>
        <v>A</v>
      </c>
      <c r="T63" s="3" t="str">
        <f t="shared" si="5"/>
        <v>A</v>
      </c>
      <c r="U63" s="3" t="str">
        <f t="shared" si="6"/>
        <v>D</v>
      </c>
      <c r="V63" s="3" t="str">
        <f t="shared" si="7"/>
        <v>A</v>
      </c>
      <c r="W63" s="3" t="str">
        <f t="shared" si="8"/>
        <v>A</v>
      </c>
      <c r="X63" s="3" t="str">
        <f t="shared" si="9"/>
        <v>A</v>
      </c>
      <c r="Y63" s="3" t="str">
        <f t="shared" si="10"/>
        <v>A</v>
      </c>
      <c r="Z63" s="3" t="str">
        <f t="shared" si="11"/>
        <v>D</v>
      </c>
      <c r="AA63" s="3" t="str">
        <f t="shared" si="12"/>
        <v>D</v>
      </c>
      <c r="AB63" s="3" t="str">
        <f t="shared" si="13"/>
        <v>D</v>
      </c>
      <c r="AC63" s="3" t="str">
        <f t="shared" si="14"/>
        <v>L</v>
      </c>
      <c r="AD63" s="3" t="str">
        <f t="shared" si="15"/>
        <v>D</v>
      </c>
      <c r="AE63" s="3" t="str">
        <f t="shared" si="16"/>
        <v>D</v>
      </c>
      <c r="AF63" s="3" t="str">
        <f t="shared" si="17"/>
        <v>D</v>
      </c>
      <c r="AG63" s="3" t="str">
        <f t="shared" si="18"/>
        <v>D</v>
      </c>
    </row>
    <row r="64" spans="1:33" x14ac:dyDescent="0.25">
      <c r="A64" s="28" t="s">
        <v>117</v>
      </c>
      <c r="B64" s="19" t="s">
        <v>2764</v>
      </c>
      <c r="C64" s="36">
        <v>46200</v>
      </c>
      <c r="D64" s="37">
        <v>4.1666666666666664E-2</v>
      </c>
      <c r="E64" s="19" t="s">
        <v>2743</v>
      </c>
      <c r="F64" s="19" t="s">
        <v>119</v>
      </c>
      <c r="G64" s="19" t="s">
        <v>89</v>
      </c>
      <c r="H64" s="38" t="s">
        <v>2740</v>
      </c>
      <c r="I64" s="39" t="s">
        <v>2724</v>
      </c>
      <c r="J64" s="39" t="s">
        <v>2740</v>
      </c>
      <c r="K64" s="39" t="s">
        <v>2717</v>
      </c>
      <c r="L64" s="39" t="s">
        <v>2713</v>
      </c>
      <c r="M64" s="39" t="s">
        <v>2727</v>
      </c>
      <c r="N64" s="39" t="s">
        <v>2715</v>
      </c>
      <c r="O64" s="39" t="s">
        <v>2717</v>
      </c>
      <c r="P64" s="39" t="s">
        <v>2717</v>
      </c>
      <c r="Q64" s="3" t="str">
        <f t="shared" si="2"/>
        <v>D</v>
      </c>
      <c r="R64" s="3" t="str">
        <f t="shared" si="3"/>
        <v>A</v>
      </c>
      <c r="S64" s="3" t="str">
        <f t="shared" si="4"/>
        <v>D</v>
      </c>
      <c r="T64" s="3" t="str">
        <f t="shared" si="5"/>
        <v>D</v>
      </c>
      <c r="U64" s="3" t="str">
        <f t="shared" si="6"/>
        <v>H</v>
      </c>
      <c r="V64" s="3" t="str">
        <f t="shared" si="7"/>
        <v>A</v>
      </c>
      <c r="W64" s="3" t="str">
        <f t="shared" si="8"/>
        <v>H</v>
      </c>
      <c r="X64" s="3" t="str">
        <f t="shared" si="9"/>
        <v>D</v>
      </c>
      <c r="Y64" s="3" t="str">
        <f t="shared" si="10"/>
        <v>D</v>
      </c>
      <c r="Z64" s="3" t="str">
        <f t="shared" si="11"/>
        <v>L</v>
      </c>
      <c r="AA64" s="3" t="str">
        <f t="shared" si="12"/>
        <v>W</v>
      </c>
      <c r="AB64" s="3" t="str">
        <f t="shared" si="13"/>
        <v>D</v>
      </c>
      <c r="AC64" s="3" t="str">
        <f t="shared" si="14"/>
        <v>L</v>
      </c>
      <c r="AD64" s="3" t="str">
        <f t="shared" si="15"/>
        <v>L</v>
      </c>
      <c r="AE64" s="3" t="str">
        <f t="shared" si="16"/>
        <v>L</v>
      </c>
      <c r="AF64" s="3" t="str">
        <f t="shared" si="17"/>
        <v>D</v>
      </c>
      <c r="AG64" s="3" t="str">
        <f t="shared" si="18"/>
        <v>D</v>
      </c>
    </row>
    <row r="65" spans="1:33" x14ac:dyDescent="0.25">
      <c r="A65" s="28" t="s">
        <v>120</v>
      </c>
      <c r="B65" s="19" t="s">
        <v>121</v>
      </c>
      <c r="C65" s="36">
        <v>46200</v>
      </c>
      <c r="D65" s="37">
        <v>4.1666666666666664E-2</v>
      </c>
      <c r="E65" s="19" t="s">
        <v>122</v>
      </c>
      <c r="F65" s="19" t="s">
        <v>123</v>
      </c>
      <c r="G65" s="19" t="s">
        <v>89</v>
      </c>
      <c r="H65" s="38" t="s">
        <v>2720</v>
      </c>
      <c r="I65" s="39" t="s">
        <v>2727</v>
      </c>
      <c r="J65" s="39" t="s">
        <v>2747</v>
      </c>
      <c r="K65" s="39" t="s">
        <v>2717</v>
      </c>
      <c r="L65" s="39" t="s">
        <v>2727</v>
      </c>
      <c r="M65" s="39" t="s">
        <v>2725</v>
      </c>
      <c r="N65" s="39" t="s">
        <v>2726</v>
      </c>
      <c r="O65" s="39" t="s">
        <v>2724</v>
      </c>
      <c r="P65" s="39" t="s">
        <v>2720</v>
      </c>
      <c r="Q65" s="3" t="str">
        <f t="shared" si="2"/>
        <v>A</v>
      </c>
      <c r="R65" s="3" t="str">
        <f t="shared" si="3"/>
        <v>A</v>
      </c>
      <c r="S65" s="3" t="str">
        <f t="shared" si="4"/>
        <v>A</v>
      </c>
      <c r="T65" s="3" t="str">
        <f t="shared" si="5"/>
        <v>D</v>
      </c>
      <c r="U65" s="3" t="str">
        <f t="shared" si="6"/>
        <v>A</v>
      </c>
      <c r="V65" s="3" t="str">
        <f t="shared" si="7"/>
        <v>A</v>
      </c>
      <c r="W65" s="3" t="str">
        <f t="shared" si="8"/>
        <v>A</v>
      </c>
      <c r="X65" s="3" t="str">
        <f t="shared" si="9"/>
        <v>A</v>
      </c>
      <c r="Y65" s="3" t="str">
        <f t="shared" si="10"/>
        <v>A</v>
      </c>
      <c r="Z65" s="3" t="str">
        <f t="shared" si="11"/>
        <v>D</v>
      </c>
      <c r="AA65" s="3" t="str">
        <f t="shared" si="12"/>
        <v>D</v>
      </c>
      <c r="AB65" s="3" t="str">
        <f t="shared" si="13"/>
        <v>L</v>
      </c>
      <c r="AC65" s="3" t="str">
        <f t="shared" si="14"/>
        <v>D</v>
      </c>
      <c r="AD65" s="3" t="str">
        <f t="shared" si="15"/>
        <v>D</v>
      </c>
      <c r="AE65" s="3" t="str">
        <f t="shared" si="16"/>
        <v>D</v>
      </c>
      <c r="AF65" s="3" t="str">
        <f t="shared" si="17"/>
        <v>D</v>
      </c>
      <c r="AG65" s="3" t="str">
        <f t="shared" si="18"/>
        <v>W</v>
      </c>
    </row>
    <row r="66" spans="1:33" x14ac:dyDescent="0.25">
      <c r="A66" s="28" t="s">
        <v>110</v>
      </c>
      <c r="B66" s="19" t="s">
        <v>111</v>
      </c>
      <c r="C66" s="36">
        <v>46200</v>
      </c>
      <c r="D66" s="37">
        <v>0.16666666666666666</v>
      </c>
      <c r="E66" s="19" t="s">
        <v>112</v>
      </c>
      <c r="F66" s="19" t="s">
        <v>113</v>
      </c>
      <c r="G66" s="19" t="s">
        <v>89</v>
      </c>
      <c r="H66" s="38" t="s">
        <v>2765</v>
      </c>
      <c r="I66" s="39" t="s">
        <v>2725</v>
      </c>
      <c r="J66" s="39" t="s">
        <v>2720</v>
      </c>
      <c r="K66" s="39" t="s">
        <v>2725</v>
      </c>
      <c r="L66" s="39" t="s">
        <v>2713</v>
      </c>
      <c r="M66" s="39" t="s">
        <v>2720</v>
      </c>
      <c r="N66" s="39" t="s">
        <v>2725</v>
      </c>
      <c r="O66" s="39" t="s">
        <v>2720</v>
      </c>
      <c r="P66" s="39" t="s">
        <v>2724</v>
      </c>
      <c r="Q66" s="3" t="str">
        <f t="shared" si="2"/>
        <v>A</v>
      </c>
      <c r="R66" s="3" t="str">
        <f t="shared" si="3"/>
        <v>A</v>
      </c>
      <c r="S66" s="3" t="str">
        <f t="shared" si="4"/>
        <v>A</v>
      </c>
      <c r="T66" s="3" t="str">
        <f t="shared" si="5"/>
        <v>A</v>
      </c>
      <c r="U66" s="3" t="str">
        <f t="shared" si="6"/>
        <v>H</v>
      </c>
      <c r="V66" s="3" t="str">
        <f t="shared" si="7"/>
        <v>A</v>
      </c>
      <c r="W66" s="3" t="str">
        <f t="shared" si="8"/>
        <v>A</v>
      </c>
      <c r="X66" s="3" t="str">
        <f t="shared" si="9"/>
        <v>A</v>
      </c>
      <c r="Y66" s="3" t="str">
        <f t="shared" si="10"/>
        <v>A</v>
      </c>
      <c r="Z66" s="3" t="str">
        <f t="shared" si="11"/>
        <v>D</v>
      </c>
      <c r="AA66" s="3" t="str">
        <f t="shared" si="12"/>
        <v>D</v>
      </c>
      <c r="AB66" s="3" t="str">
        <f t="shared" si="13"/>
        <v>D</v>
      </c>
      <c r="AC66" s="3" t="str">
        <f t="shared" si="14"/>
        <v>L</v>
      </c>
      <c r="AD66" s="3" t="str">
        <f t="shared" si="15"/>
        <v>D</v>
      </c>
      <c r="AE66" s="3" t="str">
        <f t="shared" si="16"/>
        <v>D</v>
      </c>
      <c r="AF66" s="3" t="str">
        <f t="shared" si="17"/>
        <v>D</v>
      </c>
      <c r="AG66" s="3" t="str">
        <f t="shared" si="18"/>
        <v>D</v>
      </c>
    </row>
    <row r="67" spans="1:33" x14ac:dyDescent="0.25">
      <c r="A67" s="28" t="s">
        <v>114</v>
      </c>
      <c r="B67" s="19" t="s">
        <v>2766</v>
      </c>
      <c r="C67" s="36">
        <v>46200</v>
      </c>
      <c r="D67" s="37">
        <v>0.16666666666666666</v>
      </c>
      <c r="E67" s="19" t="s">
        <v>46</v>
      </c>
      <c r="F67" s="19" t="s">
        <v>1540</v>
      </c>
      <c r="G67" s="19" t="s">
        <v>89</v>
      </c>
      <c r="H67" s="38" t="s">
        <v>2717</v>
      </c>
      <c r="I67" s="39" t="s">
        <v>2713</v>
      </c>
      <c r="J67" s="39" t="s">
        <v>2717</v>
      </c>
      <c r="K67" s="39" t="s">
        <v>2717</v>
      </c>
      <c r="L67" s="39" t="s">
        <v>2713</v>
      </c>
      <c r="M67" s="39" t="s">
        <v>2715</v>
      </c>
      <c r="N67" s="39" t="s">
        <v>2715</v>
      </c>
      <c r="O67" s="39" t="s">
        <v>2715</v>
      </c>
      <c r="P67" s="39" t="s">
        <v>2717</v>
      </c>
      <c r="Q67" s="3" t="str">
        <f t="shared" ref="Q67:Q105" si="19">IF(LEFT(H67,1)-RIGHT(H67,1)=0,"D",IF(LEFT(H67,1)-RIGHT(H67,1)&gt;0,"H","A"))</f>
        <v>D</v>
      </c>
      <c r="R67" s="3" t="str">
        <f t="shared" ref="R67:R105" si="20">IF(LEFT(I67,1)-RIGHT(I67,1)=0,"D",IF(LEFT(I67,1)-RIGHT(I67,1)&gt;0,"H","A"))</f>
        <v>H</v>
      </c>
      <c r="S67" s="3" t="str">
        <f t="shared" ref="S67:S105" si="21">IF(LEFT(J67,1)-RIGHT(J67,1)=0,"D",IF(LEFT(J67,1)-RIGHT(J67,1)&gt;0,"H","A"))</f>
        <v>D</v>
      </c>
      <c r="T67" s="3" t="str">
        <f t="shared" ref="T67:T105" si="22">IF(LEFT(K67,1)-RIGHT(K67,1)=0,"D",IF(LEFT(K67,1)-RIGHT(K67,1)&gt;0,"H","A"))</f>
        <v>D</v>
      </c>
      <c r="U67" s="3" t="str">
        <f t="shared" ref="U67:U105" si="23">IF(LEFT(L67,1)-RIGHT(L67,1)=0,"D",IF(LEFT(L67,1)-RIGHT(L67,1)&gt;0,"H","A"))</f>
        <v>H</v>
      </c>
      <c r="V67" s="3" t="str">
        <f t="shared" ref="V67:V105" si="24">IF(LEFT(M67,1)-RIGHT(M67,1)=0,"D",IF(LEFT(M67,1)-RIGHT(M67,1)&gt;0,"H","A"))</f>
        <v>H</v>
      </c>
      <c r="W67" s="3" t="str">
        <f t="shared" ref="W67:W105" si="25">IF(LEFT(N67,1)-RIGHT(N67,1)=0,"D",IF(LEFT(N67,1)-RIGHT(N67,1)&gt;0,"H","A"))</f>
        <v>H</v>
      </c>
      <c r="X67" s="3" t="str">
        <f t="shared" ref="X67:X105" si="26">IF(LEFT(O67,1)-RIGHT(O67,1)=0,"D",IF(LEFT(O67,1)-RIGHT(O67,1)&gt;0,"H","A"))</f>
        <v>H</v>
      </c>
      <c r="Y67" s="3" t="str">
        <f t="shared" ref="Y67:Y105" si="27">IF(LEFT(P67,1)-RIGHT(P67,1)=0,"D",IF(LEFT(P67,1)-RIGHT(P67,1)&gt;0,"H","A"))</f>
        <v>D</v>
      </c>
      <c r="Z67" s="3" t="str">
        <f t="shared" ref="Z67:Z105" si="28">IF(I67="","",IF(I67=$H67,"W",IF(R67=$Q67,"D","L")))</f>
        <v>L</v>
      </c>
      <c r="AA67" s="3" t="str">
        <f t="shared" ref="AA67:AA105" si="29">IF(J67="","",IF(J67=$H67,"W",IF(S67=$Q67,"D","L")))</f>
        <v>W</v>
      </c>
      <c r="AB67" s="3" t="str">
        <f t="shared" ref="AB67:AB105" si="30">IF(K67="","",IF(K67=$H67,"W",IF(T67=$Q67,"D","L")))</f>
        <v>W</v>
      </c>
      <c r="AC67" s="3" t="str">
        <f t="shared" ref="AC67:AC105" si="31">IF(L67="","",IF(L67=$H67,"W",IF(U67=$Q67,"D","L")))</f>
        <v>L</v>
      </c>
      <c r="AD67" s="3" t="str">
        <f t="shared" ref="AD67:AD105" si="32">IF(M67="","",IF(M67=$H67,"W",IF(V67=$Q67,"D","L")))</f>
        <v>L</v>
      </c>
      <c r="AE67" s="3" t="str">
        <f t="shared" ref="AE67:AE105" si="33">IF(N67="","",IF(N67=$H67,"W",IF(W67=$Q67,"D","L")))</f>
        <v>L</v>
      </c>
      <c r="AF67" s="3" t="str">
        <f t="shared" ref="AF67:AF105" si="34">IF(O67="","",IF(O67=$H67,"W",IF(X67=$Q67,"D","L")))</f>
        <v>L</v>
      </c>
      <c r="AG67" s="3" t="str">
        <f t="shared" ref="AG67:AG105" si="35">IF(P67="","",IF(P67=$H67,"W",IF(Y67=$Q67,"D","L")))</f>
        <v>W</v>
      </c>
    </row>
    <row r="68" spans="1:33" x14ac:dyDescent="0.25">
      <c r="A68" s="28" t="s">
        <v>102</v>
      </c>
      <c r="B68" s="19" t="s">
        <v>103</v>
      </c>
      <c r="C68" s="36">
        <v>46200</v>
      </c>
      <c r="D68" s="37">
        <v>0.91666666666666663</v>
      </c>
      <c r="E68" s="19" t="s">
        <v>104</v>
      </c>
      <c r="F68" s="19" t="s">
        <v>105</v>
      </c>
      <c r="G68" s="19" t="s">
        <v>89</v>
      </c>
      <c r="H68" s="38" t="s">
        <v>2713</v>
      </c>
      <c r="I68" s="39" t="s">
        <v>2713</v>
      </c>
      <c r="J68" s="39" t="s">
        <v>2712</v>
      </c>
      <c r="K68" s="39" t="s">
        <v>2713</v>
      </c>
      <c r="L68" s="39" t="s">
        <v>2730</v>
      </c>
      <c r="M68" s="39" t="s">
        <v>2717</v>
      </c>
      <c r="N68" s="39" t="s">
        <v>2717</v>
      </c>
      <c r="O68" s="39" t="s">
        <v>2713</v>
      </c>
      <c r="P68" s="39" t="s">
        <v>2715</v>
      </c>
      <c r="Q68" s="3" t="str">
        <f t="shared" si="19"/>
        <v>H</v>
      </c>
      <c r="R68" s="3" t="str">
        <f t="shared" si="20"/>
        <v>H</v>
      </c>
      <c r="S68" s="3" t="str">
        <f t="shared" si="21"/>
        <v>H</v>
      </c>
      <c r="T68" s="3" t="str">
        <f t="shared" si="22"/>
        <v>H</v>
      </c>
      <c r="U68" s="3" t="str">
        <f t="shared" si="23"/>
        <v>D</v>
      </c>
      <c r="V68" s="3" t="str">
        <f t="shared" si="24"/>
        <v>D</v>
      </c>
      <c r="W68" s="3" t="str">
        <f t="shared" si="25"/>
        <v>D</v>
      </c>
      <c r="X68" s="3" t="str">
        <f t="shared" si="26"/>
        <v>H</v>
      </c>
      <c r="Y68" s="3" t="str">
        <f t="shared" si="27"/>
        <v>H</v>
      </c>
      <c r="Z68" s="3" t="str">
        <f t="shared" si="28"/>
        <v>W</v>
      </c>
      <c r="AA68" s="3" t="str">
        <f t="shared" si="29"/>
        <v>D</v>
      </c>
      <c r="AB68" s="3" t="str">
        <f t="shared" si="30"/>
        <v>W</v>
      </c>
      <c r="AC68" s="3" t="str">
        <f t="shared" si="31"/>
        <v>L</v>
      </c>
      <c r="AD68" s="3" t="str">
        <f t="shared" si="32"/>
        <v>L</v>
      </c>
      <c r="AE68" s="3" t="str">
        <f t="shared" si="33"/>
        <v>L</v>
      </c>
      <c r="AF68" s="3" t="str">
        <f t="shared" si="34"/>
        <v>W</v>
      </c>
      <c r="AG68" s="3" t="str">
        <f t="shared" si="35"/>
        <v>D</v>
      </c>
    </row>
    <row r="69" spans="1:33" x14ac:dyDescent="0.25">
      <c r="A69" s="28" t="s">
        <v>106</v>
      </c>
      <c r="B69" s="19" t="s">
        <v>107</v>
      </c>
      <c r="C69" s="36">
        <v>46200</v>
      </c>
      <c r="D69" s="37">
        <v>0.91666666666666663</v>
      </c>
      <c r="E69" s="19" t="s">
        <v>108</v>
      </c>
      <c r="F69" s="19" t="s">
        <v>109</v>
      </c>
      <c r="G69" s="19" t="s">
        <v>89</v>
      </c>
      <c r="H69" s="38" t="s">
        <v>2724</v>
      </c>
      <c r="I69" s="39" t="s">
        <v>2725</v>
      </c>
      <c r="J69" s="39" t="s">
        <v>2728</v>
      </c>
      <c r="K69" s="39" t="s">
        <v>2725</v>
      </c>
      <c r="L69" s="39" t="s">
        <v>2747</v>
      </c>
      <c r="M69" s="39" t="s">
        <v>2758</v>
      </c>
      <c r="N69" s="39" t="s">
        <v>2725</v>
      </c>
      <c r="O69" s="39" t="s">
        <v>2725</v>
      </c>
      <c r="P69" s="39" t="s">
        <v>2724</v>
      </c>
      <c r="Q69" s="3" t="str">
        <f t="shared" si="19"/>
        <v>A</v>
      </c>
      <c r="R69" s="3" t="str">
        <f t="shared" si="20"/>
        <v>A</v>
      </c>
      <c r="S69" s="3" t="str">
        <f t="shared" si="21"/>
        <v>A</v>
      </c>
      <c r="T69" s="3" t="str">
        <f t="shared" si="22"/>
        <v>A</v>
      </c>
      <c r="U69" s="3" t="str">
        <f t="shared" si="23"/>
        <v>A</v>
      </c>
      <c r="V69" s="3" t="str">
        <f t="shared" si="24"/>
        <v>A</v>
      </c>
      <c r="W69" s="3" t="str">
        <f t="shared" si="25"/>
        <v>A</v>
      </c>
      <c r="X69" s="3" t="str">
        <f t="shared" si="26"/>
        <v>A</v>
      </c>
      <c r="Y69" s="3" t="str">
        <f t="shared" si="27"/>
        <v>A</v>
      </c>
      <c r="Z69" s="3" t="str">
        <f t="shared" si="28"/>
        <v>D</v>
      </c>
      <c r="AA69" s="3" t="str">
        <f t="shared" si="29"/>
        <v>D</v>
      </c>
      <c r="AB69" s="3" t="str">
        <f t="shared" si="30"/>
        <v>D</v>
      </c>
      <c r="AC69" s="3" t="str">
        <f t="shared" si="31"/>
        <v>D</v>
      </c>
      <c r="AD69" s="3" t="str">
        <f t="shared" si="32"/>
        <v>D</v>
      </c>
      <c r="AE69" s="3" t="str">
        <f t="shared" si="33"/>
        <v>D</v>
      </c>
      <c r="AF69" s="3" t="str">
        <f t="shared" si="34"/>
        <v>D</v>
      </c>
      <c r="AG69" s="3" t="str">
        <f t="shared" si="35"/>
        <v>W</v>
      </c>
    </row>
    <row r="70" spans="1:33" x14ac:dyDescent="0.25">
      <c r="A70" s="28" t="s">
        <v>93</v>
      </c>
      <c r="B70" s="19" t="s">
        <v>94</v>
      </c>
      <c r="C70" s="36">
        <v>46201</v>
      </c>
      <c r="D70" s="37">
        <v>2.0833333333333332E-2</v>
      </c>
      <c r="E70" s="19" t="s">
        <v>96</v>
      </c>
      <c r="F70" s="19" t="s">
        <v>97</v>
      </c>
      <c r="G70" s="19" t="s">
        <v>89</v>
      </c>
      <c r="H70" s="38" t="s">
        <v>2714</v>
      </c>
      <c r="I70" s="39" t="s">
        <v>2724</v>
      </c>
      <c r="J70" s="39" t="s">
        <v>2730</v>
      </c>
      <c r="K70" s="39" t="s">
        <v>2717</v>
      </c>
      <c r="L70" s="39" t="s">
        <v>2724</v>
      </c>
      <c r="M70" s="39" t="s">
        <v>2715</v>
      </c>
      <c r="N70" s="39" t="s">
        <v>2715</v>
      </c>
      <c r="O70" s="39" t="s">
        <v>2715</v>
      </c>
      <c r="P70" s="39" t="s">
        <v>2715</v>
      </c>
      <c r="Q70" s="3" t="str">
        <f t="shared" si="19"/>
        <v>H</v>
      </c>
      <c r="R70" s="3" t="str">
        <f t="shared" si="20"/>
        <v>A</v>
      </c>
      <c r="S70" s="3" t="str">
        <f t="shared" si="21"/>
        <v>D</v>
      </c>
      <c r="T70" s="3" t="str">
        <f t="shared" si="22"/>
        <v>D</v>
      </c>
      <c r="U70" s="3" t="str">
        <f t="shared" si="23"/>
        <v>A</v>
      </c>
      <c r="V70" s="3" t="str">
        <f t="shared" si="24"/>
        <v>H</v>
      </c>
      <c r="W70" s="3" t="str">
        <f t="shared" si="25"/>
        <v>H</v>
      </c>
      <c r="X70" s="3" t="str">
        <f t="shared" si="26"/>
        <v>H</v>
      </c>
      <c r="Y70" s="3" t="str">
        <f t="shared" si="27"/>
        <v>H</v>
      </c>
      <c r="Z70" s="3" t="str">
        <f t="shared" si="28"/>
        <v>L</v>
      </c>
      <c r="AA70" s="3" t="str">
        <f t="shared" si="29"/>
        <v>L</v>
      </c>
      <c r="AB70" s="3" t="str">
        <f t="shared" si="30"/>
        <v>L</v>
      </c>
      <c r="AC70" s="3" t="str">
        <f t="shared" si="31"/>
        <v>L</v>
      </c>
      <c r="AD70" s="3" t="str">
        <f t="shared" si="32"/>
        <v>D</v>
      </c>
      <c r="AE70" s="3" t="str">
        <f t="shared" si="33"/>
        <v>D</v>
      </c>
      <c r="AF70" s="3" t="str">
        <f t="shared" si="34"/>
        <v>D</v>
      </c>
      <c r="AG70" s="3" t="str">
        <f t="shared" si="35"/>
        <v>D</v>
      </c>
    </row>
    <row r="71" spans="1:33" x14ac:dyDescent="0.25">
      <c r="A71" s="28" t="s">
        <v>98</v>
      </c>
      <c r="B71" s="19" t="s">
        <v>99</v>
      </c>
      <c r="C71" s="36">
        <v>46201</v>
      </c>
      <c r="D71" s="37">
        <v>2.0833333333333332E-2</v>
      </c>
      <c r="E71" s="19" t="s">
        <v>100</v>
      </c>
      <c r="F71" s="19" t="s">
        <v>101</v>
      </c>
      <c r="G71" s="19" t="s">
        <v>89</v>
      </c>
      <c r="H71" s="38" t="s">
        <v>2740</v>
      </c>
      <c r="I71" s="39" t="s">
        <v>2727</v>
      </c>
      <c r="J71" s="39" t="s">
        <v>2717</v>
      </c>
      <c r="K71" s="39" t="s">
        <v>2727</v>
      </c>
      <c r="L71" s="39" t="s">
        <v>2730</v>
      </c>
      <c r="M71" s="39" t="s">
        <v>2730</v>
      </c>
      <c r="N71" s="39" t="s">
        <v>2730</v>
      </c>
      <c r="O71" s="39" t="s">
        <v>2717</v>
      </c>
      <c r="P71" s="39" t="s">
        <v>2720</v>
      </c>
      <c r="Q71" s="3" t="str">
        <f t="shared" si="19"/>
        <v>D</v>
      </c>
      <c r="R71" s="3" t="str">
        <f t="shared" si="20"/>
        <v>A</v>
      </c>
      <c r="S71" s="3" t="str">
        <f t="shared" si="21"/>
        <v>D</v>
      </c>
      <c r="T71" s="3" t="str">
        <f t="shared" si="22"/>
        <v>A</v>
      </c>
      <c r="U71" s="3" t="str">
        <f t="shared" si="23"/>
        <v>D</v>
      </c>
      <c r="V71" s="3" t="str">
        <f t="shared" si="24"/>
        <v>D</v>
      </c>
      <c r="W71" s="3" t="str">
        <f t="shared" si="25"/>
        <v>D</v>
      </c>
      <c r="X71" s="3" t="str">
        <f t="shared" si="26"/>
        <v>D</v>
      </c>
      <c r="Y71" s="3" t="str">
        <f t="shared" si="27"/>
        <v>A</v>
      </c>
      <c r="Z71" s="3" t="str">
        <f t="shared" si="28"/>
        <v>L</v>
      </c>
      <c r="AA71" s="3" t="str">
        <f t="shared" si="29"/>
        <v>D</v>
      </c>
      <c r="AB71" s="3" t="str">
        <f t="shared" si="30"/>
        <v>L</v>
      </c>
      <c r="AC71" s="3" t="str">
        <f t="shared" si="31"/>
        <v>D</v>
      </c>
      <c r="AD71" s="3" t="str">
        <f t="shared" si="32"/>
        <v>D</v>
      </c>
      <c r="AE71" s="3" t="str">
        <f t="shared" si="33"/>
        <v>D</v>
      </c>
      <c r="AF71" s="3" t="str">
        <f t="shared" si="34"/>
        <v>D</v>
      </c>
      <c r="AG71" s="3" t="str">
        <f t="shared" si="35"/>
        <v>L</v>
      </c>
    </row>
    <row r="72" spans="1:33" x14ac:dyDescent="0.25">
      <c r="A72" s="28" t="s">
        <v>84</v>
      </c>
      <c r="B72" s="19" t="s">
        <v>85</v>
      </c>
      <c r="C72" s="36">
        <v>46201</v>
      </c>
      <c r="D72" s="37">
        <v>0.125</v>
      </c>
      <c r="E72" s="19" t="s">
        <v>87</v>
      </c>
      <c r="F72" s="19" t="s">
        <v>88</v>
      </c>
      <c r="G72" s="19" t="s">
        <v>89</v>
      </c>
      <c r="H72" s="38" t="s">
        <v>2767</v>
      </c>
      <c r="I72" s="39" t="s">
        <v>2712</v>
      </c>
      <c r="J72" s="39" t="s">
        <v>2717</v>
      </c>
      <c r="K72" s="39" t="s">
        <v>2717</v>
      </c>
      <c r="L72" s="39" t="s">
        <v>2727</v>
      </c>
      <c r="M72" s="39" t="s">
        <v>2720</v>
      </c>
      <c r="N72" s="39" t="s">
        <v>2727</v>
      </c>
      <c r="O72" s="39" t="s">
        <v>2717</v>
      </c>
      <c r="P72" s="39" t="s">
        <v>2717</v>
      </c>
      <c r="Q72" s="3" t="str">
        <f t="shared" si="19"/>
        <v>D</v>
      </c>
      <c r="R72" s="3" t="str">
        <f t="shared" si="20"/>
        <v>H</v>
      </c>
      <c r="S72" s="3" t="str">
        <f t="shared" si="21"/>
        <v>D</v>
      </c>
      <c r="T72" s="3" t="str">
        <f t="shared" si="22"/>
        <v>D</v>
      </c>
      <c r="U72" s="3" t="str">
        <f t="shared" si="23"/>
        <v>A</v>
      </c>
      <c r="V72" s="3" t="str">
        <f t="shared" si="24"/>
        <v>A</v>
      </c>
      <c r="W72" s="3" t="str">
        <f t="shared" si="25"/>
        <v>A</v>
      </c>
      <c r="X72" s="3" t="str">
        <f t="shared" si="26"/>
        <v>D</v>
      </c>
      <c r="Y72" s="3" t="str">
        <f t="shared" si="27"/>
        <v>D</v>
      </c>
      <c r="Z72" s="3" t="str">
        <f t="shared" si="28"/>
        <v>L</v>
      </c>
      <c r="AA72" s="3" t="str">
        <f t="shared" si="29"/>
        <v>D</v>
      </c>
      <c r="AB72" s="3" t="str">
        <f t="shared" si="30"/>
        <v>D</v>
      </c>
      <c r="AC72" s="3" t="str">
        <f t="shared" si="31"/>
        <v>L</v>
      </c>
      <c r="AD72" s="3" t="str">
        <f t="shared" si="32"/>
        <v>L</v>
      </c>
      <c r="AE72" s="3" t="str">
        <f t="shared" si="33"/>
        <v>L</v>
      </c>
      <c r="AF72" s="3" t="str">
        <f t="shared" si="34"/>
        <v>D</v>
      </c>
      <c r="AG72" s="3" t="str">
        <f t="shared" si="35"/>
        <v>D</v>
      </c>
    </row>
    <row r="73" spans="1:33" x14ac:dyDescent="0.25">
      <c r="A73" s="28" t="s">
        <v>90</v>
      </c>
      <c r="B73" s="19" t="s">
        <v>91</v>
      </c>
      <c r="C73" s="36">
        <v>46201</v>
      </c>
      <c r="D73" s="37">
        <v>0.125</v>
      </c>
      <c r="E73" s="19" t="s">
        <v>92</v>
      </c>
      <c r="F73" s="19" t="s">
        <v>40</v>
      </c>
      <c r="G73" s="19" t="s">
        <v>89</v>
      </c>
      <c r="H73" s="38" t="s">
        <v>2726</v>
      </c>
      <c r="I73" s="39" t="s">
        <v>2725</v>
      </c>
      <c r="J73" s="39" t="s">
        <v>2747</v>
      </c>
      <c r="K73" s="39" t="s">
        <v>2747</v>
      </c>
      <c r="L73" s="39" t="s">
        <v>2746</v>
      </c>
      <c r="M73" s="39" t="s">
        <v>2747</v>
      </c>
      <c r="N73" s="39" t="s">
        <v>2725</v>
      </c>
      <c r="O73" s="39" t="s">
        <v>2724</v>
      </c>
      <c r="P73" s="39" t="s">
        <v>2724</v>
      </c>
      <c r="Q73" s="3" t="str">
        <f t="shared" si="19"/>
        <v>A</v>
      </c>
      <c r="R73" s="3" t="str">
        <f t="shared" si="20"/>
        <v>A</v>
      </c>
      <c r="S73" s="3" t="str">
        <f t="shared" si="21"/>
        <v>A</v>
      </c>
      <c r="T73" s="3" t="str">
        <f t="shared" si="22"/>
        <v>A</v>
      </c>
      <c r="U73" s="3" t="str">
        <f t="shared" si="23"/>
        <v>A</v>
      </c>
      <c r="V73" s="3" t="str">
        <f t="shared" si="24"/>
        <v>A</v>
      </c>
      <c r="W73" s="3" t="str">
        <f t="shared" si="25"/>
        <v>A</v>
      </c>
      <c r="X73" s="3" t="str">
        <f t="shared" si="26"/>
        <v>A</v>
      </c>
      <c r="Y73" s="3" t="str">
        <f t="shared" si="27"/>
        <v>A</v>
      </c>
      <c r="Z73" s="3" t="str">
        <f t="shared" si="28"/>
        <v>D</v>
      </c>
      <c r="AA73" s="3" t="str">
        <f t="shared" si="29"/>
        <v>D</v>
      </c>
      <c r="AB73" s="3" t="str">
        <f t="shared" si="30"/>
        <v>D</v>
      </c>
      <c r="AC73" s="3" t="str">
        <f t="shared" si="31"/>
        <v>D</v>
      </c>
      <c r="AD73" s="3" t="str">
        <f t="shared" si="32"/>
        <v>D</v>
      </c>
      <c r="AE73" s="3" t="str">
        <f t="shared" si="33"/>
        <v>D</v>
      </c>
      <c r="AF73" s="3" t="str">
        <f t="shared" si="34"/>
        <v>D</v>
      </c>
      <c r="AG73" s="3" t="str">
        <f t="shared" si="35"/>
        <v>D</v>
      </c>
    </row>
    <row r="74" spans="1:33" x14ac:dyDescent="0.25">
      <c r="A74" s="28" t="s">
        <v>80</v>
      </c>
      <c r="B74" s="19" t="s">
        <v>81</v>
      </c>
      <c r="C74" s="36">
        <v>46201</v>
      </c>
      <c r="D74" s="37">
        <v>0.83333333333333337</v>
      </c>
      <c r="E74" s="19"/>
      <c r="F74" s="19"/>
      <c r="G74" s="19" t="s">
        <v>2768</v>
      </c>
      <c r="H74" s="38" t="s">
        <v>2720</v>
      </c>
      <c r="I74" s="39" t="s">
        <v>2713</v>
      </c>
      <c r="J74" s="39" t="s">
        <v>2727</v>
      </c>
      <c r="K74" s="39" t="s">
        <v>2715</v>
      </c>
      <c r="L74" s="39" t="s">
        <v>2730</v>
      </c>
      <c r="M74" s="39" t="s">
        <v>2725</v>
      </c>
      <c r="N74" s="39" t="s">
        <v>2727</v>
      </c>
      <c r="O74" s="39" t="s">
        <v>2727</v>
      </c>
      <c r="P74" s="39" t="s">
        <v>2720</v>
      </c>
      <c r="Q74" s="3" t="str">
        <f t="shared" si="19"/>
        <v>A</v>
      </c>
      <c r="R74" s="3" t="str">
        <f t="shared" si="20"/>
        <v>H</v>
      </c>
      <c r="S74" s="3" t="str">
        <f t="shared" si="21"/>
        <v>A</v>
      </c>
      <c r="T74" s="3" t="str">
        <f t="shared" si="22"/>
        <v>H</v>
      </c>
      <c r="U74" s="3" t="str">
        <f t="shared" si="23"/>
        <v>D</v>
      </c>
      <c r="V74" s="3" t="str">
        <f t="shared" si="24"/>
        <v>A</v>
      </c>
      <c r="W74" s="3" t="str">
        <f t="shared" si="25"/>
        <v>A</v>
      </c>
      <c r="X74" s="3" t="str">
        <f t="shared" si="26"/>
        <v>A</v>
      </c>
      <c r="Y74" s="3" t="str">
        <f t="shared" si="27"/>
        <v>A</v>
      </c>
      <c r="Z74" s="3" t="str">
        <f t="shared" si="28"/>
        <v>L</v>
      </c>
      <c r="AA74" s="3" t="str">
        <f t="shared" si="29"/>
        <v>D</v>
      </c>
      <c r="AB74" s="3" t="str">
        <f t="shared" si="30"/>
        <v>L</v>
      </c>
      <c r="AC74" s="3" t="str">
        <f t="shared" si="31"/>
        <v>L</v>
      </c>
      <c r="AD74" s="3" t="str">
        <f t="shared" si="32"/>
        <v>D</v>
      </c>
      <c r="AE74" s="3" t="str">
        <f t="shared" si="33"/>
        <v>D</v>
      </c>
      <c r="AF74" s="3" t="str">
        <f t="shared" si="34"/>
        <v>D</v>
      </c>
      <c r="AG74" s="3" t="str">
        <f t="shared" si="35"/>
        <v>W</v>
      </c>
    </row>
    <row r="75" spans="1:33" x14ac:dyDescent="0.25">
      <c r="A75" s="28" t="s">
        <v>76</v>
      </c>
      <c r="B75" s="19" t="s">
        <v>77</v>
      </c>
      <c r="C75" s="36">
        <v>46202</v>
      </c>
      <c r="D75" s="37">
        <v>0.75</v>
      </c>
      <c r="E75" s="19"/>
      <c r="F75" s="19"/>
      <c r="G75" s="19" t="s">
        <v>2768</v>
      </c>
      <c r="H75" s="38" t="s">
        <v>2713</v>
      </c>
      <c r="I75" s="39" t="s">
        <v>2714</v>
      </c>
      <c r="J75" s="39" t="s">
        <v>2730</v>
      </c>
      <c r="K75" s="39" t="s">
        <v>2713</v>
      </c>
      <c r="L75" s="39" t="s">
        <v>2723</v>
      </c>
      <c r="M75" s="39" t="s">
        <v>2713</v>
      </c>
      <c r="N75" s="39" t="s">
        <v>2713</v>
      </c>
      <c r="O75" s="39" t="s">
        <v>2717</v>
      </c>
      <c r="P75" s="39" t="s">
        <v>2715</v>
      </c>
      <c r="Q75" s="3" t="str">
        <f t="shared" si="19"/>
        <v>H</v>
      </c>
      <c r="R75" s="3" t="str">
        <f t="shared" si="20"/>
        <v>H</v>
      </c>
      <c r="S75" s="3" t="str">
        <f t="shared" si="21"/>
        <v>D</v>
      </c>
      <c r="T75" s="3" t="str">
        <f t="shared" si="22"/>
        <v>H</v>
      </c>
      <c r="U75" s="3" t="str">
        <f t="shared" si="23"/>
        <v>H</v>
      </c>
      <c r="V75" s="3" t="str">
        <f t="shared" si="24"/>
        <v>H</v>
      </c>
      <c r="W75" s="3" t="str">
        <f t="shared" si="25"/>
        <v>H</v>
      </c>
      <c r="X75" s="3" t="str">
        <f t="shared" si="26"/>
        <v>D</v>
      </c>
      <c r="Y75" s="3" t="str">
        <f t="shared" si="27"/>
        <v>H</v>
      </c>
      <c r="Z75" s="3" t="str">
        <f t="shared" si="28"/>
        <v>D</v>
      </c>
      <c r="AA75" s="3" t="str">
        <f t="shared" si="29"/>
        <v>L</v>
      </c>
      <c r="AB75" s="3" t="str">
        <f t="shared" si="30"/>
        <v>W</v>
      </c>
      <c r="AC75" s="3" t="str">
        <f t="shared" si="31"/>
        <v>D</v>
      </c>
      <c r="AD75" s="3" t="str">
        <f t="shared" si="32"/>
        <v>W</v>
      </c>
      <c r="AE75" s="3" t="str">
        <f t="shared" si="33"/>
        <v>W</v>
      </c>
      <c r="AF75" s="3" t="str">
        <f t="shared" si="34"/>
        <v>L</v>
      </c>
      <c r="AG75" s="3" t="str">
        <f t="shared" si="35"/>
        <v>D</v>
      </c>
    </row>
    <row r="76" spans="1:33" x14ac:dyDescent="0.25">
      <c r="A76" s="28" t="s">
        <v>71</v>
      </c>
      <c r="B76" s="19" t="s">
        <v>72</v>
      </c>
      <c r="C76" s="36">
        <v>46202</v>
      </c>
      <c r="D76" s="37">
        <v>0.89583333333333337</v>
      </c>
      <c r="E76" s="19"/>
      <c r="F76" s="19"/>
      <c r="G76" s="19" t="s">
        <v>2768</v>
      </c>
      <c r="H76" s="38" t="s">
        <v>2717</v>
      </c>
      <c r="I76" s="39" t="s">
        <v>2734</v>
      </c>
      <c r="J76" s="39" t="s">
        <v>2738</v>
      </c>
      <c r="K76" s="39" t="s">
        <v>2734</v>
      </c>
      <c r="L76" s="39" t="s">
        <v>2734</v>
      </c>
      <c r="M76" s="39" t="s">
        <v>2712</v>
      </c>
      <c r="N76" s="39" t="s">
        <v>2712</v>
      </c>
      <c r="O76" s="39" t="s">
        <v>2734</v>
      </c>
      <c r="P76" s="39" t="s">
        <v>2712</v>
      </c>
      <c r="Q76" s="3" t="str">
        <f t="shared" si="19"/>
        <v>D</v>
      </c>
      <c r="R76" s="3" t="str">
        <f t="shared" si="20"/>
        <v>H</v>
      </c>
      <c r="S76" s="3" t="str">
        <f t="shared" si="21"/>
        <v>H</v>
      </c>
      <c r="T76" s="3" t="str">
        <f t="shared" si="22"/>
        <v>H</v>
      </c>
      <c r="U76" s="3" t="str">
        <f t="shared" si="23"/>
        <v>H</v>
      </c>
      <c r="V76" s="3" t="str">
        <f t="shared" si="24"/>
        <v>H</v>
      </c>
      <c r="W76" s="3" t="str">
        <f t="shared" si="25"/>
        <v>H</v>
      </c>
      <c r="X76" s="3" t="str">
        <f t="shared" si="26"/>
        <v>H</v>
      </c>
      <c r="Y76" s="3" t="str">
        <f t="shared" si="27"/>
        <v>H</v>
      </c>
      <c r="Z76" s="3" t="str">
        <f t="shared" si="28"/>
        <v>L</v>
      </c>
      <c r="AA76" s="3" t="str">
        <f t="shared" si="29"/>
        <v>L</v>
      </c>
      <c r="AB76" s="3" t="str">
        <f t="shared" si="30"/>
        <v>L</v>
      </c>
      <c r="AC76" s="3" t="str">
        <f t="shared" si="31"/>
        <v>L</v>
      </c>
      <c r="AD76" s="3" t="str">
        <f t="shared" si="32"/>
        <v>L</v>
      </c>
      <c r="AE76" s="3" t="str">
        <f t="shared" si="33"/>
        <v>L</v>
      </c>
      <c r="AF76" s="3" t="str">
        <f t="shared" si="34"/>
        <v>L</v>
      </c>
      <c r="AG76" s="3" t="str">
        <f t="shared" si="35"/>
        <v>L</v>
      </c>
    </row>
    <row r="77" spans="1:33" x14ac:dyDescent="0.25">
      <c r="A77" s="28" t="s">
        <v>67</v>
      </c>
      <c r="B77" s="19" t="s">
        <v>68</v>
      </c>
      <c r="C77" s="36">
        <v>46203</v>
      </c>
      <c r="D77" s="37">
        <v>8.3333333333333329E-2</v>
      </c>
      <c r="E77" s="19"/>
      <c r="F77" s="19"/>
      <c r="G77" s="19" t="s">
        <v>2768</v>
      </c>
      <c r="H77" s="38" t="s">
        <v>2717</v>
      </c>
      <c r="I77" s="39" t="s">
        <v>2713</v>
      </c>
      <c r="J77" s="39" t="s">
        <v>2714</v>
      </c>
      <c r="K77" s="39" t="s">
        <v>2713</v>
      </c>
      <c r="L77" s="39" t="s">
        <v>2730</v>
      </c>
      <c r="M77" s="39" t="s">
        <v>2717</v>
      </c>
      <c r="N77" s="39" t="s">
        <v>2717</v>
      </c>
      <c r="O77" s="39" t="s">
        <v>2717</v>
      </c>
      <c r="P77" s="39" t="s">
        <v>2717</v>
      </c>
      <c r="Q77" s="3" t="str">
        <f t="shared" si="19"/>
        <v>D</v>
      </c>
      <c r="R77" s="3" t="str">
        <f t="shared" si="20"/>
        <v>H</v>
      </c>
      <c r="S77" s="3" t="str">
        <f t="shared" si="21"/>
        <v>H</v>
      </c>
      <c r="T77" s="3" t="str">
        <f t="shared" si="22"/>
        <v>H</v>
      </c>
      <c r="U77" s="3" t="str">
        <f t="shared" si="23"/>
        <v>D</v>
      </c>
      <c r="V77" s="3" t="str">
        <f t="shared" si="24"/>
        <v>D</v>
      </c>
      <c r="W77" s="3" t="str">
        <f t="shared" si="25"/>
        <v>D</v>
      </c>
      <c r="X77" s="3" t="str">
        <f t="shared" si="26"/>
        <v>D</v>
      </c>
      <c r="Y77" s="3" t="str">
        <f t="shared" si="27"/>
        <v>D</v>
      </c>
      <c r="Z77" s="3" t="str">
        <f t="shared" si="28"/>
        <v>L</v>
      </c>
      <c r="AA77" s="3" t="str">
        <f t="shared" si="29"/>
        <v>L</v>
      </c>
      <c r="AB77" s="3" t="str">
        <f t="shared" si="30"/>
        <v>L</v>
      </c>
      <c r="AC77" s="3" t="str">
        <f t="shared" si="31"/>
        <v>D</v>
      </c>
      <c r="AD77" s="3" t="str">
        <f t="shared" si="32"/>
        <v>W</v>
      </c>
      <c r="AE77" s="3" t="str">
        <f t="shared" si="33"/>
        <v>W</v>
      </c>
      <c r="AF77" s="3" t="str">
        <f t="shared" si="34"/>
        <v>W</v>
      </c>
      <c r="AG77" s="3" t="str">
        <f t="shared" si="35"/>
        <v>W</v>
      </c>
    </row>
    <row r="78" spans="1:33" x14ac:dyDescent="0.25">
      <c r="A78" s="28" t="s">
        <v>63</v>
      </c>
      <c r="B78" s="19" t="s">
        <v>2769</v>
      </c>
      <c r="C78" s="36">
        <v>46203</v>
      </c>
      <c r="D78" s="37">
        <v>0.75</v>
      </c>
      <c r="E78" s="19"/>
      <c r="F78" s="19"/>
      <c r="G78" s="19" t="s">
        <v>2768</v>
      </c>
      <c r="H78" s="38" t="s">
        <v>2727</v>
      </c>
      <c r="I78" s="39" t="s">
        <v>2717</v>
      </c>
      <c r="J78" s="39" t="s">
        <v>2727</v>
      </c>
      <c r="K78" s="39" t="s">
        <v>2727</v>
      </c>
      <c r="L78" s="39" t="s">
        <v>2770</v>
      </c>
      <c r="M78" s="39" t="s">
        <v>2730</v>
      </c>
      <c r="N78" s="39" t="s">
        <v>2717</v>
      </c>
      <c r="O78" s="39" t="s">
        <v>2717</v>
      </c>
      <c r="P78" s="39" t="s">
        <v>2717</v>
      </c>
      <c r="Q78" s="3" t="str">
        <f t="shared" si="19"/>
        <v>A</v>
      </c>
      <c r="R78" s="3" t="str">
        <f t="shared" si="20"/>
        <v>D</v>
      </c>
      <c r="S78" s="3" t="str">
        <f t="shared" si="21"/>
        <v>A</v>
      </c>
      <c r="T78" s="3" t="str">
        <f t="shared" si="22"/>
        <v>A</v>
      </c>
      <c r="U78" s="3" t="str">
        <f t="shared" si="23"/>
        <v>A</v>
      </c>
      <c r="V78" s="3" t="str">
        <f t="shared" si="24"/>
        <v>D</v>
      </c>
      <c r="W78" s="3" t="str">
        <f t="shared" si="25"/>
        <v>D</v>
      </c>
      <c r="X78" s="3" t="str">
        <f t="shared" si="26"/>
        <v>D</v>
      </c>
      <c r="Y78" s="3" t="str">
        <f t="shared" si="27"/>
        <v>D</v>
      </c>
      <c r="Z78" s="3" t="str">
        <f t="shared" si="28"/>
        <v>L</v>
      </c>
      <c r="AA78" s="3" t="str">
        <f t="shared" si="29"/>
        <v>W</v>
      </c>
      <c r="AB78" s="3" t="str">
        <f t="shared" si="30"/>
        <v>W</v>
      </c>
      <c r="AC78" s="3" t="str">
        <f t="shared" si="31"/>
        <v>D</v>
      </c>
      <c r="AD78" s="3" t="str">
        <f t="shared" si="32"/>
        <v>L</v>
      </c>
      <c r="AE78" s="3" t="str">
        <f t="shared" si="33"/>
        <v>L</v>
      </c>
      <c r="AF78" s="3" t="str">
        <f t="shared" si="34"/>
        <v>L</v>
      </c>
      <c r="AG78" s="3" t="str">
        <f t="shared" si="35"/>
        <v>L</v>
      </c>
    </row>
    <row r="79" spans="1:33" x14ac:dyDescent="0.25">
      <c r="A79" s="28" t="s">
        <v>59</v>
      </c>
      <c r="B79" s="19" t="s">
        <v>60</v>
      </c>
      <c r="C79" s="36">
        <v>46203</v>
      </c>
      <c r="D79" s="37">
        <v>0.91666666666666663</v>
      </c>
      <c r="E79" s="19"/>
      <c r="F79" s="19"/>
      <c r="G79" s="19" t="s">
        <v>2768</v>
      </c>
      <c r="H79" s="38" t="s">
        <v>2734</v>
      </c>
      <c r="I79" s="39" t="s">
        <v>2714</v>
      </c>
      <c r="J79" s="39" t="s">
        <v>2722</v>
      </c>
      <c r="K79" s="39" t="s">
        <v>2734</v>
      </c>
      <c r="L79" s="39" t="s">
        <v>2714</v>
      </c>
      <c r="M79" s="39" t="s">
        <v>2722</v>
      </c>
      <c r="N79" s="39" t="s">
        <v>2734</v>
      </c>
      <c r="O79" s="39" t="s">
        <v>2734</v>
      </c>
      <c r="P79" s="39" t="s">
        <v>2712</v>
      </c>
      <c r="Q79" s="3" t="str">
        <f t="shared" si="19"/>
        <v>H</v>
      </c>
      <c r="R79" s="3" t="str">
        <f t="shared" si="20"/>
        <v>H</v>
      </c>
      <c r="S79" s="3" t="str">
        <f t="shared" si="21"/>
        <v>H</v>
      </c>
      <c r="T79" s="3" t="str">
        <f t="shared" si="22"/>
        <v>H</v>
      </c>
      <c r="U79" s="3" t="str">
        <f t="shared" si="23"/>
        <v>H</v>
      </c>
      <c r="V79" s="3" t="str">
        <f t="shared" si="24"/>
        <v>H</v>
      </c>
      <c r="W79" s="3" t="str">
        <f t="shared" si="25"/>
        <v>H</v>
      </c>
      <c r="X79" s="3" t="str">
        <f t="shared" si="26"/>
        <v>H</v>
      </c>
      <c r="Y79" s="3" t="str">
        <f t="shared" si="27"/>
        <v>H</v>
      </c>
      <c r="Z79" s="3" t="str">
        <f t="shared" si="28"/>
        <v>D</v>
      </c>
      <c r="AA79" s="3" t="str">
        <f t="shared" si="29"/>
        <v>D</v>
      </c>
      <c r="AB79" s="3" t="str">
        <f t="shared" si="30"/>
        <v>W</v>
      </c>
      <c r="AC79" s="3" t="str">
        <f t="shared" si="31"/>
        <v>D</v>
      </c>
      <c r="AD79" s="3" t="str">
        <f t="shared" si="32"/>
        <v>D</v>
      </c>
      <c r="AE79" s="3" t="str">
        <f t="shared" si="33"/>
        <v>W</v>
      </c>
      <c r="AF79" s="3" t="str">
        <f t="shared" si="34"/>
        <v>W</v>
      </c>
      <c r="AG79" s="3" t="str">
        <f t="shared" si="35"/>
        <v>D</v>
      </c>
    </row>
    <row r="80" spans="1:33" x14ac:dyDescent="0.25">
      <c r="A80" s="28" t="s">
        <v>58</v>
      </c>
      <c r="B80" s="19" t="s">
        <v>2771</v>
      </c>
      <c r="C80" s="36">
        <v>46204</v>
      </c>
      <c r="D80" s="37">
        <v>8.3333333333333329E-2</v>
      </c>
      <c r="E80" s="19"/>
      <c r="F80" s="19"/>
      <c r="G80" s="19" t="s">
        <v>2768</v>
      </c>
      <c r="H80" s="38" t="s">
        <v>2712</v>
      </c>
      <c r="I80" s="39" t="s">
        <v>2713</v>
      </c>
      <c r="J80" s="39" t="s">
        <v>2712</v>
      </c>
      <c r="K80" s="39" t="s">
        <v>2713</v>
      </c>
      <c r="L80" s="39" t="s">
        <v>2712</v>
      </c>
      <c r="M80" s="39" t="s">
        <v>2717</v>
      </c>
      <c r="N80" s="39" t="s">
        <v>2715</v>
      </c>
      <c r="O80" s="39" t="s">
        <v>2713</v>
      </c>
      <c r="P80" s="39" t="s">
        <v>2715</v>
      </c>
      <c r="Q80" s="3" t="str">
        <f t="shared" si="19"/>
        <v>H</v>
      </c>
      <c r="R80" s="3" t="str">
        <f t="shared" si="20"/>
        <v>H</v>
      </c>
      <c r="S80" s="3" t="str">
        <f t="shared" si="21"/>
        <v>H</v>
      </c>
      <c r="T80" s="3" t="str">
        <f t="shared" si="22"/>
        <v>H</v>
      </c>
      <c r="U80" s="3" t="str">
        <f t="shared" si="23"/>
        <v>H</v>
      </c>
      <c r="V80" s="3" t="str">
        <f t="shared" si="24"/>
        <v>D</v>
      </c>
      <c r="W80" s="3" t="str">
        <f t="shared" si="25"/>
        <v>H</v>
      </c>
      <c r="X80" s="3" t="str">
        <f t="shared" si="26"/>
        <v>H</v>
      </c>
      <c r="Y80" s="3" t="str">
        <f t="shared" si="27"/>
        <v>H</v>
      </c>
      <c r="Z80" s="3" t="str">
        <f t="shared" si="28"/>
        <v>D</v>
      </c>
      <c r="AA80" s="3" t="str">
        <f t="shared" si="29"/>
        <v>W</v>
      </c>
      <c r="AB80" s="3" t="str">
        <f t="shared" si="30"/>
        <v>D</v>
      </c>
      <c r="AC80" s="3" t="str">
        <f t="shared" si="31"/>
        <v>W</v>
      </c>
      <c r="AD80" s="3" t="str">
        <f t="shared" si="32"/>
        <v>L</v>
      </c>
      <c r="AE80" s="3" t="str">
        <f t="shared" si="33"/>
        <v>D</v>
      </c>
      <c r="AF80" s="3" t="str">
        <f t="shared" si="34"/>
        <v>D</v>
      </c>
      <c r="AG80" s="3" t="str">
        <f t="shared" si="35"/>
        <v>D</v>
      </c>
    </row>
    <row r="81" spans="1:33" x14ac:dyDescent="0.25">
      <c r="A81" s="28" t="s">
        <v>57</v>
      </c>
      <c r="B81" s="19" t="s">
        <v>2772</v>
      </c>
      <c r="C81" s="36">
        <v>46204</v>
      </c>
      <c r="D81" s="37">
        <v>0.70833333333333337</v>
      </c>
      <c r="E81" s="19"/>
      <c r="F81" s="19"/>
      <c r="G81" s="19" t="s">
        <v>2768</v>
      </c>
      <c r="H81" s="38" t="s">
        <v>2713</v>
      </c>
      <c r="I81" s="39" t="s">
        <v>2714</v>
      </c>
      <c r="J81" s="39" t="s">
        <v>2734</v>
      </c>
      <c r="K81" s="39" t="s">
        <v>2713</v>
      </c>
      <c r="L81" s="39" t="s">
        <v>2717</v>
      </c>
      <c r="M81" s="39" t="s">
        <v>2712</v>
      </c>
      <c r="N81" s="39" t="s">
        <v>2715</v>
      </c>
      <c r="O81" s="39" t="s">
        <v>2712</v>
      </c>
      <c r="P81" s="39" t="s">
        <v>2712</v>
      </c>
      <c r="Q81" s="3" t="str">
        <f t="shared" si="19"/>
        <v>H</v>
      </c>
      <c r="R81" s="3" t="str">
        <f t="shared" si="20"/>
        <v>H</v>
      </c>
      <c r="S81" s="3" t="str">
        <f t="shared" si="21"/>
        <v>H</v>
      </c>
      <c r="T81" s="3" t="str">
        <f t="shared" si="22"/>
        <v>H</v>
      </c>
      <c r="U81" s="3" t="str">
        <f t="shared" si="23"/>
        <v>D</v>
      </c>
      <c r="V81" s="3" t="str">
        <f t="shared" si="24"/>
        <v>H</v>
      </c>
      <c r="W81" s="3" t="str">
        <f t="shared" si="25"/>
        <v>H</v>
      </c>
      <c r="X81" s="3" t="str">
        <f t="shared" si="26"/>
        <v>H</v>
      </c>
      <c r="Y81" s="3" t="str">
        <f t="shared" si="27"/>
        <v>H</v>
      </c>
      <c r="Z81" s="3" t="str">
        <f t="shared" si="28"/>
        <v>D</v>
      </c>
      <c r="AA81" s="3" t="str">
        <f t="shared" si="29"/>
        <v>D</v>
      </c>
      <c r="AB81" s="3" t="str">
        <f t="shared" si="30"/>
        <v>W</v>
      </c>
      <c r="AC81" s="3" t="str">
        <f t="shared" si="31"/>
        <v>L</v>
      </c>
      <c r="AD81" s="3" t="str">
        <f t="shared" si="32"/>
        <v>D</v>
      </c>
      <c r="AE81" s="3" t="str">
        <f t="shared" si="33"/>
        <v>D</v>
      </c>
      <c r="AF81" s="3" t="str">
        <f t="shared" si="34"/>
        <v>D</v>
      </c>
      <c r="AG81" s="3" t="str">
        <f t="shared" si="35"/>
        <v>D</v>
      </c>
    </row>
    <row r="82" spans="1:33" x14ac:dyDescent="0.25">
      <c r="A82" s="28" t="s">
        <v>56</v>
      </c>
      <c r="B82" s="19" t="s">
        <v>2773</v>
      </c>
      <c r="C82" s="36">
        <v>46204</v>
      </c>
      <c r="D82" s="37">
        <v>0.875</v>
      </c>
      <c r="E82" s="19"/>
      <c r="F82" s="19"/>
      <c r="G82" s="19" t="s">
        <v>2768</v>
      </c>
      <c r="H82" s="38" t="s">
        <v>2730</v>
      </c>
      <c r="I82" s="39" t="s">
        <v>2730</v>
      </c>
      <c r="J82" s="39" t="s">
        <v>2715</v>
      </c>
      <c r="K82" s="39" t="s">
        <v>2713</v>
      </c>
      <c r="L82" s="39" t="s">
        <v>2713</v>
      </c>
      <c r="M82" s="39" t="s">
        <v>2717</v>
      </c>
      <c r="N82" s="39" t="s">
        <v>2713</v>
      </c>
      <c r="O82" s="39" t="s">
        <v>2717</v>
      </c>
      <c r="P82" s="39" t="s">
        <v>2717</v>
      </c>
      <c r="Q82" s="3" t="str">
        <f t="shared" si="19"/>
        <v>D</v>
      </c>
      <c r="R82" s="3" t="str">
        <f t="shared" si="20"/>
        <v>D</v>
      </c>
      <c r="S82" s="3" t="str">
        <f t="shared" si="21"/>
        <v>H</v>
      </c>
      <c r="T82" s="3" t="str">
        <f t="shared" si="22"/>
        <v>H</v>
      </c>
      <c r="U82" s="3" t="str">
        <f t="shared" si="23"/>
        <v>H</v>
      </c>
      <c r="V82" s="3" t="str">
        <f t="shared" si="24"/>
        <v>D</v>
      </c>
      <c r="W82" s="3" t="str">
        <f t="shared" si="25"/>
        <v>H</v>
      </c>
      <c r="X82" s="3" t="str">
        <f t="shared" si="26"/>
        <v>D</v>
      </c>
      <c r="Y82" s="3" t="str">
        <f t="shared" si="27"/>
        <v>D</v>
      </c>
      <c r="Z82" s="3" t="str">
        <f t="shared" si="28"/>
        <v>W</v>
      </c>
      <c r="AA82" s="3" t="str">
        <f t="shared" si="29"/>
        <v>L</v>
      </c>
      <c r="AB82" s="3" t="str">
        <f t="shared" si="30"/>
        <v>L</v>
      </c>
      <c r="AC82" s="3" t="str">
        <f t="shared" si="31"/>
        <v>L</v>
      </c>
      <c r="AD82" s="3" t="str">
        <f t="shared" si="32"/>
        <v>D</v>
      </c>
      <c r="AE82" s="3" t="str">
        <f t="shared" si="33"/>
        <v>L</v>
      </c>
      <c r="AF82" s="3" t="str">
        <f t="shared" si="34"/>
        <v>D</v>
      </c>
      <c r="AG82" s="3" t="str">
        <f t="shared" si="35"/>
        <v>D</v>
      </c>
    </row>
    <row r="83" spans="1:33" x14ac:dyDescent="0.25">
      <c r="A83" s="28" t="s">
        <v>52</v>
      </c>
      <c r="B83" s="19" t="s">
        <v>2774</v>
      </c>
      <c r="C83" s="36">
        <v>46205</v>
      </c>
      <c r="D83" s="37">
        <v>4.1666666666666664E-2</v>
      </c>
      <c r="E83" s="19"/>
      <c r="F83" s="19"/>
      <c r="G83" s="19" t="s">
        <v>2768</v>
      </c>
      <c r="H83" s="38" t="s">
        <v>2712</v>
      </c>
      <c r="I83" s="39" t="s">
        <v>2713</v>
      </c>
      <c r="J83" s="39" t="s">
        <v>2714</v>
      </c>
      <c r="K83" s="39" t="s">
        <v>2714</v>
      </c>
      <c r="L83" s="39" t="s">
        <v>2734</v>
      </c>
      <c r="M83" s="39" t="s">
        <v>2734</v>
      </c>
      <c r="N83" s="39" t="s">
        <v>2712</v>
      </c>
      <c r="O83" s="39" t="s">
        <v>2713</v>
      </c>
      <c r="P83" s="39" t="s">
        <v>2712</v>
      </c>
      <c r="Q83" s="3" t="str">
        <f t="shared" si="19"/>
        <v>H</v>
      </c>
      <c r="R83" s="3" t="str">
        <f t="shared" si="20"/>
        <v>H</v>
      </c>
      <c r="S83" s="3" t="str">
        <f t="shared" si="21"/>
        <v>H</v>
      </c>
      <c r="T83" s="3" t="str">
        <f t="shared" si="22"/>
        <v>H</v>
      </c>
      <c r="U83" s="3" t="str">
        <f t="shared" si="23"/>
        <v>H</v>
      </c>
      <c r="V83" s="3" t="str">
        <f t="shared" si="24"/>
        <v>H</v>
      </c>
      <c r="W83" s="3" t="str">
        <f t="shared" si="25"/>
        <v>H</v>
      </c>
      <c r="X83" s="3" t="str">
        <f t="shared" si="26"/>
        <v>H</v>
      </c>
      <c r="Y83" s="3" t="str">
        <f t="shared" si="27"/>
        <v>H</v>
      </c>
      <c r="Z83" s="3" t="str">
        <f t="shared" si="28"/>
        <v>D</v>
      </c>
      <c r="AA83" s="3" t="str">
        <f t="shared" si="29"/>
        <v>D</v>
      </c>
      <c r="AB83" s="3" t="str">
        <f t="shared" si="30"/>
        <v>D</v>
      </c>
      <c r="AC83" s="3" t="str">
        <f t="shared" si="31"/>
        <v>D</v>
      </c>
      <c r="AD83" s="3" t="str">
        <f t="shared" si="32"/>
        <v>D</v>
      </c>
      <c r="AE83" s="3" t="str">
        <f t="shared" si="33"/>
        <v>W</v>
      </c>
      <c r="AF83" s="3" t="str">
        <f t="shared" si="34"/>
        <v>D</v>
      </c>
      <c r="AG83" s="3" t="str">
        <f t="shared" si="35"/>
        <v>W</v>
      </c>
    </row>
    <row r="84" spans="1:33" x14ac:dyDescent="0.25">
      <c r="A84" s="28" t="s">
        <v>51</v>
      </c>
      <c r="B84" s="19" t="s">
        <v>2775</v>
      </c>
      <c r="C84" s="36">
        <v>46205</v>
      </c>
      <c r="D84" s="37">
        <v>0.83333333333333337</v>
      </c>
      <c r="E84" s="19"/>
      <c r="F84" s="19"/>
      <c r="G84" s="19" t="s">
        <v>2768</v>
      </c>
      <c r="H84" s="38"/>
      <c r="I84" s="39" t="s">
        <v>2712</v>
      </c>
      <c r="J84" s="39" t="s">
        <v>2738</v>
      </c>
      <c r="K84" s="39" t="s">
        <v>2712</v>
      </c>
      <c r="L84" s="39" t="s">
        <v>2734</v>
      </c>
      <c r="M84" s="39" t="s">
        <v>2734</v>
      </c>
      <c r="N84" s="39" t="s">
        <v>2712</v>
      </c>
      <c r="O84" s="39" t="s">
        <v>2712</v>
      </c>
      <c r="P84" s="39" t="s">
        <v>2712</v>
      </c>
      <c r="Q84" s="3" t="e">
        <f t="shared" si="19"/>
        <v>#VALUE!</v>
      </c>
      <c r="R84" s="3" t="str">
        <f t="shared" si="20"/>
        <v>H</v>
      </c>
      <c r="S84" s="3" t="str">
        <f t="shared" si="21"/>
        <v>H</v>
      </c>
      <c r="T84" s="3" t="str">
        <f t="shared" si="22"/>
        <v>H</v>
      </c>
      <c r="U84" s="3" t="str">
        <f t="shared" si="23"/>
        <v>H</v>
      </c>
      <c r="V84" s="3" t="str">
        <f t="shared" si="24"/>
        <v>H</v>
      </c>
      <c r="W84" s="3" t="str">
        <f t="shared" si="25"/>
        <v>H</v>
      </c>
      <c r="X84" s="3" t="str">
        <f t="shared" si="26"/>
        <v>H</v>
      </c>
      <c r="Y84" s="3" t="str">
        <f t="shared" si="27"/>
        <v>H</v>
      </c>
      <c r="Z84" s="3" t="e">
        <f t="shared" si="28"/>
        <v>#VALUE!</v>
      </c>
      <c r="AA84" s="3" t="e">
        <f t="shared" si="29"/>
        <v>#VALUE!</v>
      </c>
      <c r="AB84" s="3" t="e">
        <f t="shared" si="30"/>
        <v>#VALUE!</v>
      </c>
      <c r="AC84" s="3" t="e">
        <f t="shared" si="31"/>
        <v>#VALUE!</v>
      </c>
      <c r="AD84" s="3" t="e">
        <f t="shared" si="32"/>
        <v>#VALUE!</v>
      </c>
      <c r="AE84" s="3" t="e">
        <f t="shared" si="33"/>
        <v>#VALUE!</v>
      </c>
      <c r="AF84" s="3" t="e">
        <f t="shared" si="34"/>
        <v>#VALUE!</v>
      </c>
      <c r="AG84" s="3" t="e">
        <f t="shared" si="35"/>
        <v>#VALUE!</v>
      </c>
    </row>
    <row r="85" spans="1:33" x14ac:dyDescent="0.25">
      <c r="A85" s="28" t="s">
        <v>49</v>
      </c>
      <c r="B85" s="19" t="s">
        <v>2776</v>
      </c>
      <c r="C85" s="36">
        <v>46205</v>
      </c>
      <c r="D85" s="37">
        <v>0</v>
      </c>
      <c r="E85" s="19"/>
      <c r="F85" s="19"/>
      <c r="G85" s="19" t="s">
        <v>2768</v>
      </c>
      <c r="H85" s="38"/>
      <c r="I85" s="39" t="s">
        <v>2717</v>
      </c>
      <c r="J85" s="39" t="s">
        <v>2727</v>
      </c>
      <c r="K85" s="39" t="s">
        <v>2717</v>
      </c>
      <c r="L85" s="39" t="s">
        <v>2727</v>
      </c>
      <c r="M85" s="39" t="s">
        <v>2717</v>
      </c>
      <c r="N85" s="39" t="s">
        <v>2717</v>
      </c>
      <c r="O85" s="39" t="s">
        <v>2717</v>
      </c>
      <c r="P85" s="39" t="s">
        <v>2715</v>
      </c>
      <c r="Q85" s="3" t="e">
        <f t="shared" si="19"/>
        <v>#VALUE!</v>
      </c>
      <c r="R85" s="3" t="str">
        <f t="shared" si="20"/>
        <v>D</v>
      </c>
      <c r="S85" s="3" t="str">
        <f t="shared" si="21"/>
        <v>A</v>
      </c>
      <c r="T85" s="3" t="str">
        <f t="shared" si="22"/>
        <v>D</v>
      </c>
      <c r="U85" s="3" t="str">
        <f t="shared" si="23"/>
        <v>A</v>
      </c>
      <c r="V85" s="3" t="str">
        <f t="shared" si="24"/>
        <v>D</v>
      </c>
      <c r="W85" s="3" t="str">
        <f t="shared" si="25"/>
        <v>D</v>
      </c>
      <c r="X85" s="3" t="str">
        <f t="shared" si="26"/>
        <v>D</v>
      </c>
      <c r="Y85" s="3" t="str">
        <f t="shared" si="27"/>
        <v>H</v>
      </c>
      <c r="Z85" s="3" t="e">
        <f t="shared" si="28"/>
        <v>#VALUE!</v>
      </c>
      <c r="AA85" s="3" t="e">
        <f t="shared" si="29"/>
        <v>#VALUE!</v>
      </c>
      <c r="AB85" s="3" t="e">
        <f t="shared" si="30"/>
        <v>#VALUE!</v>
      </c>
      <c r="AC85" s="3" t="e">
        <f t="shared" si="31"/>
        <v>#VALUE!</v>
      </c>
      <c r="AD85" s="3" t="e">
        <f t="shared" si="32"/>
        <v>#VALUE!</v>
      </c>
      <c r="AE85" s="3" t="e">
        <f t="shared" si="33"/>
        <v>#VALUE!</v>
      </c>
      <c r="AF85" s="3" t="e">
        <f t="shared" si="34"/>
        <v>#VALUE!</v>
      </c>
      <c r="AG85" s="3" t="e">
        <f t="shared" si="35"/>
        <v>#VALUE!</v>
      </c>
    </row>
    <row r="86" spans="1:33" x14ac:dyDescent="0.25">
      <c r="A86" s="28" t="s">
        <v>47</v>
      </c>
      <c r="B86" s="19" t="s">
        <v>2777</v>
      </c>
      <c r="C86" s="36">
        <v>46206</v>
      </c>
      <c r="D86" s="37">
        <v>0.16666666666666666</v>
      </c>
      <c r="E86" s="19"/>
      <c r="F86" s="19"/>
      <c r="G86" s="19" t="s">
        <v>2768</v>
      </c>
      <c r="H86" s="38"/>
      <c r="I86" s="39" t="s">
        <v>2713</v>
      </c>
      <c r="J86" s="39" t="s">
        <v>2712</v>
      </c>
      <c r="K86" s="39" t="s">
        <v>2727</v>
      </c>
      <c r="L86" s="39" t="s">
        <v>2714</v>
      </c>
      <c r="M86" s="39" t="s">
        <v>2715</v>
      </c>
      <c r="N86" s="39" t="s">
        <v>2715</v>
      </c>
      <c r="O86" s="39" t="s">
        <v>2715</v>
      </c>
      <c r="P86" s="39" t="s">
        <v>2717</v>
      </c>
      <c r="Q86" s="3" t="e">
        <f t="shared" si="19"/>
        <v>#VALUE!</v>
      </c>
      <c r="R86" s="3" t="str">
        <f t="shared" si="20"/>
        <v>H</v>
      </c>
      <c r="S86" s="3" t="str">
        <f t="shared" si="21"/>
        <v>H</v>
      </c>
      <c r="T86" s="3" t="str">
        <f t="shared" si="22"/>
        <v>A</v>
      </c>
      <c r="U86" s="3" t="str">
        <f t="shared" si="23"/>
        <v>H</v>
      </c>
      <c r="V86" s="3" t="str">
        <f t="shared" si="24"/>
        <v>H</v>
      </c>
      <c r="W86" s="3" t="str">
        <f t="shared" si="25"/>
        <v>H</v>
      </c>
      <c r="X86" s="3" t="str">
        <f t="shared" si="26"/>
        <v>H</v>
      </c>
      <c r="Y86" s="3" t="str">
        <f t="shared" si="27"/>
        <v>D</v>
      </c>
      <c r="Z86" s="3" t="e">
        <f t="shared" si="28"/>
        <v>#VALUE!</v>
      </c>
      <c r="AA86" s="3" t="e">
        <f t="shared" si="29"/>
        <v>#VALUE!</v>
      </c>
      <c r="AB86" s="3" t="e">
        <f t="shared" si="30"/>
        <v>#VALUE!</v>
      </c>
      <c r="AC86" s="3" t="e">
        <f t="shared" si="31"/>
        <v>#VALUE!</v>
      </c>
      <c r="AD86" s="3" t="e">
        <f t="shared" si="32"/>
        <v>#VALUE!</v>
      </c>
      <c r="AE86" s="3" t="e">
        <f t="shared" si="33"/>
        <v>#VALUE!</v>
      </c>
      <c r="AF86" s="3" t="e">
        <f t="shared" si="34"/>
        <v>#VALUE!</v>
      </c>
      <c r="AG86" s="3" t="e">
        <f t="shared" si="35"/>
        <v>#VALUE!</v>
      </c>
    </row>
    <row r="87" spans="1:33" x14ac:dyDescent="0.25">
      <c r="A87" s="28" t="s">
        <v>42</v>
      </c>
      <c r="B87" s="19" t="s">
        <v>43</v>
      </c>
      <c r="C87" s="36">
        <v>46206</v>
      </c>
      <c r="D87" s="37">
        <v>0.79166666666666663</v>
      </c>
      <c r="E87" s="19"/>
      <c r="F87" s="19"/>
      <c r="G87" s="19" t="s">
        <v>2768</v>
      </c>
      <c r="H87" s="38"/>
      <c r="I87" s="39" t="s">
        <v>2717</v>
      </c>
      <c r="J87" s="39" t="s">
        <v>2715</v>
      </c>
      <c r="K87" s="39" t="s">
        <v>2715</v>
      </c>
      <c r="L87" s="39" t="s">
        <v>2730</v>
      </c>
      <c r="M87" s="39" t="s">
        <v>2740</v>
      </c>
      <c r="N87" s="39" t="s">
        <v>2717</v>
      </c>
      <c r="O87" s="39" t="s">
        <v>2727</v>
      </c>
      <c r="P87" s="39" t="s">
        <v>2740</v>
      </c>
      <c r="Q87" s="3" t="e">
        <f t="shared" si="19"/>
        <v>#VALUE!</v>
      </c>
      <c r="R87" s="3" t="str">
        <f t="shared" si="20"/>
        <v>D</v>
      </c>
      <c r="S87" s="3" t="str">
        <f t="shared" si="21"/>
        <v>H</v>
      </c>
      <c r="T87" s="3" t="str">
        <f t="shared" si="22"/>
        <v>H</v>
      </c>
      <c r="U87" s="3" t="str">
        <f t="shared" si="23"/>
        <v>D</v>
      </c>
      <c r="V87" s="3" t="str">
        <f t="shared" si="24"/>
        <v>D</v>
      </c>
      <c r="W87" s="3" t="str">
        <f t="shared" si="25"/>
        <v>D</v>
      </c>
      <c r="X87" s="3" t="str">
        <f t="shared" si="26"/>
        <v>A</v>
      </c>
      <c r="Y87" s="3" t="str">
        <f t="shared" si="27"/>
        <v>D</v>
      </c>
      <c r="Z87" s="3" t="e">
        <f t="shared" si="28"/>
        <v>#VALUE!</v>
      </c>
      <c r="AA87" s="3" t="e">
        <f t="shared" si="29"/>
        <v>#VALUE!</v>
      </c>
      <c r="AB87" s="3" t="e">
        <f t="shared" si="30"/>
        <v>#VALUE!</v>
      </c>
      <c r="AC87" s="3" t="e">
        <f t="shared" si="31"/>
        <v>#VALUE!</v>
      </c>
      <c r="AD87" s="3" t="e">
        <f t="shared" si="32"/>
        <v>#VALUE!</v>
      </c>
      <c r="AE87" s="3" t="e">
        <f t="shared" si="33"/>
        <v>#VALUE!</v>
      </c>
      <c r="AF87" s="3" t="e">
        <f t="shared" si="34"/>
        <v>#VALUE!</v>
      </c>
      <c r="AG87" s="3" t="e">
        <f t="shared" si="35"/>
        <v>#VALUE!</v>
      </c>
    </row>
    <row r="88" spans="1:33" x14ac:dyDescent="0.25">
      <c r="A88" s="28" t="s">
        <v>37</v>
      </c>
      <c r="B88" s="19" t="s">
        <v>38</v>
      </c>
      <c r="C88" s="36">
        <v>46206</v>
      </c>
      <c r="D88" s="37">
        <v>0.95833333333333337</v>
      </c>
      <c r="E88" s="19"/>
      <c r="F88" s="19"/>
      <c r="G88" s="19" t="s">
        <v>2768</v>
      </c>
      <c r="H88" s="38"/>
      <c r="I88" s="39" t="s">
        <v>2738</v>
      </c>
      <c r="J88" s="39" t="s">
        <v>2734</v>
      </c>
      <c r="K88" s="39" t="s">
        <v>2734</v>
      </c>
      <c r="L88" s="39" t="s">
        <v>2736</v>
      </c>
      <c r="M88" s="39" t="s">
        <v>2713</v>
      </c>
      <c r="N88" s="39" t="s">
        <v>2734</v>
      </c>
      <c r="O88" s="39" t="s">
        <v>2712</v>
      </c>
      <c r="P88" s="39" t="s">
        <v>2712</v>
      </c>
      <c r="Q88" s="3" t="e">
        <f t="shared" si="19"/>
        <v>#VALUE!</v>
      </c>
      <c r="R88" s="3" t="str">
        <f t="shared" si="20"/>
        <v>H</v>
      </c>
      <c r="S88" s="3" t="str">
        <f t="shared" si="21"/>
        <v>H</v>
      </c>
      <c r="T88" s="3" t="str">
        <f t="shared" si="22"/>
        <v>H</v>
      </c>
      <c r="U88" s="3" t="str">
        <f t="shared" si="23"/>
        <v>H</v>
      </c>
      <c r="V88" s="3" t="str">
        <f t="shared" si="24"/>
        <v>H</v>
      </c>
      <c r="W88" s="3" t="str">
        <f t="shared" si="25"/>
        <v>H</v>
      </c>
      <c r="X88" s="3" t="str">
        <f t="shared" si="26"/>
        <v>H</v>
      </c>
      <c r="Y88" s="3" t="str">
        <f t="shared" si="27"/>
        <v>H</v>
      </c>
      <c r="Z88" s="3" t="e">
        <f t="shared" si="28"/>
        <v>#VALUE!</v>
      </c>
      <c r="AA88" s="3" t="e">
        <f t="shared" si="29"/>
        <v>#VALUE!</v>
      </c>
      <c r="AB88" s="3" t="e">
        <f t="shared" si="30"/>
        <v>#VALUE!</v>
      </c>
      <c r="AC88" s="3" t="e">
        <f t="shared" si="31"/>
        <v>#VALUE!</v>
      </c>
      <c r="AD88" s="3" t="e">
        <f t="shared" si="32"/>
        <v>#VALUE!</v>
      </c>
      <c r="AE88" s="3" t="e">
        <f t="shared" si="33"/>
        <v>#VALUE!</v>
      </c>
      <c r="AF88" s="3" t="e">
        <f t="shared" si="34"/>
        <v>#VALUE!</v>
      </c>
      <c r="AG88" s="3" t="e">
        <f t="shared" si="35"/>
        <v>#VALUE!</v>
      </c>
    </row>
    <row r="89" spans="1:33" x14ac:dyDescent="0.25">
      <c r="A89" s="28" t="s">
        <v>34</v>
      </c>
      <c r="B89" s="19" t="s">
        <v>2778</v>
      </c>
      <c r="C89" s="36">
        <v>46207</v>
      </c>
      <c r="D89" s="37">
        <v>0.10416666666666667</v>
      </c>
      <c r="E89" s="19"/>
      <c r="F89" s="19"/>
      <c r="G89" s="19" t="s">
        <v>2768</v>
      </c>
      <c r="H89" s="38"/>
      <c r="I89" s="39" t="s">
        <v>2713</v>
      </c>
      <c r="J89" s="39" t="s">
        <v>2715</v>
      </c>
      <c r="K89" s="39" t="s">
        <v>2740</v>
      </c>
      <c r="L89" s="39" t="s">
        <v>2713</v>
      </c>
      <c r="M89" s="39" t="s">
        <v>2720</v>
      </c>
      <c r="N89" s="39" t="s">
        <v>2713</v>
      </c>
      <c r="O89" s="39" t="s">
        <v>2713</v>
      </c>
      <c r="P89" s="39" t="s">
        <v>2715</v>
      </c>
      <c r="Q89" s="3" t="e">
        <f t="shared" si="19"/>
        <v>#VALUE!</v>
      </c>
      <c r="R89" s="3" t="str">
        <f t="shared" si="20"/>
        <v>H</v>
      </c>
      <c r="S89" s="3" t="str">
        <f t="shared" si="21"/>
        <v>H</v>
      </c>
      <c r="T89" s="3" t="str">
        <f t="shared" si="22"/>
        <v>D</v>
      </c>
      <c r="U89" s="3" t="str">
        <f t="shared" si="23"/>
        <v>H</v>
      </c>
      <c r="V89" s="3" t="str">
        <f t="shared" si="24"/>
        <v>A</v>
      </c>
      <c r="W89" s="3" t="str">
        <f t="shared" si="25"/>
        <v>H</v>
      </c>
      <c r="X89" s="3" t="str">
        <f t="shared" si="26"/>
        <v>H</v>
      </c>
      <c r="Y89" s="3" t="str">
        <f t="shared" si="27"/>
        <v>H</v>
      </c>
      <c r="Z89" s="3" t="e">
        <f t="shared" si="28"/>
        <v>#VALUE!</v>
      </c>
      <c r="AA89" s="3" t="e">
        <f t="shared" si="29"/>
        <v>#VALUE!</v>
      </c>
      <c r="AB89" s="3" t="e">
        <f t="shared" si="30"/>
        <v>#VALUE!</v>
      </c>
      <c r="AC89" s="3" t="e">
        <f t="shared" si="31"/>
        <v>#VALUE!</v>
      </c>
      <c r="AD89" s="3" t="e">
        <f t="shared" si="32"/>
        <v>#VALUE!</v>
      </c>
      <c r="AE89" s="3" t="e">
        <f t="shared" si="33"/>
        <v>#VALUE!</v>
      </c>
      <c r="AF89" s="3" t="e">
        <f t="shared" si="34"/>
        <v>#VALUE!</v>
      </c>
      <c r="AG89" s="3" t="e">
        <f t="shared" si="35"/>
        <v>#VALUE!</v>
      </c>
    </row>
    <row r="90" spans="1:33" x14ac:dyDescent="0.25">
      <c r="A90" s="28" t="s">
        <v>32</v>
      </c>
      <c r="B90" s="19" t="s">
        <v>2779</v>
      </c>
      <c r="C90" s="36">
        <v>46207</v>
      </c>
      <c r="D90" s="37">
        <v>0.75</v>
      </c>
      <c r="E90" s="19"/>
      <c r="F90" s="19"/>
      <c r="G90" s="19" t="s">
        <v>2780</v>
      </c>
      <c r="H90" s="38"/>
      <c r="I90" s="39"/>
      <c r="J90" s="39" t="s">
        <v>2720</v>
      </c>
      <c r="K90" s="39" t="s">
        <v>2720</v>
      </c>
      <c r="L90" s="39"/>
      <c r="M90" s="39"/>
      <c r="N90" s="39"/>
      <c r="O90" s="39"/>
      <c r="P90" s="39"/>
      <c r="Q90" s="3" t="e">
        <f t="shared" si="19"/>
        <v>#VALUE!</v>
      </c>
      <c r="R90" s="3" t="e">
        <f t="shared" si="20"/>
        <v>#VALUE!</v>
      </c>
      <c r="S90" s="3" t="str">
        <f t="shared" si="21"/>
        <v>A</v>
      </c>
      <c r="T90" s="3" t="str">
        <f t="shared" si="22"/>
        <v>A</v>
      </c>
      <c r="U90" s="3" t="e">
        <f t="shared" si="23"/>
        <v>#VALUE!</v>
      </c>
      <c r="V90" s="3" t="e">
        <f t="shared" si="24"/>
        <v>#VALUE!</v>
      </c>
      <c r="W90" s="3" t="e">
        <f t="shared" si="25"/>
        <v>#VALUE!</v>
      </c>
      <c r="X90" s="3" t="e">
        <f t="shared" si="26"/>
        <v>#VALUE!</v>
      </c>
      <c r="Y90" s="3" t="e">
        <f t="shared" si="27"/>
        <v>#VALUE!</v>
      </c>
      <c r="Z90" s="3" t="str">
        <f t="shared" si="28"/>
        <v/>
      </c>
      <c r="AA90" s="3" t="e">
        <f t="shared" si="29"/>
        <v>#VALUE!</v>
      </c>
      <c r="AB90" s="3" t="e">
        <f t="shared" si="30"/>
        <v>#VALUE!</v>
      </c>
      <c r="AC90" s="3" t="str">
        <f t="shared" si="31"/>
        <v/>
      </c>
      <c r="AD90" s="3" t="str">
        <f t="shared" si="32"/>
        <v/>
      </c>
      <c r="AE90" s="3" t="str">
        <f t="shared" si="33"/>
        <v/>
      </c>
      <c r="AF90" s="3" t="str">
        <f t="shared" si="34"/>
        <v/>
      </c>
      <c r="AG90" s="3" t="str">
        <f t="shared" si="35"/>
        <v/>
      </c>
    </row>
    <row r="91" spans="1:33" x14ac:dyDescent="0.25">
      <c r="A91" s="28" t="s">
        <v>31</v>
      </c>
      <c r="B91" s="19" t="s">
        <v>2781</v>
      </c>
      <c r="C91" s="36">
        <v>46207</v>
      </c>
      <c r="D91" s="37">
        <v>0.91666666666666663</v>
      </c>
      <c r="E91" s="19"/>
      <c r="F91" s="19"/>
      <c r="G91" s="19" t="s">
        <v>2780</v>
      </c>
      <c r="H91" s="38"/>
      <c r="I91" s="39"/>
      <c r="J91" s="39" t="s">
        <v>2747</v>
      </c>
      <c r="K91" s="39" t="s">
        <v>2734</v>
      </c>
      <c r="L91" s="39"/>
      <c r="M91" s="39"/>
      <c r="N91" s="39"/>
      <c r="O91" s="39"/>
      <c r="P91" s="39"/>
      <c r="Q91" s="3" t="e">
        <f t="shared" si="19"/>
        <v>#VALUE!</v>
      </c>
      <c r="R91" s="3" t="e">
        <f t="shared" si="20"/>
        <v>#VALUE!</v>
      </c>
      <c r="S91" s="3" t="str">
        <f t="shared" si="21"/>
        <v>A</v>
      </c>
      <c r="T91" s="3" t="str">
        <f t="shared" si="22"/>
        <v>H</v>
      </c>
      <c r="U91" s="3" t="e">
        <f t="shared" si="23"/>
        <v>#VALUE!</v>
      </c>
      <c r="V91" s="3" t="e">
        <f t="shared" si="24"/>
        <v>#VALUE!</v>
      </c>
      <c r="W91" s="3" t="e">
        <f t="shared" si="25"/>
        <v>#VALUE!</v>
      </c>
      <c r="X91" s="3" t="e">
        <f t="shared" si="26"/>
        <v>#VALUE!</v>
      </c>
      <c r="Y91" s="3" t="e">
        <f t="shared" si="27"/>
        <v>#VALUE!</v>
      </c>
      <c r="Z91" s="3" t="str">
        <f t="shared" si="28"/>
        <v/>
      </c>
      <c r="AA91" s="3" t="e">
        <f t="shared" si="29"/>
        <v>#VALUE!</v>
      </c>
      <c r="AB91" s="3" t="e">
        <f t="shared" si="30"/>
        <v>#VALUE!</v>
      </c>
      <c r="AC91" s="3" t="str">
        <f t="shared" si="31"/>
        <v/>
      </c>
      <c r="AD91" s="3" t="str">
        <f t="shared" si="32"/>
        <v/>
      </c>
      <c r="AE91" s="3" t="str">
        <f t="shared" si="33"/>
        <v/>
      </c>
      <c r="AF91" s="3" t="str">
        <f t="shared" si="34"/>
        <v/>
      </c>
      <c r="AG91" s="3" t="str">
        <f t="shared" si="35"/>
        <v/>
      </c>
    </row>
    <row r="92" spans="1:33" x14ac:dyDescent="0.25">
      <c r="A92" s="28" t="s">
        <v>30</v>
      </c>
      <c r="B92" s="19" t="s">
        <v>2782</v>
      </c>
      <c r="C92" s="36">
        <v>46208</v>
      </c>
      <c r="D92" s="37">
        <v>0.875</v>
      </c>
      <c r="E92" s="19"/>
      <c r="F92" s="19"/>
      <c r="G92" s="19" t="s">
        <v>2780</v>
      </c>
      <c r="H92" s="38"/>
      <c r="I92" s="39"/>
      <c r="J92" s="39" t="s">
        <v>2730</v>
      </c>
      <c r="K92" s="39" t="s">
        <v>2713</v>
      </c>
      <c r="L92" s="39"/>
      <c r="M92" s="39"/>
      <c r="N92" s="39"/>
      <c r="O92" s="39"/>
      <c r="P92" s="39"/>
      <c r="Q92" s="3" t="e">
        <f t="shared" si="19"/>
        <v>#VALUE!</v>
      </c>
      <c r="R92" s="3" t="e">
        <f t="shared" si="20"/>
        <v>#VALUE!</v>
      </c>
      <c r="S92" s="3" t="str">
        <f t="shared" si="21"/>
        <v>D</v>
      </c>
      <c r="T92" s="3" t="str">
        <f t="shared" si="22"/>
        <v>H</v>
      </c>
      <c r="U92" s="3" t="e">
        <f t="shared" si="23"/>
        <v>#VALUE!</v>
      </c>
      <c r="V92" s="3" t="e">
        <f t="shared" si="24"/>
        <v>#VALUE!</v>
      </c>
      <c r="W92" s="3" t="e">
        <f t="shared" si="25"/>
        <v>#VALUE!</v>
      </c>
      <c r="X92" s="3" t="e">
        <f t="shared" si="26"/>
        <v>#VALUE!</v>
      </c>
      <c r="Y92" s="3" t="e">
        <f t="shared" si="27"/>
        <v>#VALUE!</v>
      </c>
      <c r="Z92" s="3" t="str">
        <f t="shared" si="28"/>
        <v/>
      </c>
      <c r="AA92" s="3" t="e">
        <f t="shared" si="29"/>
        <v>#VALUE!</v>
      </c>
      <c r="AB92" s="3" t="e">
        <f t="shared" si="30"/>
        <v>#VALUE!</v>
      </c>
      <c r="AC92" s="3" t="str">
        <f t="shared" si="31"/>
        <v/>
      </c>
      <c r="AD92" s="3" t="str">
        <f t="shared" si="32"/>
        <v/>
      </c>
      <c r="AE92" s="3" t="str">
        <f t="shared" si="33"/>
        <v/>
      </c>
      <c r="AF92" s="3" t="str">
        <f t="shared" si="34"/>
        <v/>
      </c>
      <c r="AG92" s="3" t="str">
        <f t="shared" si="35"/>
        <v/>
      </c>
    </row>
    <row r="93" spans="1:33" x14ac:dyDescent="0.25">
      <c r="A93" s="28" t="s">
        <v>29</v>
      </c>
      <c r="B93" s="19" t="s">
        <v>2874</v>
      </c>
      <c r="C93" s="36">
        <v>46209</v>
      </c>
      <c r="D93" s="37">
        <v>4.1666666666666664E-2</v>
      </c>
      <c r="E93" s="19"/>
      <c r="F93" s="19"/>
      <c r="G93" s="19" t="s">
        <v>2780</v>
      </c>
      <c r="H93" s="38"/>
      <c r="I93" s="39"/>
      <c r="J93" s="39" t="s">
        <v>2727</v>
      </c>
      <c r="K93" s="39" t="s">
        <v>2717</v>
      </c>
      <c r="L93" s="39"/>
      <c r="M93" s="39"/>
      <c r="N93" s="39"/>
      <c r="O93" s="39"/>
      <c r="P93" s="39"/>
      <c r="Q93" s="3" t="e">
        <f t="shared" si="19"/>
        <v>#VALUE!</v>
      </c>
      <c r="R93" s="3" t="e">
        <f t="shared" si="20"/>
        <v>#VALUE!</v>
      </c>
      <c r="S93" s="3" t="str">
        <f t="shared" si="21"/>
        <v>A</v>
      </c>
      <c r="T93" s="3" t="str">
        <f t="shared" si="22"/>
        <v>D</v>
      </c>
      <c r="U93" s="3" t="e">
        <f t="shared" si="23"/>
        <v>#VALUE!</v>
      </c>
      <c r="V93" s="3" t="e">
        <f t="shared" si="24"/>
        <v>#VALUE!</v>
      </c>
      <c r="W93" s="3" t="e">
        <f t="shared" si="25"/>
        <v>#VALUE!</v>
      </c>
      <c r="X93" s="3" t="e">
        <f t="shared" si="26"/>
        <v>#VALUE!</v>
      </c>
      <c r="Y93" s="3" t="e">
        <f t="shared" si="27"/>
        <v>#VALUE!</v>
      </c>
      <c r="Z93" s="3" t="str">
        <f t="shared" si="28"/>
        <v/>
      </c>
      <c r="AA93" s="3" t="e">
        <f t="shared" si="29"/>
        <v>#VALUE!</v>
      </c>
      <c r="AB93" s="3" t="e">
        <f t="shared" si="30"/>
        <v>#VALUE!</v>
      </c>
      <c r="AC93" s="3" t="str">
        <f t="shared" si="31"/>
        <v/>
      </c>
      <c r="AD93" s="3" t="str">
        <f t="shared" si="32"/>
        <v/>
      </c>
      <c r="AE93" s="3" t="str">
        <f t="shared" si="33"/>
        <v/>
      </c>
      <c r="AF93" s="3" t="str">
        <f t="shared" si="34"/>
        <v/>
      </c>
      <c r="AG93" s="3" t="str">
        <f t="shared" si="35"/>
        <v/>
      </c>
    </row>
    <row r="94" spans="1:33" x14ac:dyDescent="0.25">
      <c r="A94" s="28" t="s">
        <v>28</v>
      </c>
      <c r="B94" s="19" t="s">
        <v>2877</v>
      </c>
      <c r="C94" s="36">
        <v>46209</v>
      </c>
      <c r="D94" s="37">
        <v>0.83333333333333337</v>
      </c>
      <c r="E94" s="19"/>
      <c r="F94" s="19"/>
      <c r="G94" s="19" t="s">
        <v>2780</v>
      </c>
      <c r="H94" s="38"/>
      <c r="I94" s="39"/>
      <c r="J94" s="39" t="s">
        <v>2717</v>
      </c>
      <c r="K94" s="39" t="s">
        <v>2720</v>
      </c>
      <c r="L94" s="39"/>
      <c r="M94" s="39"/>
      <c r="N94" s="39"/>
      <c r="O94" s="39"/>
      <c r="P94" s="39"/>
      <c r="Q94" s="3" t="e">
        <f t="shared" si="19"/>
        <v>#VALUE!</v>
      </c>
      <c r="R94" s="3" t="e">
        <f t="shared" si="20"/>
        <v>#VALUE!</v>
      </c>
      <c r="S94" s="3" t="str">
        <f t="shared" si="21"/>
        <v>D</v>
      </c>
      <c r="T94" s="3" t="str">
        <f t="shared" si="22"/>
        <v>A</v>
      </c>
      <c r="U94" s="3" t="e">
        <f t="shared" si="23"/>
        <v>#VALUE!</v>
      </c>
      <c r="V94" s="3" t="e">
        <f t="shared" si="24"/>
        <v>#VALUE!</v>
      </c>
      <c r="W94" s="3" t="e">
        <f t="shared" si="25"/>
        <v>#VALUE!</v>
      </c>
      <c r="X94" s="3" t="e">
        <f t="shared" si="26"/>
        <v>#VALUE!</v>
      </c>
      <c r="Y94" s="3" t="e">
        <f t="shared" si="27"/>
        <v>#VALUE!</v>
      </c>
      <c r="Z94" s="3" t="str">
        <f t="shared" si="28"/>
        <v/>
      </c>
      <c r="AA94" s="3" t="e">
        <f t="shared" si="29"/>
        <v>#VALUE!</v>
      </c>
      <c r="AB94" s="3" t="e">
        <f t="shared" si="30"/>
        <v>#VALUE!</v>
      </c>
      <c r="AC94" s="3" t="str">
        <f t="shared" si="31"/>
        <v/>
      </c>
      <c r="AD94" s="3" t="str">
        <f t="shared" si="32"/>
        <v/>
      </c>
      <c r="AE94" s="3" t="str">
        <f t="shared" si="33"/>
        <v/>
      </c>
      <c r="AF94" s="3" t="str">
        <f t="shared" si="34"/>
        <v/>
      </c>
      <c r="AG94" s="3" t="str">
        <f t="shared" si="35"/>
        <v/>
      </c>
    </row>
    <row r="95" spans="1:33" x14ac:dyDescent="0.25">
      <c r="A95" s="28" t="s">
        <v>26</v>
      </c>
      <c r="B95" s="19" t="s">
        <v>2878</v>
      </c>
      <c r="C95" s="36">
        <v>46210</v>
      </c>
      <c r="D95" s="37">
        <v>4.1666666666666664E-2</v>
      </c>
      <c r="E95" s="19"/>
      <c r="F95" s="19"/>
      <c r="G95" s="19" t="s">
        <v>2780</v>
      </c>
      <c r="H95" s="38"/>
      <c r="I95" s="39"/>
      <c r="J95" s="39" t="s">
        <v>2714</v>
      </c>
      <c r="K95" s="39" t="s">
        <v>2713</v>
      </c>
      <c r="L95" s="39"/>
      <c r="M95" s="39"/>
      <c r="N95" s="39"/>
      <c r="O95" s="39"/>
      <c r="P95" s="39"/>
      <c r="Q95" s="3" t="e">
        <f t="shared" si="19"/>
        <v>#VALUE!</v>
      </c>
      <c r="R95" s="3" t="e">
        <f t="shared" si="20"/>
        <v>#VALUE!</v>
      </c>
      <c r="S95" s="3" t="str">
        <f t="shared" si="21"/>
        <v>H</v>
      </c>
      <c r="T95" s="3" t="str">
        <f t="shared" si="22"/>
        <v>H</v>
      </c>
      <c r="U95" s="3" t="e">
        <f t="shared" si="23"/>
        <v>#VALUE!</v>
      </c>
      <c r="V95" s="3" t="e">
        <f t="shared" si="24"/>
        <v>#VALUE!</v>
      </c>
      <c r="W95" s="3" t="e">
        <f t="shared" si="25"/>
        <v>#VALUE!</v>
      </c>
      <c r="X95" s="3" t="e">
        <f t="shared" si="26"/>
        <v>#VALUE!</v>
      </c>
      <c r="Y95" s="3" t="e">
        <f t="shared" si="27"/>
        <v>#VALUE!</v>
      </c>
      <c r="Z95" s="3" t="str">
        <f t="shared" si="28"/>
        <v/>
      </c>
      <c r="AA95" s="3" t="e">
        <f t="shared" si="29"/>
        <v>#VALUE!</v>
      </c>
      <c r="AB95" s="3" t="e">
        <f t="shared" si="30"/>
        <v>#VALUE!</v>
      </c>
      <c r="AC95" s="3" t="str">
        <f t="shared" si="31"/>
        <v/>
      </c>
      <c r="AD95" s="3" t="str">
        <f t="shared" si="32"/>
        <v/>
      </c>
      <c r="AE95" s="3" t="str">
        <f t="shared" si="33"/>
        <v/>
      </c>
      <c r="AF95" s="3" t="str">
        <f t="shared" si="34"/>
        <v/>
      </c>
      <c r="AG95" s="3" t="str">
        <f t="shared" si="35"/>
        <v/>
      </c>
    </row>
    <row r="96" spans="1:33" x14ac:dyDescent="0.25">
      <c r="A96" s="28" t="s">
        <v>24</v>
      </c>
      <c r="B96" s="19"/>
      <c r="C96" s="36">
        <v>46210</v>
      </c>
      <c r="D96" s="37">
        <v>0.70833333333333337</v>
      </c>
      <c r="E96" s="19"/>
      <c r="F96" s="19"/>
      <c r="G96" s="19" t="s">
        <v>2780</v>
      </c>
      <c r="H96" s="38"/>
      <c r="I96" s="39"/>
      <c r="J96" s="39"/>
      <c r="K96" s="39"/>
      <c r="L96" s="39"/>
      <c r="M96" s="39"/>
      <c r="N96" s="39"/>
      <c r="O96" s="39"/>
      <c r="P96" s="39"/>
      <c r="Q96" s="3" t="e">
        <f t="shared" si="19"/>
        <v>#VALUE!</v>
      </c>
      <c r="R96" s="3" t="e">
        <f t="shared" si="20"/>
        <v>#VALUE!</v>
      </c>
      <c r="S96" s="3" t="e">
        <f t="shared" si="21"/>
        <v>#VALUE!</v>
      </c>
      <c r="T96" s="3" t="e">
        <f t="shared" si="22"/>
        <v>#VALUE!</v>
      </c>
      <c r="U96" s="3" t="e">
        <f t="shared" si="23"/>
        <v>#VALUE!</v>
      </c>
      <c r="V96" s="3" t="e">
        <f t="shared" si="24"/>
        <v>#VALUE!</v>
      </c>
      <c r="W96" s="3" t="e">
        <f t="shared" si="25"/>
        <v>#VALUE!</v>
      </c>
      <c r="X96" s="3" t="e">
        <f t="shared" si="26"/>
        <v>#VALUE!</v>
      </c>
      <c r="Y96" s="3" t="e">
        <f t="shared" si="27"/>
        <v>#VALUE!</v>
      </c>
      <c r="Z96" s="3" t="str">
        <f t="shared" si="28"/>
        <v/>
      </c>
      <c r="AA96" s="3" t="str">
        <f t="shared" si="29"/>
        <v/>
      </c>
      <c r="AB96" s="3" t="str">
        <f t="shared" si="30"/>
        <v/>
      </c>
      <c r="AC96" s="3" t="str">
        <f t="shared" si="31"/>
        <v/>
      </c>
      <c r="AD96" s="3" t="str">
        <f t="shared" si="32"/>
        <v/>
      </c>
      <c r="AE96" s="3" t="str">
        <f t="shared" si="33"/>
        <v/>
      </c>
      <c r="AF96" s="3" t="str">
        <f t="shared" si="34"/>
        <v/>
      </c>
      <c r="AG96" s="3" t="str">
        <f t="shared" si="35"/>
        <v/>
      </c>
    </row>
    <row r="97" spans="1:33" x14ac:dyDescent="0.25">
      <c r="A97" s="28" t="s">
        <v>22</v>
      </c>
      <c r="B97" s="19" t="s">
        <v>2879</v>
      </c>
      <c r="C97" s="36">
        <v>46210</v>
      </c>
      <c r="D97" s="37">
        <v>0.875</v>
      </c>
      <c r="E97" s="19"/>
      <c r="F97" s="19"/>
      <c r="G97" s="19" t="s">
        <v>2780</v>
      </c>
      <c r="H97" s="38"/>
      <c r="I97" s="39"/>
      <c r="J97" s="39"/>
      <c r="K97" s="39"/>
      <c r="L97" s="39"/>
      <c r="M97" s="39"/>
      <c r="N97" s="39"/>
      <c r="O97" s="39"/>
      <c r="P97" s="39"/>
      <c r="Q97" s="3" t="e">
        <f t="shared" si="19"/>
        <v>#VALUE!</v>
      </c>
      <c r="R97" s="3" t="e">
        <f t="shared" si="20"/>
        <v>#VALUE!</v>
      </c>
      <c r="S97" s="3" t="e">
        <f t="shared" si="21"/>
        <v>#VALUE!</v>
      </c>
      <c r="T97" s="3" t="e">
        <f t="shared" si="22"/>
        <v>#VALUE!</v>
      </c>
      <c r="U97" s="3" t="e">
        <f t="shared" si="23"/>
        <v>#VALUE!</v>
      </c>
      <c r="V97" s="3" t="e">
        <f t="shared" si="24"/>
        <v>#VALUE!</v>
      </c>
      <c r="W97" s="3" t="e">
        <f t="shared" si="25"/>
        <v>#VALUE!</v>
      </c>
      <c r="X97" s="3" t="e">
        <f t="shared" si="26"/>
        <v>#VALUE!</v>
      </c>
      <c r="Y97" s="3" t="e">
        <f t="shared" si="27"/>
        <v>#VALUE!</v>
      </c>
      <c r="Z97" s="3" t="str">
        <f t="shared" si="28"/>
        <v/>
      </c>
      <c r="AA97" s="3" t="str">
        <f t="shared" si="29"/>
        <v/>
      </c>
      <c r="AB97" s="3" t="str">
        <f t="shared" si="30"/>
        <v/>
      </c>
      <c r="AC97" s="3" t="str">
        <f t="shared" si="31"/>
        <v/>
      </c>
      <c r="AD97" s="3" t="str">
        <f t="shared" si="32"/>
        <v/>
      </c>
      <c r="AE97" s="3" t="str">
        <f t="shared" si="33"/>
        <v/>
      </c>
      <c r="AF97" s="3" t="str">
        <f t="shared" si="34"/>
        <v/>
      </c>
      <c r="AG97" s="3" t="str">
        <f t="shared" si="35"/>
        <v/>
      </c>
    </row>
    <row r="98" spans="1:33" x14ac:dyDescent="0.25">
      <c r="A98" s="28" t="s">
        <v>20</v>
      </c>
      <c r="B98" s="19"/>
      <c r="C98" s="36">
        <v>46212</v>
      </c>
      <c r="D98" s="37">
        <v>0.875</v>
      </c>
      <c r="E98" s="19"/>
      <c r="F98" s="19"/>
      <c r="G98" s="19" t="s">
        <v>2783</v>
      </c>
      <c r="H98" s="38"/>
      <c r="I98" s="39"/>
      <c r="J98" s="39"/>
      <c r="K98" s="39"/>
      <c r="L98" s="39"/>
      <c r="M98" s="39"/>
      <c r="N98" s="39"/>
      <c r="O98" s="39"/>
      <c r="P98" s="39"/>
      <c r="Q98" s="3" t="e">
        <f t="shared" si="19"/>
        <v>#VALUE!</v>
      </c>
      <c r="R98" s="3" t="e">
        <f t="shared" si="20"/>
        <v>#VALUE!</v>
      </c>
      <c r="S98" s="3" t="e">
        <f t="shared" si="21"/>
        <v>#VALUE!</v>
      </c>
      <c r="T98" s="3" t="e">
        <f t="shared" si="22"/>
        <v>#VALUE!</v>
      </c>
      <c r="U98" s="3" t="e">
        <f t="shared" si="23"/>
        <v>#VALUE!</v>
      </c>
      <c r="V98" s="3" t="e">
        <f t="shared" si="24"/>
        <v>#VALUE!</v>
      </c>
      <c r="W98" s="3" t="e">
        <f t="shared" si="25"/>
        <v>#VALUE!</v>
      </c>
      <c r="X98" s="3" t="e">
        <f t="shared" si="26"/>
        <v>#VALUE!</v>
      </c>
      <c r="Y98" s="3" t="e">
        <f t="shared" si="27"/>
        <v>#VALUE!</v>
      </c>
      <c r="Z98" s="3" t="str">
        <f t="shared" si="28"/>
        <v/>
      </c>
      <c r="AA98" s="3" t="str">
        <f t="shared" si="29"/>
        <v/>
      </c>
      <c r="AB98" s="3" t="str">
        <f t="shared" si="30"/>
        <v/>
      </c>
      <c r="AC98" s="3" t="str">
        <f t="shared" si="31"/>
        <v/>
      </c>
      <c r="AD98" s="3" t="str">
        <f t="shared" si="32"/>
        <v/>
      </c>
      <c r="AE98" s="3" t="str">
        <f t="shared" si="33"/>
        <v/>
      </c>
      <c r="AF98" s="3" t="str">
        <f t="shared" si="34"/>
        <v/>
      </c>
      <c r="AG98" s="3" t="str">
        <f t="shared" si="35"/>
        <v/>
      </c>
    </row>
    <row r="99" spans="1:33" x14ac:dyDescent="0.25">
      <c r="A99" s="28" t="s">
        <v>19</v>
      </c>
      <c r="B99" s="19"/>
      <c r="C99" s="36">
        <v>46213</v>
      </c>
      <c r="D99" s="37">
        <v>0.83333333333333337</v>
      </c>
      <c r="E99" s="19"/>
      <c r="F99" s="19"/>
      <c r="G99" s="19" t="s">
        <v>2783</v>
      </c>
      <c r="H99" s="38"/>
      <c r="I99" s="39"/>
      <c r="J99" s="39"/>
      <c r="K99" s="39"/>
      <c r="L99" s="39"/>
      <c r="M99" s="39"/>
      <c r="N99" s="39"/>
      <c r="O99" s="39"/>
      <c r="P99" s="39"/>
      <c r="Q99" s="3" t="e">
        <f t="shared" si="19"/>
        <v>#VALUE!</v>
      </c>
      <c r="R99" s="3" t="e">
        <f t="shared" si="20"/>
        <v>#VALUE!</v>
      </c>
      <c r="S99" s="3" t="e">
        <f t="shared" si="21"/>
        <v>#VALUE!</v>
      </c>
      <c r="T99" s="3" t="e">
        <f t="shared" si="22"/>
        <v>#VALUE!</v>
      </c>
      <c r="U99" s="3" t="e">
        <f t="shared" si="23"/>
        <v>#VALUE!</v>
      </c>
      <c r="V99" s="3" t="e">
        <f t="shared" si="24"/>
        <v>#VALUE!</v>
      </c>
      <c r="W99" s="3" t="e">
        <f t="shared" si="25"/>
        <v>#VALUE!</v>
      </c>
      <c r="X99" s="3" t="e">
        <f t="shared" si="26"/>
        <v>#VALUE!</v>
      </c>
      <c r="Y99" s="3" t="e">
        <f t="shared" si="27"/>
        <v>#VALUE!</v>
      </c>
      <c r="Z99" s="3" t="str">
        <f t="shared" si="28"/>
        <v/>
      </c>
      <c r="AA99" s="3" t="str">
        <f t="shared" si="29"/>
        <v/>
      </c>
      <c r="AB99" s="3" t="str">
        <f t="shared" si="30"/>
        <v/>
      </c>
      <c r="AC99" s="3" t="str">
        <f t="shared" si="31"/>
        <v/>
      </c>
      <c r="AD99" s="3" t="str">
        <f t="shared" si="32"/>
        <v/>
      </c>
      <c r="AE99" s="3" t="str">
        <f t="shared" si="33"/>
        <v/>
      </c>
      <c r="AF99" s="3" t="str">
        <f t="shared" si="34"/>
        <v/>
      </c>
      <c r="AG99" s="3" t="str">
        <f t="shared" si="35"/>
        <v/>
      </c>
    </row>
    <row r="100" spans="1:33" x14ac:dyDescent="0.25">
      <c r="A100" s="28" t="s">
        <v>18</v>
      </c>
      <c r="B100" s="19"/>
      <c r="C100" s="36">
        <v>46214</v>
      </c>
      <c r="D100" s="37">
        <v>0.91666666666666663</v>
      </c>
      <c r="E100" s="19"/>
      <c r="F100" s="19"/>
      <c r="G100" s="19" t="s">
        <v>2783</v>
      </c>
      <c r="H100" s="38"/>
      <c r="I100" s="39"/>
      <c r="J100" s="39"/>
      <c r="K100" s="39"/>
      <c r="L100" s="39"/>
      <c r="M100" s="39"/>
      <c r="N100" s="39"/>
      <c r="O100" s="39"/>
      <c r="P100" s="39"/>
      <c r="Q100" s="3" t="e">
        <f t="shared" si="19"/>
        <v>#VALUE!</v>
      </c>
      <c r="R100" s="3" t="e">
        <f t="shared" si="20"/>
        <v>#VALUE!</v>
      </c>
      <c r="S100" s="3" t="e">
        <f t="shared" si="21"/>
        <v>#VALUE!</v>
      </c>
      <c r="T100" s="3" t="e">
        <f t="shared" si="22"/>
        <v>#VALUE!</v>
      </c>
      <c r="U100" s="3" t="e">
        <f t="shared" si="23"/>
        <v>#VALUE!</v>
      </c>
      <c r="V100" s="3" t="e">
        <f t="shared" si="24"/>
        <v>#VALUE!</v>
      </c>
      <c r="W100" s="3" t="e">
        <f t="shared" si="25"/>
        <v>#VALUE!</v>
      </c>
      <c r="X100" s="3" t="e">
        <f t="shared" si="26"/>
        <v>#VALUE!</v>
      </c>
      <c r="Y100" s="3" t="e">
        <f t="shared" si="27"/>
        <v>#VALUE!</v>
      </c>
      <c r="Z100" s="3" t="str">
        <f t="shared" si="28"/>
        <v/>
      </c>
      <c r="AA100" s="3" t="str">
        <f t="shared" si="29"/>
        <v/>
      </c>
      <c r="AB100" s="3" t="str">
        <f t="shared" si="30"/>
        <v/>
      </c>
      <c r="AC100" s="3" t="str">
        <f t="shared" si="31"/>
        <v/>
      </c>
      <c r="AD100" s="3" t="str">
        <f t="shared" si="32"/>
        <v/>
      </c>
      <c r="AE100" s="3" t="str">
        <f t="shared" si="33"/>
        <v/>
      </c>
      <c r="AF100" s="3" t="str">
        <f t="shared" si="34"/>
        <v/>
      </c>
      <c r="AG100" s="3" t="str">
        <f t="shared" si="35"/>
        <v/>
      </c>
    </row>
    <row r="101" spans="1:33" x14ac:dyDescent="0.25">
      <c r="A101" s="28" t="s">
        <v>15</v>
      </c>
      <c r="B101" s="19"/>
      <c r="C101" s="36">
        <v>46215</v>
      </c>
      <c r="D101" s="37">
        <v>8.3333333333333329E-2</v>
      </c>
      <c r="E101" s="19"/>
      <c r="F101" s="19"/>
      <c r="G101" s="19" t="s">
        <v>2783</v>
      </c>
      <c r="H101" s="38"/>
      <c r="I101" s="39"/>
      <c r="J101" s="39"/>
      <c r="K101" s="39"/>
      <c r="L101" s="39"/>
      <c r="M101" s="39"/>
      <c r="N101" s="39"/>
      <c r="O101" s="39"/>
      <c r="P101" s="39"/>
      <c r="Q101" s="3" t="e">
        <f t="shared" si="19"/>
        <v>#VALUE!</v>
      </c>
      <c r="R101" s="3" t="e">
        <f t="shared" si="20"/>
        <v>#VALUE!</v>
      </c>
      <c r="S101" s="3" t="e">
        <f t="shared" si="21"/>
        <v>#VALUE!</v>
      </c>
      <c r="T101" s="3" t="e">
        <f t="shared" si="22"/>
        <v>#VALUE!</v>
      </c>
      <c r="U101" s="3" t="e">
        <f t="shared" si="23"/>
        <v>#VALUE!</v>
      </c>
      <c r="V101" s="3" t="e">
        <f t="shared" si="24"/>
        <v>#VALUE!</v>
      </c>
      <c r="W101" s="3" t="e">
        <f t="shared" si="25"/>
        <v>#VALUE!</v>
      </c>
      <c r="X101" s="3" t="e">
        <f t="shared" si="26"/>
        <v>#VALUE!</v>
      </c>
      <c r="Y101" s="3" t="e">
        <f t="shared" si="27"/>
        <v>#VALUE!</v>
      </c>
      <c r="Z101" s="3" t="str">
        <f t="shared" si="28"/>
        <v/>
      </c>
      <c r="AA101" s="3" t="str">
        <f t="shared" si="29"/>
        <v/>
      </c>
      <c r="AB101" s="3" t="str">
        <f t="shared" si="30"/>
        <v/>
      </c>
      <c r="AC101" s="3" t="str">
        <f t="shared" si="31"/>
        <v/>
      </c>
      <c r="AD101" s="3" t="str">
        <f t="shared" si="32"/>
        <v/>
      </c>
      <c r="AE101" s="3" t="str">
        <f t="shared" si="33"/>
        <v/>
      </c>
      <c r="AF101" s="3" t="str">
        <f t="shared" si="34"/>
        <v/>
      </c>
      <c r="AG101" s="3" t="str">
        <f t="shared" si="35"/>
        <v/>
      </c>
    </row>
    <row r="102" spans="1:33" x14ac:dyDescent="0.25">
      <c r="A102" s="28" t="s">
        <v>14</v>
      </c>
      <c r="B102" s="19"/>
      <c r="C102" s="36">
        <v>46217</v>
      </c>
      <c r="D102" s="37">
        <v>0.83333333333333337</v>
      </c>
      <c r="E102" s="19"/>
      <c r="F102" s="19"/>
      <c r="G102" s="19" t="s">
        <v>2784</v>
      </c>
      <c r="H102" s="38"/>
      <c r="I102" s="39"/>
      <c r="J102" s="39"/>
      <c r="K102" s="39"/>
      <c r="L102" s="39"/>
      <c r="M102" s="39"/>
      <c r="N102" s="39"/>
      <c r="O102" s="39"/>
      <c r="P102" s="39"/>
      <c r="Q102" s="3" t="e">
        <f t="shared" si="19"/>
        <v>#VALUE!</v>
      </c>
      <c r="R102" s="3" t="e">
        <f t="shared" si="20"/>
        <v>#VALUE!</v>
      </c>
      <c r="S102" s="3" t="e">
        <f t="shared" si="21"/>
        <v>#VALUE!</v>
      </c>
      <c r="T102" s="3" t="e">
        <f t="shared" si="22"/>
        <v>#VALUE!</v>
      </c>
      <c r="U102" s="3" t="e">
        <f t="shared" si="23"/>
        <v>#VALUE!</v>
      </c>
      <c r="V102" s="3" t="e">
        <f t="shared" si="24"/>
        <v>#VALUE!</v>
      </c>
      <c r="W102" s="3" t="e">
        <f t="shared" si="25"/>
        <v>#VALUE!</v>
      </c>
      <c r="X102" s="3" t="e">
        <f t="shared" si="26"/>
        <v>#VALUE!</v>
      </c>
      <c r="Y102" s="3" t="e">
        <f t="shared" si="27"/>
        <v>#VALUE!</v>
      </c>
      <c r="Z102" s="3" t="str">
        <f t="shared" si="28"/>
        <v/>
      </c>
      <c r="AA102" s="3" t="str">
        <f t="shared" si="29"/>
        <v/>
      </c>
      <c r="AB102" s="3" t="str">
        <f t="shared" si="30"/>
        <v/>
      </c>
      <c r="AC102" s="3" t="str">
        <f t="shared" si="31"/>
        <v/>
      </c>
      <c r="AD102" s="3" t="str">
        <f t="shared" si="32"/>
        <v/>
      </c>
      <c r="AE102" s="3" t="str">
        <f t="shared" si="33"/>
        <v/>
      </c>
      <c r="AF102" s="3" t="str">
        <f t="shared" si="34"/>
        <v/>
      </c>
      <c r="AG102" s="3" t="str">
        <f t="shared" si="35"/>
        <v/>
      </c>
    </row>
    <row r="103" spans="1:33" x14ac:dyDescent="0.25">
      <c r="A103" s="28" t="s">
        <v>12</v>
      </c>
      <c r="B103" s="19"/>
      <c r="C103" s="36">
        <v>46218</v>
      </c>
      <c r="D103" s="37">
        <v>0.83333333333333337</v>
      </c>
      <c r="E103" s="19"/>
      <c r="F103" s="19"/>
      <c r="G103" s="19" t="s">
        <v>2784</v>
      </c>
      <c r="H103" s="38"/>
      <c r="I103" s="39"/>
      <c r="J103" s="39"/>
      <c r="K103" s="39"/>
      <c r="L103" s="39"/>
      <c r="M103" s="39"/>
      <c r="N103" s="39"/>
      <c r="O103" s="39"/>
      <c r="P103" s="39"/>
      <c r="Q103" s="3" t="e">
        <f t="shared" si="19"/>
        <v>#VALUE!</v>
      </c>
      <c r="R103" s="3" t="e">
        <f t="shared" si="20"/>
        <v>#VALUE!</v>
      </c>
      <c r="S103" s="3" t="e">
        <f t="shared" si="21"/>
        <v>#VALUE!</v>
      </c>
      <c r="T103" s="3" t="e">
        <f t="shared" si="22"/>
        <v>#VALUE!</v>
      </c>
      <c r="U103" s="3" t="e">
        <f t="shared" si="23"/>
        <v>#VALUE!</v>
      </c>
      <c r="V103" s="3" t="e">
        <f t="shared" si="24"/>
        <v>#VALUE!</v>
      </c>
      <c r="W103" s="3" t="e">
        <f t="shared" si="25"/>
        <v>#VALUE!</v>
      </c>
      <c r="X103" s="3" t="e">
        <f t="shared" si="26"/>
        <v>#VALUE!</v>
      </c>
      <c r="Y103" s="3" t="e">
        <f t="shared" si="27"/>
        <v>#VALUE!</v>
      </c>
      <c r="Z103" s="3" t="str">
        <f t="shared" si="28"/>
        <v/>
      </c>
      <c r="AA103" s="3" t="str">
        <f t="shared" si="29"/>
        <v/>
      </c>
      <c r="AB103" s="3" t="str">
        <f t="shared" si="30"/>
        <v/>
      </c>
      <c r="AC103" s="3" t="str">
        <f t="shared" si="31"/>
        <v/>
      </c>
      <c r="AD103" s="3" t="str">
        <f t="shared" si="32"/>
        <v/>
      </c>
      <c r="AE103" s="3" t="str">
        <f t="shared" si="33"/>
        <v/>
      </c>
      <c r="AF103" s="3" t="str">
        <f t="shared" si="34"/>
        <v/>
      </c>
      <c r="AG103" s="3" t="str">
        <f t="shared" si="35"/>
        <v/>
      </c>
    </row>
    <row r="104" spans="1:33" x14ac:dyDescent="0.25">
      <c r="A104" s="28" t="s">
        <v>10</v>
      </c>
      <c r="B104" s="19"/>
      <c r="C104" s="36">
        <v>46221</v>
      </c>
      <c r="D104" s="37">
        <v>0.91666666666666663</v>
      </c>
      <c r="E104" s="19"/>
      <c r="F104" s="19"/>
      <c r="G104" s="19" t="s">
        <v>2785</v>
      </c>
      <c r="H104" s="38"/>
      <c r="I104" s="39"/>
      <c r="J104" s="39"/>
      <c r="K104" s="39"/>
      <c r="L104" s="39"/>
      <c r="M104" s="39"/>
      <c r="N104" s="39"/>
      <c r="O104" s="39"/>
      <c r="P104" s="39"/>
      <c r="Q104" s="3" t="e">
        <f t="shared" si="19"/>
        <v>#VALUE!</v>
      </c>
      <c r="R104" s="3" t="e">
        <f t="shared" si="20"/>
        <v>#VALUE!</v>
      </c>
      <c r="S104" s="3" t="e">
        <f t="shared" si="21"/>
        <v>#VALUE!</v>
      </c>
      <c r="T104" s="3" t="e">
        <f t="shared" si="22"/>
        <v>#VALUE!</v>
      </c>
      <c r="U104" s="3" t="e">
        <f t="shared" si="23"/>
        <v>#VALUE!</v>
      </c>
      <c r="V104" s="3" t="e">
        <f t="shared" si="24"/>
        <v>#VALUE!</v>
      </c>
      <c r="W104" s="3" t="e">
        <f t="shared" si="25"/>
        <v>#VALUE!</v>
      </c>
      <c r="X104" s="3" t="e">
        <f t="shared" si="26"/>
        <v>#VALUE!</v>
      </c>
      <c r="Y104" s="3" t="e">
        <f t="shared" si="27"/>
        <v>#VALUE!</v>
      </c>
      <c r="Z104" s="3" t="str">
        <f t="shared" si="28"/>
        <v/>
      </c>
      <c r="AA104" s="3" t="str">
        <f t="shared" si="29"/>
        <v/>
      </c>
      <c r="AB104" s="3" t="str">
        <f t="shared" si="30"/>
        <v/>
      </c>
      <c r="AC104" s="3" t="str">
        <f t="shared" si="31"/>
        <v/>
      </c>
      <c r="AD104" s="3" t="str">
        <f t="shared" si="32"/>
        <v/>
      </c>
      <c r="AE104" s="3" t="str">
        <f t="shared" si="33"/>
        <v/>
      </c>
      <c r="AF104" s="3" t="str">
        <f t="shared" si="34"/>
        <v/>
      </c>
      <c r="AG104" s="3" t="str">
        <f t="shared" si="35"/>
        <v/>
      </c>
    </row>
    <row r="105" spans="1:33" ht="15.75" thickBot="1" x14ac:dyDescent="0.3">
      <c r="A105" s="32" t="s">
        <v>7</v>
      </c>
      <c r="B105" s="33"/>
      <c r="C105" s="43">
        <v>46222</v>
      </c>
      <c r="D105" s="44">
        <v>0.83333333333333337</v>
      </c>
      <c r="E105" s="33"/>
      <c r="F105" s="33"/>
      <c r="G105" s="33" t="s">
        <v>2785</v>
      </c>
      <c r="H105" s="45"/>
      <c r="I105" s="39"/>
      <c r="J105" s="39"/>
      <c r="K105" s="39"/>
      <c r="L105" s="39"/>
      <c r="M105" s="39"/>
      <c r="N105" s="39"/>
      <c r="O105" s="39"/>
      <c r="P105" s="39"/>
      <c r="Q105" s="3" t="e">
        <f t="shared" si="19"/>
        <v>#VALUE!</v>
      </c>
      <c r="R105" s="3" t="e">
        <f t="shared" si="20"/>
        <v>#VALUE!</v>
      </c>
      <c r="S105" s="3" t="e">
        <f t="shared" si="21"/>
        <v>#VALUE!</v>
      </c>
      <c r="T105" s="3" t="e">
        <f t="shared" si="22"/>
        <v>#VALUE!</v>
      </c>
      <c r="U105" s="3" t="e">
        <f t="shared" si="23"/>
        <v>#VALUE!</v>
      </c>
      <c r="V105" s="3" t="e">
        <f t="shared" si="24"/>
        <v>#VALUE!</v>
      </c>
      <c r="W105" s="3" t="e">
        <f t="shared" si="25"/>
        <v>#VALUE!</v>
      </c>
      <c r="X105" s="3" t="e">
        <f t="shared" si="26"/>
        <v>#VALUE!</v>
      </c>
      <c r="Y105" s="3" t="e">
        <f t="shared" si="27"/>
        <v>#VALUE!</v>
      </c>
      <c r="Z105" s="3" t="str">
        <f t="shared" si="28"/>
        <v/>
      </c>
      <c r="AA105" s="3" t="str">
        <f t="shared" si="29"/>
        <v/>
      </c>
      <c r="AB105" s="3" t="str">
        <f t="shared" si="30"/>
        <v/>
      </c>
      <c r="AC105" s="3" t="str">
        <f t="shared" si="31"/>
        <v/>
      </c>
      <c r="AD105" s="3" t="str">
        <f t="shared" si="32"/>
        <v/>
      </c>
      <c r="AE105" s="3" t="str">
        <f t="shared" si="33"/>
        <v/>
      </c>
      <c r="AF105" s="3" t="str">
        <f t="shared" si="34"/>
        <v/>
      </c>
      <c r="AG105" s="3" t="str">
        <f t="shared" si="35"/>
        <v/>
      </c>
    </row>
  </sheetData>
  <autoFilter ref="A1:G1" xr:uid="{70D48A55-951F-49E4-9C06-7D0FD4E8C2D6}">
    <sortState xmlns:xlrd2="http://schemas.microsoft.com/office/spreadsheetml/2017/richdata2" ref="A2:G105">
      <sortCondition ref="C1"/>
    </sortState>
  </autoFilter>
  <phoneticPr fontId="6" type="noConversion"/>
  <conditionalFormatting sqref="I2:P105">
    <cfRule type="expression" dxfId="4" priority="1">
      <formula>Z2="D"</formula>
    </cfRule>
    <cfRule type="expression" dxfId="3" priority="2">
      <formula>Z2="W"</formula>
    </cfRule>
    <cfRule type="expression" dxfId="2" priority="3">
      <formula>Z2="L"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E7A5-A3DA-48CF-973A-3A9993CE91E6}">
  <dimension ref="A1:I49"/>
  <sheetViews>
    <sheetView workbookViewId="0">
      <selection activeCell="F48" sqref="F48"/>
    </sheetView>
  </sheetViews>
  <sheetFormatPr defaultColWidth="9.140625" defaultRowHeight="15" x14ac:dyDescent="0.25"/>
  <cols>
    <col min="1" max="1" width="20.42578125" style="3" bestFit="1" customWidth="1"/>
    <col min="2" max="4" width="6.85546875" style="3" hidden="1" customWidth="1"/>
    <col min="5" max="9" width="6.85546875" style="3" customWidth="1"/>
    <col min="10" max="16384" width="9.140625" style="3"/>
  </cols>
  <sheetData>
    <row r="1" spans="1:9" x14ac:dyDescent="0.25">
      <c r="B1" s="3" t="s">
        <v>219</v>
      </c>
      <c r="C1" s="3" t="s">
        <v>168</v>
      </c>
      <c r="D1" s="3" t="s">
        <v>89</v>
      </c>
      <c r="E1" s="3" t="s">
        <v>2786</v>
      </c>
      <c r="F1" s="3" t="s">
        <v>2787</v>
      </c>
      <c r="G1" s="3" t="s">
        <v>2783</v>
      </c>
      <c r="H1" s="3" t="s">
        <v>2784</v>
      </c>
      <c r="I1" s="3" t="s">
        <v>2788</v>
      </c>
    </row>
    <row r="2" spans="1:9" x14ac:dyDescent="0.25">
      <c r="A2" s="3" t="s">
        <v>87</v>
      </c>
      <c r="B2" s="3" t="s">
        <v>2789</v>
      </c>
      <c r="C2" s="3" t="s">
        <v>2790</v>
      </c>
      <c r="D2" s="3" t="s">
        <v>2791</v>
      </c>
      <c r="E2" s="3" t="s">
        <v>2792</v>
      </c>
      <c r="F2" s="3" t="s">
        <v>2824</v>
      </c>
      <c r="G2" s="3" t="s">
        <v>2824</v>
      </c>
      <c r="H2" s="3" t="s">
        <v>2824</v>
      </c>
      <c r="I2" s="3" t="s">
        <v>2824</v>
      </c>
    </row>
    <row r="3" spans="1:9" x14ac:dyDescent="0.25">
      <c r="A3" s="3" t="s">
        <v>40</v>
      </c>
      <c r="B3" s="3" t="s">
        <v>2794</v>
      </c>
      <c r="C3" s="3" t="s">
        <v>2791</v>
      </c>
      <c r="D3" s="3" t="s">
        <v>2790</v>
      </c>
      <c r="E3" s="3" t="s">
        <v>2795</v>
      </c>
      <c r="F3" s="3" t="s">
        <v>2793</v>
      </c>
      <c r="G3" s="3" t="s">
        <v>2793</v>
      </c>
      <c r="H3" s="3" t="s">
        <v>2793</v>
      </c>
      <c r="I3" s="3" t="s">
        <v>2793</v>
      </c>
    </row>
    <row r="4" spans="1:9" x14ac:dyDescent="0.25">
      <c r="A4" s="3" t="s">
        <v>45</v>
      </c>
      <c r="B4" s="3" t="s">
        <v>2796</v>
      </c>
      <c r="C4" s="3" t="s">
        <v>2522</v>
      </c>
      <c r="D4" s="3" t="s">
        <v>2797</v>
      </c>
      <c r="E4" s="3" t="s">
        <v>2798</v>
      </c>
      <c r="F4" s="3" t="s">
        <v>2793</v>
      </c>
      <c r="G4" s="3" t="s">
        <v>2793</v>
      </c>
      <c r="H4" s="3" t="s">
        <v>2793</v>
      </c>
      <c r="I4" s="3" t="s">
        <v>2793</v>
      </c>
    </row>
    <row r="5" spans="1:9" x14ac:dyDescent="0.25">
      <c r="A5" s="3" t="s">
        <v>88</v>
      </c>
      <c r="B5" s="3" t="s">
        <v>2790</v>
      </c>
      <c r="C5" s="3" t="s">
        <v>2789</v>
      </c>
      <c r="D5" s="3" t="s">
        <v>2794</v>
      </c>
      <c r="E5" s="3" t="s">
        <v>2799</v>
      </c>
      <c r="F5" s="3" t="s">
        <v>2824</v>
      </c>
      <c r="G5" s="3" t="s">
        <v>2824</v>
      </c>
      <c r="H5" s="3" t="s">
        <v>2824</v>
      </c>
      <c r="I5" s="3" t="s">
        <v>2824</v>
      </c>
    </row>
    <row r="6" spans="1:9" x14ac:dyDescent="0.25">
      <c r="A6" s="3" t="s">
        <v>113</v>
      </c>
      <c r="B6" s="3" t="s">
        <v>2798</v>
      </c>
      <c r="C6" s="3" t="s">
        <v>2800</v>
      </c>
      <c r="D6" s="3" t="s">
        <v>2801</v>
      </c>
      <c r="E6" s="3" t="s">
        <v>2802</v>
      </c>
      <c r="F6" s="3" t="s">
        <v>2522</v>
      </c>
      <c r="G6" s="3" t="s">
        <v>2793</v>
      </c>
      <c r="H6" s="3" t="s">
        <v>2793</v>
      </c>
      <c r="I6" s="3" t="s">
        <v>2793</v>
      </c>
    </row>
    <row r="7" spans="1:9" x14ac:dyDescent="0.25">
      <c r="A7" s="3" t="s">
        <v>2803</v>
      </c>
      <c r="B7" s="3" t="s">
        <v>2804</v>
      </c>
      <c r="C7" s="3" t="s">
        <v>2792</v>
      </c>
      <c r="D7" s="3" t="s">
        <v>2805</v>
      </c>
      <c r="E7" s="3" t="s">
        <v>2522</v>
      </c>
      <c r="F7" s="3" t="s">
        <v>2793</v>
      </c>
      <c r="G7" s="3" t="s">
        <v>2793</v>
      </c>
      <c r="H7" s="3" t="s">
        <v>2793</v>
      </c>
      <c r="I7" s="3" t="s">
        <v>2793</v>
      </c>
    </row>
    <row r="8" spans="1:9" x14ac:dyDescent="0.25">
      <c r="A8" s="3" t="s">
        <v>78</v>
      </c>
      <c r="B8" s="3" t="s">
        <v>2806</v>
      </c>
      <c r="C8" s="3" t="s">
        <v>2807</v>
      </c>
      <c r="D8" s="3" t="s">
        <v>2808</v>
      </c>
      <c r="E8" s="3" t="s">
        <v>2809</v>
      </c>
      <c r="F8" s="3" t="s">
        <v>2810</v>
      </c>
      <c r="G8" s="3" t="s">
        <v>2793</v>
      </c>
      <c r="H8" s="3" t="s">
        <v>2793</v>
      </c>
      <c r="I8" s="3" t="s">
        <v>2793</v>
      </c>
    </row>
    <row r="9" spans="1:9" x14ac:dyDescent="0.25">
      <c r="A9" s="3" t="s">
        <v>83</v>
      </c>
      <c r="B9" s="3" t="s">
        <v>2811</v>
      </c>
      <c r="C9" s="3" t="s">
        <v>2805</v>
      </c>
      <c r="D9" s="3" t="s">
        <v>2792</v>
      </c>
      <c r="E9" s="3" t="s">
        <v>2812</v>
      </c>
      <c r="F9" s="3" t="s">
        <v>2806</v>
      </c>
      <c r="G9" s="3" t="s">
        <v>2793</v>
      </c>
      <c r="H9" s="3" t="s">
        <v>2793</v>
      </c>
      <c r="I9" s="3" t="s">
        <v>2793</v>
      </c>
    </row>
    <row r="10" spans="1:9" x14ac:dyDescent="0.25">
      <c r="A10" s="3" t="s">
        <v>2743</v>
      </c>
      <c r="B10" s="3" t="s">
        <v>2799</v>
      </c>
      <c r="C10" s="3" t="s">
        <v>2813</v>
      </c>
      <c r="D10" s="3" t="s">
        <v>2814</v>
      </c>
      <c r="E10" s="3" t="s">
        <v>2789</v>
      </c>
      <c r="F10" s="3" t="s">
        <v>2793</v>
      </c>
      <c r="G10" s="3" t="s">
        <v>2793</v>
      </c>
      <c r="H10" s="3" t="s">
        <v>2793</v>
      </c>
      <c r="I10" s="3" t="s">
        <v>2793</v>
      </c>
    </row>
    <row r="11" spans="1:9" x14ac:dyDescent="0.25">
      <c r="A11" s="3" t="s">
        <v>100</v>
      </c>
      <c r="B11" s="3" t="s">
        <v>2815</v>
      </c>
      <c r="C11" s="3" t="s">
        <v>2816</v>
      </c>
      <c r="D11" s="3" t="s">
        <v>2817</v>
      </c>
      <c r="E11" s="3" t="s">
        <v>2818</v>
      </c>
      <c r="F11" s="3" t="s">
        <v>2793</v>
      </c>
      <c r="G11" s="3" t="s">
        <v>2793</v>
      </c>
      <c r="H11" s="3" t="s">
        <v>2793</v>
      </c>
      <c r="I11" s="3" t="s">
        <v>2793</v>
      </c>
    </row>
    <row r="12" spans="1:9" x14ac:dyDescent="0.25">
      <c r="A12" s="3" t="s">
        <v>104</v>
      </c>
      <c r="B12" s="3" t="s">
        <v>2819</v>
      </c>
      <c r="C12" s="3" t="s">
        <v>2820</v>
      </c>
      <c r="D12" s="3" t="s">
        <v>2818</v>
      </c>
      <c r="E12" s="3" t="s">
        <v>2817</v>
      </c>
      <c r="F12" s="3" t="s">
        <v>2824</v>
      </c>
      <c r="G12" s="3" t="s">
        <v>2824</v>
      </c>
      <c r="H12" s="3" t="s">
        <v>2824</v>
      </c>
      <c r="I12" s="3" t="s">
        <v>2824</v>
      </c>
    </row>
    <row r="13" spans="1:9" x14ac:dyDescent="0.25">
      <c r="A13" s="3" t="s">
        <v>2821</v>
      </c>
      <c r="B13" s="3" t="s">
        <v>2694</v>
      </c>
      <c r="C13" s="3" t="s">
        <v>2822</v>
      </c>
      <c r="D13" s="3" t="s">
        <v>2823</v>
      </c>
      <c r="E13" s="3" t="s">
        <v>2824</v>
      </c>
      <c r="F13" s="3" t="s">
        <v>2824</v>
      </c>
      <c r="G13" s="3" t="s">
        <v>2824</v>
      </c>
      <c r="H13" s="3" t="s">
        <v>2824</v>
      </c>
      <c r="I13" s="3" t="s">
        <v>2824</v>
      </c>
    </row>
    <row r="14" spans="1:9" x14ac:dyDescent="0.25">
      <c r="A14" s="3" t="s">
        <v>152</v>
      </c>
      <c r="B14" s="3" t="s">
        <v>2825</v>
      </c>
      <c r="C14" s="3" t="s">
        <v>2812</v>
      </c>
      <c r="D14" s="3" t="s">
        <v>2826</v>
      </c>
      <c r="E14" s="3" t="s">
        <v>2824</v>
      </c>
      <c r="F14" s="3" t="s">
        <v>2824</v>
      </c>
      <c r="G14" s="3" t="s">
        <v>2824</v>
      </c>
      <c r="H14" s="3" t="s">
        <v>2824</v>
      </c>
      <c r="I14" s="3" t="s">
        <v>2824</v>
      </c>
    </row>
    <row r="15" spans="1:9" x14ac:dyDescent="0.25">
      <c r="A15" s="3" t="s">
        <v>2827</v>
      </c>
      <c r="B15" s="3" t="s">
        <v>2817</v>
      </c>
      <c r="C15" s="3" t="s">
        <v>2828</v>
      </c>
      <c r="D15" s="3" t="s">
        <v>2815</v>
      </c>
      <c r="E15" s="3" t="s">
        <v>2819</v>
      </c>
      <c r="F15" s="3" t="s">
        <v>2824</v>
      </c>
      <c r="G15" s="3" t="s">
        <v>2824</v>
      </c>
      <c r="H15" s="3" t="s">
        <v>2824</v>
      </c>
      <c r="I15" s="3" t="s">
        <v>2824</v>
      </c>
    </row>
    <row r="16" spans="1:9" x14ac:dyDescent="0.25">
      <c r="A16" s="3" t="s">
        <v>146</v>
      </c>
      <c r="B16" s="3" t="s">
        <v>2823</v>
      </c>
      <c r="C16" s="3" t="s">
        <v>2829</v>
      </c>
      <c r="D16" s="3" t="s">
        <v>2694</v>
      </c>
      <c r="E16" s="3" t="s">
        <v>2826</v>
      </c>
      <c r="F16" s="3" t="s">
        <v>2824</v>
      </c>
      <c r="G16" s="3" t="s">
        <v>2824</v>
      </c>
      <c r="H16" s="3" t="s">
        <v>2824</v>
      </c>
      <c r="I16" s="3" t="s">
        <v>2824</v>
      </c>
    </row>
    <row r="17" spans="1:9" x14ac:dyDescent="0.25">
      <c r="A17" s="3" t="s">
        <v>46</v>
      </c>
      <c r="B17" s="3" t="s">
        <v>2830</v>
      </c>
      <c r="C17" s="3" t="s">
        <v>2801</v>
      </c>
      <c r="D17" s="3" t="s">
        <v>2800</v>
      </c>
      <c r="E17" s="3" t="s">
        <v>2831</v>
      </c>
      <c r="F17" s="3" t="s">
        <v>2793</v>
      </c>
      <c r="G17" s="3" t="s">
        <v>2793</v>
      </c>
      <c r="H17" s="3" t="s">
        <v>2793</v>
      </c>
      <c r="I17" s="3" t="s">
        <v>2793</v>
      </c>
    </row>
    <row r="18" spans="1:9" x14ac:dyDescent="0.25">
      <c r="A18" s="3" t="s">
        <v>109</v>
      </c>
      <c r="B18" s="3" t="s">
        <v>2832</v>
      </c>
      <c r="C18" s="3" t="s">
        <v>2818</v>
      </c>
      <c r="D18" s="3" t="s">
        <v>2820</v>
      </c>
      <c r="E18" s="3" t="s">
        <v>2816</v>
      </c>
      <c r="F18" s="3" t="s">
        <v>2826</v>
      </c>
      <c r="G18" s="3" t="s">
        <v>2793</v>
      </c>
      <c r="H18" s="3" t="s">
        <v>2793</v>
      </c>
      <c r="I18" s="3" t="s">
        <v>2793</v>
      </c>
    </row>
    <row r="19" spans="1:9" x14ac:dyDescent="0.25">
      <c r="A19" s="3" t="s">
        <v>61</v>
      </c>
      <c r="B19" s="3" t="s">
        <v>2802</v>
      </c>
      <c r="C19" s="3" t="s">
        <v>2833</v>
      </c>
      <c r="D19" s="3" t="s">
        <v>2810</v>
      </c>
      <c r="E19" s="3" t="s">
        <v>2834</v>
      </c>
      <c r="F19" s="3" t="s">
        <v>2797</v>
      </c>
      <c r="G19" s="3" t="s">
        <v>2793</v>
      </c>
      <c r="H19" s="3" t="s">
        <v>2793</v>
      </c>
      <c r="I19" s="3" t="s">
        <v>2793</v>
      </c>
    </row>
    <row r="20" spans="1:9" x14ac:dyDescent="0.25">
      <c r="A20" s="3" t="s">
        <v>74</v>
      </c>
      <c r="B20" s="3" t="s">
        <v>2829</v>
      </c>
      <c r="C20" s="3" t="s">
        <v>2823</v>
      </c>
      <c r="D20" s="3" t="s">
        <v>2822</v>
      </c>
      <c r="E20" s="3" t="s">
        <v>2797</v>
      </c>
      <c r="F20" s="3" t="s">
        <v>2824</v>
      </c>
      <c r="G20" s="3" t="s">
        <v>2824</v>
      </c>
      <c r="H20" s="3" t="s">
        <v>2824</v>
      </c>
      <c r="I20" s="3" t="s">
        <v>2824</v>
      </c>
    </row>
    <row r="21" spans="1:9" x14ac:dyDescent="0.25">
      <c r="A21" s="3" t="s">
        <v>105</v>
      </c>
      <c r="B21" s="3" t="s">
        <v>2820</v>
      </c>
      <c r="C21" s="3" t="s">
        <v>2819</v>
      </c>
      <c r="D21" s="3" t="s">
        <v>2832</v>
      </c>
      <c r="E21" s="3" t="s">
        <v>2828</v>
      </c>
      <c r="F21" s="3" t="s">
        <v>2793</v>
      </c>
      <c r="G21" s="3" t="s">
        <v>2793</v>
      </c>
      <c r="H21" s="3" t="s">
        <v>2793</v>
      </c>
      <c r="I21" s="3" t="s">
        <v>2793</v>
      </c>
    </row>
    <row r="22" spans="1:9" x14ac:dyDescent="0.25">
      <c r="A22" s="3" t="s">
        <v>159</v>
      </c>
      <c r="B22" s="3" t="s">
        <v>2808</v>
      </c>
      <c r="C22" s="3" t="s">
        <v>2835</v>
      </c>
      <c r="D22" s="3" t="s">
        <v>2806</v>
      </c>
      <c r="E22" s="3" t="s">
        <v>2824</v>
      </c>
      <c r="F22" s="3" t="s">
        <v>2824</v>
      </c>
      <c r="G22" s="3" t="s">
        <v>2824</v>
      </c>
      <c r="H22" s="3" t="s">
        <v>2824</v>
      </c>
      <c r="I22" s="3" t="s">
        <v>2824</v>
      </c>
    </row>
    <row r="23" spans="1:9" x14ac:dyDescent="0.25">
      <c r="A23" s="3" t="s">
        <v>1540</v>
      </c>
      <c r="B23" s="3" t="s">
        <v>2801</v>
      </c>
      <c r="C23" s="3" t="s">
        <v>2830</v>
      </c>
      <c r="D23" s="3" t="s">
        <v>2798</v>
      </c>
      <c r="E23" s="3" t="s">
        <v>2824</v>
      </c>
      <c r="F23" s="3" t="s">
        <v>2824</v>
      </c>
      <c r="G23" s="3" t="s">
        <v>2824</v>
      </c>
      <c r="H23" s="3" t="s">
        <v>2824</v>
      </c>
      <c r="I23" s="3" t="s">
        <v>2824</v>
      </c>
    </row>
    <row r="24" spans="1:9" x14ac:dyDescent="0.25">
      <c r="A24" s="3" t="s">
        <v>127</v>
      </c>
      <c r="B24" s="3" t="s">
        <v>2810</v>
      </c>
      <c r="C24" s="3" t="s">
        <v>2836</v>
      </c>
      <c r="D24" s="3" t="s">
        <v>2802</v>
      </c>
      <c r="E24" s="3" t="s">
        <v>2824</v>
      </c>
      <c r="F24" s="3" t="s">
        <v>2824</v>
      </c>
      <c r="G24" s="3" t="s">
        <v>2824</v>
      </c>
      <c r="H24" s="3" t="s">
        <v>2824</v>
      </c>
      <c r="I24" s="3" t="s">
        <v>2824</v>
      </c>
    </row>
    <row r="25" spans="1:9" x14ac:dyDescent="0.25">
      <c r="A25" s="3" t="s">
        <v>2699</v>
      </c>
      <c r="B25" s="3" t="s">
        <v>2822</v>
      </c>
      <c r="C25" s="3" t="s">
        <v>2694</v>
      </c>
      <c r="D25" s="3" t="s">
        <v>2829</v>
      </c>
      <c r="E25" s="3" t="s">
        <v>2810</v>
      </c>
      <c r="F25" s="3" t="s">
        <v>2824</v>
      </c>
      <c r="G25" s="3" t="s">
        <v>2824</v>
      </c>
      <c r="H25" s="3" t="s">
        <v>2824</v>
      </c>
      <c r="I25" s="3" t="s">
        <v>2824</v>
      </c>
    </row>
    <row r="26" spans="1:9" x14ac:dyDescent="0.25">
      <c r="A26" s="3" t="s">
        <v>79</v>
      </c>
      <c r="B26" s="3" t="s">
        <v>2837</v>
      </c>
      <c r="C26" s="3" t="s">
        <v>2838</v>
      </c>
      <c r="D26" s="3" t="s">
        <v>2834</v>
      </c>
      <c r="E26" s="3" t="s">
        <v>2835</v>
      </c>
      <c r="F26" s="3" t="s">
        <v>2824</v>
      </c>
      <c r="G26" s="3" t="s">
        <v>2824</v>
      </c>
      <c r="H26" s="3" t="s">
        <v>2824</v>
      </c>
      <c r="I26" s="3" t="s">
        <v>2824</v>
      </c>
    </row>
    <row r="27" spans="1:9" x14ac:dyDescent="0.25">
      <c r="A27" s="3" t="s">
        <v>92</v>
      </c>
      <c r="B27" s="3" t="s">
        <v>2791</v>
      </c>
      <c r="C27" s="3" t="s">
        <v>2794</v>
      </c>
      <c r="D27" s="3" t="s">
        <v>2789</v>
      </c>
      <c r="E27" s="3" t="s">
        <v>2824</v>
      </c>
      <c r="F27" s="3" t="s">
        <v>2824</v>
      </c>
      <c r="G27" s="3" t="s">
        <v>2824</v>
      </c>
      <c r="H27" s="3" t="s">
        <v>2824</v>
      </c>
      <c r="I27" s="3" t="s">
        <v>2824</v>
      </c>
    </row>
    <row r="28" spans="1:9" x14ac:dyDescent="0.25">
      <c r="A28" s="3" t="s">
        <v>153</v>
      </c>
      <c r="B28" s="3" t="s">
        <v>2812</v>
      </c>
      <c r="C28" s="3" t="s">
        <v>2825</v>
      </c>
      <c r="D28" s="3" t="s">
        <v>2839</v>
      </c>
      <c r="E28" s="3" t="s">
        <v>2822</v>
      </c>
      <c r="F28" s="3" t="s">
        <v>2819</v>
      </c>
      <c r="G28" s="3" t="s">
        <v>2793</v>
      </c>
      <c r="H28" s="3" t="s">
        <v>2793</v>
      </c>
      <c r="I28" s="3" t="s">
        <v>2793</v>
      </c>
    </row>
    <row r="29" spans="1:9" x14ac:dyDescent="0.25">
      <c r="A29" s="3" t="s">
        <v>70</v>
      </c>
      <c r="B29" s="3" t="s">
        <v>2835</v>
      </c>
      <c r="C29" s="3" t="s">
        <v>2808</v>
      </c>
      <c r="D29" s="3" t="s">
        <v>2807</v>
      </c>
      <c r="E29" s="3" t="s">
        <v>2837</v>
      </c>
      <c r="F29" s="3" t="s">
        <v>2804</v>
      </c>
      <c r="G29" s="3" t="s">
        <v>2793</v>
      </c>
      <c r="H29" s="3" t="s">
        <v>2793</v>
      </c>
      <c r="I29" s="3" t="s">
        <v>2793</v>
      </c>
    </row>
    <row r="30" spans="1:9" x14ac:dyDescent="0.25">
      <c r="A30" s="3" t="s">
        <v>69</v>
      </c>
      <c r="B30" s="3" t="s">
        <v>2809</v>
      </c>
      <c r="C30" s="3" t="s">
        <v>2834</v>
      </c>
      <c r="D30" s="3" t="s">
        <v>2838</v>
      </c>
      <c r="E30" s="3" t="s">
        <v>2806</v>
      </c>
      <c r="F30" s="3" t="s">
        <v>2824</v>
      </c>
      <c r="G30" s="3" t="s">
        <v>2824</v>
      </c>
      <c r="H30" s="3" t="s">
        <v>2824</v>
      </c>
      <c r="I30" s="3" t="s">
        <v>2824</v>
      </c>
    </row>
    <row r="31" spans="1:9" x14ac:dyDescent="0.25">
      <c r="A31" s="3" t="s">
        <v>112</v>
      </c>
      <c r="B31" s="3" t="s">
        <v>2800</v>
      </c>
      <c r="C31" s="3" t="s">
        <v>2798</v>
      </c>
      <c r="D31" s="3" t="s">
        <v>2830</v>
      </c>
      <c r="E31" s="3" t="s">
        <v>2824</v>
      </c>
      <c r="F31" s="3" t="s">
        <v>2824</v>
      </c>
      <c r="G31" s="3" t="s">
        <v>2824</v>
      </c>
      <c r="H31" s="3" t="s">
        <v>2824</v>
      </c>
      <c r="I31" s="3" t="s">
        <v>2824</v>
      </c>
    </row>
    <row r="32" spans="1:9" x14ac:dyDescent="0.25">
      <c r="A32" s="3" t="s">
        <v>66</v>
      </c>
      <c r="B32" s="3" t="s">
        <v>2833</v>
      </c>
      <c r="C32" s="3" t="s">
        <v>2802</v>
      </c>
      <c r="D32" s="3" t="s">
        <v>2836</v>
      </c>
      <c r="E32" s="3" t="s">
        <v>2823</v>
      </c>
      <c r="F32" s="3" t="s">
        <v>2835</v>
      </c>
      <c r="G32" s="3" t="s">
        <v>2793</v>
      </c>
      <c r="H32" s="3" t="s">
        <v>2793</v>
      </c>
      <c r="I32" s="3" t="s">
        <v>2793</v>
      </c>
    </row>
    <row r="33" spans="1:9" x14ac:dyDescent="0.25">
      <c r="A33" s="3" t="s">
        <v>108</v>
      </c>
      <c r="B33" s="3" t="s">
        <v>2818</v>
      </c>
      <c r="C33" s="3" t="s">
        <v>2832</v>
      </c>
      <c r="D33" s="3" t="s">
        <v>2819</v>
      </c>
      <c r="E33" s="3" t="s">
        <v>2824</v>
      </c>
      <c r="F33" s="3" t="s">
        <v>2824</v>
      </c>
      <c r="G33" s="3" t="s">
        <v>2824</v>
      </c>
      <c r="H33" s="3" t="s">
        <v>2824</v>
      </c>
      <c r="I33" s="3" t="s">
        <v>2824</v>
      </c>
    </row>
    <row r="34" spans="1:9" x14ac:dyDescent="0.25">
      <c r="A34" s="3" t="s">
        <v>75</v>
      </c>
      <c r="B34" s="3" t="s">
        <v>2522</v>
      </c>
      <c r="C34" s="3" t="s">
        <v>2796</v>
      </c>
      <c r="D34" s="3" t="s">
        <v>2831</v>
      </c>
      <c r="E34" s="3" t="s">
        <v>2694</v>
      </c>
      <c r="F34" s="3" t="s">
        <v>2836</v>
      </c>
      <c r="G34" s="3" t="s">
        <v>2793</v>
      </c>
      <c r="H34" s="3" t="s">
        <v>2793</v>
      </c>
      <c r="I34" s="3" t="s">
        <v>2793</v>
      </c>
    </row>
    <row r="35" spans="1:9" x14ac:dyDescent="0.25">
      <c r="A35" s="3" t="s">
        <v>101</v>
      </c>
      <c r="B35" s="3" t="s">
        <v>2816</v>
      </c>
      <c r="C35" s="3" t="s">
        <v>2815</v>
      </c>
      <c r="D35" s="3" t="s">
        <v>2828</v>
      </c>
      <c r="E35" s="3" t="s">
        <v>2832</v>
      </c>
      <c r="F35" s="3" t="s">
        <v>2799</v>
      </c>
      <c r="G35" s="3" t="s">
        <v>2793</v>
      </c>
      <c r="H35" s="3" t="s">
        <v>2793</v>
      </c>
      <c r="I35" s="3" t="s">
        <v>2793</v>
      </c>
    </row>
    <row r="36" spans="1:9" x14ac:dyDescent="0.25">
      <c r="A36" s="3" t="s">
        <v>162</v>
      </c>
      <c r="B36" s="3" t="s">
        <v>2792</v>
      </c>
      <c r="C36" s="3" t="s">
        <v>2804</v>
      </c>
      <c r="D36" s="3" t="s">
        <v>2811</v>
      </c>
      <c r="E36" s="3" t="s">
        <v>2824</v>
      </c>
      <c r="F36" s="3" t="s">
        <v>2824</v>
      </c>
      <c r="G36" s="3" t="s">
        <v>2824</v>
      </c>
      <c r="H36" s="3" t="s">
        <v>2824</v>
      </c>
      <c r="I36" s="3" t="s">
        <v>2824</v>
      </c>
    </row>
    <row r="37" spans="1:9" x14ac:dyDescent="0.25">
      <c r="A37" s="3" t="s">
        <v>119</v>
      </c>
      <c r="B37" s="3" t="s">
        <v>2813</v>
      </c>
      <c r="C37" s="3" t="s">
        <v>2799</v>
      </c>
      <c r="D37" s="3" t="s">
        <v>2795</v>
      </c>
      <c r="E37" s="3" t="s">
        <v>2824</v>
      </c>
      <c r="F37" s="3" t="s">
        <v>2824</v>
      </c>
      <c r="G37" s="3" t="s">
        <v>2824</v>
      </c>
      <c r="H37" s="3" t="s">
        <v>2824</v>
      </c>
      <c r="I37" s="3" t="s">
        <v>2824</v>
      </c>
    </row>
    <row r="38" spans="1:9" x14ac:dyDescent="0.25">
      <c r="A38" s="3" t="s">
        <v>156</v>
      </c>
      <c r="B38" s="3" t="s">
        <v>2807</v>
      </c>
      <c r="C38" s="3" t="s">
        <v>2806</v>
      </c>
      <c r="D38" s="3" t="s">
        <v>2835</v>
      </c>
      <c r="E38" s="3" t="s">
        <v>2824</v>
      </c>
      <c r="F38" s="3" t="s">
        <v>2824</v>
      </c>
      <c r="G38" s="3" t="s">
        <v>2824</v>
      </c>
      <c r="H38" s="3" t="s">
        <v>2824</v>
      </c>
      <c r="I38" s="3" t="s">
        <v>2824</v>
      </c>
    </row>
    <row r="39" spans="1:9" x14ac:dyDescent="0.25">
      <c r="A39" s="3" t="s">
        <v>126</v>
      </c>
      <c r="B39" s="3" t="s">
        <v>2836</v>
      </c>
      <c r="C39" s="3" t="s">
        <v>2810</v>
      </c>
      <c r="D39" s="3" t="s">
        <v>2833</v>
      </c>
      <c r="E39" s="3" t="s">
        <v>2830</v>
      </c>
      <c r="F39" s="3" t="s">
        <v>2824</v>
      </c>
      <c r="G39" s="3" t="s">
        <v>2824</v>
      </c>
      <c r="H39" s="3" t="s">
        <v>2824</v>
      </c>
      <c r="I39" s="3" t="s">
        <v>2824</v>
      </c>
    </row>
    <row r="40" spans="1:9" x14ac:dyDescent="0.25">
      <c r="A40" s="3" t="s">
        <v>82</v>
      </c>
      <c r="B40" s="3" t="s">
        <v>2826</v>
      </c>
      <c r="C40" s="3" t="s">
        <v>2839</v>
      </c>
      <c r="D40" s="3" t="s">
        <v>2825</v>
      </c>
      <c r="E40" s="3" t="s">
        <v>2804</v>
      </c>
      <c r="F40" s="3" t="s">
        <v>2824</v>
      </c>
      <c r="G40" s="3" t="s">
        <v>2824</v>
      </c>
      <c r="H40" s="3" t="s">
        <v>2824</v>
      </c>
      <c r="I40" s="3" t="s">
        <v>2824</v>
      </c>
    </row>
    <row r="41" spans="1:9" x14ac:dyDescent="0.25">
      <c r="A41" s="3" t="s">
        <v>2697</v>
      </c>
      <c r="B41" s="3" t="s">
        <v>2839</v>
      </c>
      <c r="C41" s="3" t="s">
        <v>2826</v>
      </c>
      <c r="D41" s="3" t="s">
        <v>2812</v>
      </c>
      <c r="E41" s="3" t="s">
        <v>2824</v>
      </c>
      <c r="F41" s="3" t="s">
        <v>2824</v>
      </c>
      <c r="G41" s="3" t="s">
        <v>2824</v>
      </c>
      <c r="H41" s="3" t="s">
        <v>2824</v>
      </c>
      <c r="I41" s="3" t="s">
        <v>2824</v>
      </c>
    </row>
    <row r="42" spans="1:9" x14ac:dyDescent="0.25">
      <c r="A42" s="3" t="s">
        <v>123</v>
      </c>
      <c r="B42" s="3" t="s">
        <v>2795</v>
      </c>
      <c r="C42" s="3" t="s">
        <v>2814</v>
      </c>
      <c r="D42" s="3" t="s">
        <v>2813</v>
      </c>
      <c r="E42" s="3" t="s">
        <v>2831</v>
      </c>
      <c r="F42" s="3" t="s">
        <v>2817</v>
      </c>
      <c r="G42" s="3" t="s">
        <v>2793</v>
      </c>
      <c r="H42" s="3" t="s">
        <v>2793</v>
      </c>
      <c r="I42" s="3" t="s">
        <v>2793</v>
      </c>
    </row>
    <row r="43" spans="1:9" x14ac:dyDescent="0.25">
      <c r="A43" s="3" t="s">
        <v>62</v>
      </c>
      <c r="B43" s="3" t="s">
        <v>2838</v>
      </c>
      <c r="C43" s="3" t="s">
        <v>2837</v>
      </c>
      <c r="D43" s="3" t="s">
        <v>2809</v>
      </c>
      <c r="E43" s="3" t="s">
        <v>2836</v>
      </c>
      <c r="F43" s="3" t="s">
        <v>2824</v>
      </c>
      <c r="G43" s="3" t="s">
        <v>2824</v>
      </c>
      <c r="H43" s="3" t="s">
        <v>2824</v>
      </c>
      <c r="I43" s="3" t="s">
        <v>2824</v>
      </c>
    </row>
    <row r="44" spans="1:9" x14ac:dyDescent="0.25">
      <c r="A44" s="3" t="s">
        <v>165</v>
      </c>
      <c r="B44" s="3" t="s">
        <v>2805</v>
      </c>
      <c r="C44" s="3" t="s">
        <v>2811</v>
      </c>
      <c r="D44" s="3" t="s">
        <v>2804</v>
      </c>
      <c r="E44" s="3" t="s">
        <v>2794</v>
      </c>
      <c r="F44" s="3" t="s">
        <v>2793</v>
      </c>
      <c r="G44" s="3" t="s">
        <v>2793</v>
      </c>
      <c r="H44" s="3" t="s">
        <v>2793</v>
      </c>
      <c r="I44" s="3" t="s">
        <v>2793</v>
      </c>
    </row>
    <row r="45" spans="1:9" x14ac:dyDescent="0.25">
      <c r="A45" s="3" t="s">
        <v>139</v>
      </c>
      <c r="B45" s="3" t="s">
        <v>2834</v>
      </c>
      <c r="C45" s="3" t="s">
        <v>2809</v>
      </c>
      <c r="D45" s="3" t="s">
        <v>2837</v>
      </c>
      <c r="E45" s="3" t="s">
        <v>2824</v>
      </c>
      <c r="F45" s="3" t="s">
        <v>2824</v>
      </c>
      <c r="G45" s="3" t="s">
        <v>2824</v>
      </c>
      <c r="H45" s="3" t="s">
        <v>2824</v>
      </c>
      <c r="I45" s="3" t="s">
        <v>2824</v>
      </c>
    </row>
    <row r="46" spans="1:9" x14ac:dyDescent="0.25">
      <c r="A46" s="3" t="s">
        <v>2696</v>
      </c>
      <c r="B46" s="3" t="s">
        <v>2831</v>
      </c>
      <c r="C46" s="3" t="s">
        <v>2797</v>
      </c>
      <c r="D46" s="3" t="s">
        <v>2522</v>
      </c>
      <c r="E46" s="3" t="s">
        <v>2824</v>
      </c>
      <c r="F46" s="3" t="s">
        <v>2824</v>
      </c>
      <c r="G46" s="3" t="s">
        <v>2824</v>
      </c>
      <c r="H46" s="3" t="s">
        <v>2824</v>
      </c>
      <c r="I46" s="3" t="s">
        <v>2824</v>
      </c>
    </row>
    <row r="47" spans="1:9" x14ac:dyDescent="0.25">
      <c r="A47" s="3" t="s">
        <v>2522</v>
      </c>
      <c r="B47" s="3" t="s">
        <v>2797</v>
      </c>
      <c r="C47" s="3" t="s">
        <v>2831</v>
      </c>
      <c r="D47" s="3" t="s">
        <v>2796</v>
      </c>
      <c r="E47" s="3" t="s">
        <v>2811</v>
      </c>
      <c r="F47" s="3" t="s">
        <v>2830</v>
      </c>
      <c r="G47" s="3" t="s">
        <v>2793</v>
      </c>
      <c r="H47" s="3" t="s">
        <v>2793</v>
      </c>
      <c r="I47" s="3" t="s">
        <v>2793</v>
      </c>
    </row>
    <row r="48" spans="1:9" x14ac:dyDescent="0.25">
      <c r="A48" s="3" t="s">
        <v>122</v>
      </c>
      <c r="B48" s="3" t="s">
        <v>2814</v>
      </c>
      <c r="C48" s="3" t="s">
        <v>2795</v>
      </c>
      <c r="D48" s="3" t="s">
        <v>2799</v>
      </c>
      <c r="E48" s="3" t="s">
        <v>2824</v>
      </c>
      <c r="F48" s="3" t="s">
        <v>2824</v>
      </c>
      <c r="G48" s="3" t="s">
        <v>2824</v>
      </c>
      <c r="H48" s="3" t="s">
        <v>2824</v>
      </c>
      <c r="I48" s="3" t="s">
        <v>2824</v>
      </c>
    </row>
    <row r="49" spans="1:9" x14ac:dyDescent="0.25">
      <c r="A49" s="3" t="s">
        <v>97</v>
      </c>
      <c r="B49" s="3" t="s">
        <v>2828</v>
      </c>
      <c r="C49" s="3" t="s">
        <v>2817</v>
      </c>
      <c r="D49" s="3" t="s">
        <v>2816</v>
      </c>
      <c r="E49" s="3" t="s">
        <v>2824</v>
      </c>
      <c r="F49" s="3" t="s">
        <v>2824</v>
      </c>
      <c r="G49" s="3" t="s">
        <v>2824</v>
      </c>
      <c r="H49" s="3" t="s">
        <v>2824</v>
      </c>
      <c r="I49" s="3" t="s">
        <v>2824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51AA-1B28-47F0-B80D-E04DBE91CD99}">
  <sheetPr filterMode="1"/>
  <dimension ref="A1:G1245"/>
  <sheetViews>
    <sheetView topLeftCell="A1075" workbookViewId="0">
      <selection activeCell="H5" sqref="H5"/>
    </sheetView>
  </sheetViews>
  <sheetFormatPr defaultColWidth="9.140625" defaultRowHeight="15" x14ac:dyDescent="0.25"/>
  <cols>
    <col min="1" max="1" width="12.85546875" style="3" bestFit="1" customWidth="1"/>
    <col min="2" max="2" width="45.85546875" style="3" bestFit="1" customWidth="1"/>
    <col min="3" max="3" width="25.28515625" style="3" bestFit="1" customWidth="1"/>
    <col min="4" max="4" width="20.42578125" style="3" bestFit="1" customWidth="1"/>
    <col min="5" max="5" width="9.140625" style="3"/>
    <col min="6" max="6" width="9.140625" style="3" customWidth="1"/>
    <col min="7" max="7" width="43.42578125" style="3" customWidth="1"/>
    <col min="8" max="16384" width="9.140625" style="3"/>
  </cols>
  <sheetData>
    <row r="1" spans="1:7" x14ac:dyDescent="0.25">
      <c r="A1" s="3" t="s">
        <v>271</v>
      </c>
      <c r="B1" s="3" t="s">
        <v>2840</v>
      </c>
      <c r="C1" s="3" t="s">
        <v>2841</v>
      </c>
      <c r="D1" s="3" t="s">
        <v>270</v>
      </c>
      <c r="E1" s="3" t="s">
        <v>271</v>
      </c>
      <c r="F1" s="3" t="s">
        <v>2842</v>
      </c>
      <c r="G1" s="3" t="s">
        <v>2842</v>
      </c>
    </row>
    <row r="2" spans="1:7" hidden="1" x14ac:dyDescent="0.25">
      <c r="A2" s="3" t="s">
        <v>551</v>
      </c>
      <c r="B2" s="3" t="s">
        <v>554</v>
      </c>
      <c r="C2" s="3" t="s">
        <v>555</v>
      </c>
      <c r="D2" s="3" t="s">
        <v>87</v>
      </c>
      <c r="E2" s="3" t="s">
        <v>2673</v>
      </c>
      <c r="F2" s="3">
        <f>COUNTIF(C2,PickedPlayers!D:D)</f>
        <v>0</v>
      </c>
      <c r="G2" s="3" t="str">
        <f>IF(F2&gt;0,"No","Yes")</f>
        <v>Yes</v>
      </c>
    </row>
    <row r="3" spans="1:7" hidden="1" x14ac:dyDescent="0.25">
      <c r="A3" s="3" t="s">
        <v>551</v>
      </c>
      <c r="B3" s="3" t="s">
        <v>552</v>
      </c>
      <c r="C3" s="3" t="s">
        <v>553</v>
      </c>
      <c r="D3" s="3" t="s">
        <v>87</v>
      </c>
      <c r="E3" s="3" t="s">
        <v>2673</v>
      </c>
      <c r="F3" s="3">
        <f>COUNTIF(C3,PickedPlayers!D:D)</f>
        <v>0</v>
      </c>
      <c r="G3" s="3" t="str">
        <f t="shared" ref="G3:G66" si="0">IF(F3&gt;0,"No","Yes")</f>
        <v>Yes</v>
      </c>
    </row>
    <row r="4" spans="1:7" hidden="1" x14ac:dyDescent="0.25">
      <c r="A4" s="3" t="s">
        <v>551</v>
      </c>
      <c r="B4" s="3" t="s">
        <v>556</v>
      </c>
      <c r="C4" s="3" t="s">
        <v>557</v>
      </c>
      <c r="D4" s="3" t="s">
        <v>87</v>
      </c>
      <c r="E4" s="3" t="s">
        <v>2673</v>
      </c>
      <c r="F4" s="3">
        <f>COUNTIF(C4,PickedPlayers!D:D)</f>
        <v>0</v>
      </c>
      <c r="G4" s="3" t="str">
        <f t="shared" si="0"/>
        <v>Yes</v>
      </c>
    </row>
    <row r="5" spans="1:7" hidden="1" x14ac:dyDescent="0.25">
      <c r="A5" s="3" t="s">
        <v>558</v>
      </c>
      <c r="B5" s="3" t="s">
        <v>563</v>
      </c>
      <c r="C5" s="3" t="s">
        <v>564</v>
      </c>
      <c r="D5" s="3" t="s">
        <v>87</v>
      </c>
      <c r="E5" s="3" t="s">
        <v>2674</v>
      </c>
      <c r="F5" s="3">
        <f>COUNTIF(C5,PickedPlayers!D:D)</f>
        <v>0</v>
      </c>
      <c r="G5" s="3" t="str">
        <f t="shared" si="0"/>
        <v>Yes</v>
      </c>
    </row>
    <row r="6" spans="1:7" hidden="1" x14ac:dyDescent="0.25">
      <c r="A6" s="3" t="s">
        <v>558</v>
      </c>
      <c r="B6" s="3" t="s">
        <v>559</v>
      </c>
      <c r="C6" s="3" t="s">
        <v>560</v>
      </c>
      <c r="D6" s="3" t="s">
        <v>87</v>
      </c>
      <c r="E6" s="3" t="s">
        <v>2674</v>
      </c>
      <c r="F6" s="3">
        <f>COUNTIF(C6,PickedPlayers!D:D)</f>
        <v>0</v>
      </c>
      <c r="G6" s="3" t="str">
        <f t="shared" si="0"/>
        <v>Yes</v>
      </c>
    </row>
    <row r="7" spans="1:7" hidden="1" x14ac:dyDescent="0.25">
      <c r="A7" s="3" t="s">
        <v>558</v>
      </c>
      <c r="B7" s="3" t="s">
        <v>575</v>
      </c>
      <c r="C7" s="3" t="s">
        <v>576</v>
      </c>
      <c r="D7" s="3" t="s">
        <v>87</v>
      </c>
      <c r="E7" s="3" t="s">
        <v>2674</v>
      </c>
      <c r="F7" s="3">
        <f>COUNTIF(C7,PickedPlayers!D:D)</f>
        <v>0</v>
      </c>
      <c r="G7" s="3" t="str">
        <f t="shared" si="0"/>
        <v>Yes</v>
      </c>
    </row>
    <row r="8" spans="1:7" hidden="1" x14ac:dyDescent="0.25">
      <c r="A8" s="3" t="s">
        <v>558</v>
      </c>
      <c r="B8" s="3" t="s">
        <v>567</v>
      </c>
      <c r="C8" s="3" t="s">
        <v>568</v>
      </c>
      <c r="D8" s="3" t="s">
        <v>87</v>
      </c>
      <c r="E8" s="3" t="s">
        <v>2674</v>
      </c>
      <c r="F8" s="3">
        <f>COUNTIF(C8,PickedPlayers!D:D)</f>
        <v>0</v>
      </c>
      <c r="G8" s="3" t="str">
        <f t="shared" si="0"/>
        <v>Yes</v>
      </c>
    </row>
    <row r="9" spans="1:7" hidden="1" x14ac:dyDescent="0.25">
      <c r="A9" s="3" t="s">
        <v>558</v>
      </c>
      <c r="B9" s="3" t="s">
        <v>561</v>
      </c>
      <c r="C9" s="3" t="s">
        <v>562</v>
      </c>
      <c r="D9" s="3" t="s">
        <v>87</v>
      </c>
      <c r="E9" s="3" t="s">
        <v>2674</v>
      </c>
      <c r="F9" s="3">
        <f>COUNTIF(C9,PickedPlayers!D:D)</f>
        <v>0</v>
      </c>
      <c r="G9" s="3" t="str">
        <f t="shared" si="0"/>
        <v>Yes</v>
      </c>
    </row>
    <row r="10" spans="1:7" hidden="1" x14ac:dyDescent="0.25">
      <c r="A10" s="3" t="s">
        <v>558</v>
      </c>
      <c r="B10" s="3" t="s">
        <v>565</v>
      </c>
      <c r="C10" s="3" t="s">
        <v>566</v>
      </c>
      <c r="D10" s="3" t="s">
        <v>87</v>
      </c>
      <c r="E10" s="3" t="s">
        <v>2674</v>
      </c>
      <c r="F10" s="3">
        <f>COUNTIF(C10,PickedPlayers!D:D)</f>
        <v>0</v>
      </c>
      <c r="G10" s="3" t="str">
        <f t="shared" si="0"/>
        <v>Yes</v>
      </c>
    </row>
    <row r="11" spans="1:7" hidden="1" x14ac:dyDescent="0.25">
      <c r="A11" s="3" t="s">
        <v>558</v>
      </c>
      <c r="B11" s="3" t="s">
        <v>569</v>
      </c>
      <c r="C11" s="3" t="s">
        <v>570</v>
      </c>
      <c r="D11" s="3" t="s">
        <v>87</v>
      </c>
      <c r="E11" s="3" t="s">
        <v>2674</v>
      </c>
      <c r="F11" s="3">
        <f>COUNTIF(C11,PickedPlayers!D:D)</f>
        <v>0</v>
      </c>
      <c r="G11" s="3" t="str">
        <f t="shared" si="0"/>
        <v>Yes</v>
      </c>
    </row>
    <row r="12" spans="1:7" hidden="1" x14ac:dyDescent="0.25">
      <c r="A12" s="3" t="s">
        <v>558</v>
      </c>
      <c r="B12" s="3" t="s">
        <v>573</v>
      </c>
      <c r="C12" s="3" t="s">
        <v>574</v>
      </c>
      <c r="D12" s="3" t="s">
        <v>87</v>
      </c>
      <c r="E12" s="3" t="s">
        <v>2674</v>
      </c>
      <c r="F12" s="3">
        <f>COUNTIF(C12,PickedPlayers!D:D)</f>
        <v>0</v>
      </c>
      <c r="G12" s="3" t="str">
        <f t="shared" si="0"/>
        <v>Yes</v>
      </c>
    </row>
    <row r="13" spans="1:7" hidden="1" x14ac:dyDescent="0.25">
      <c r="A13" s="3" t="s">
        <v>558</v>
      </c>
      <c r="B13" s="3" t="s">
        <v>571</v>
      </c>
      <c r="C13" s="3" t="s">
        <v>572</v>
      </c>
      <c r="D13" s="3" t="s">
        <v>87</v>
      </c>
      <c r="E13" s="3" t="s">
        <v>2674</v>
      </c>
      <c r="F13" s="3">
        <f>COUNTIF(C13,PickedPlayers!D:D)</f>
        <v>0</v>
      </c>
      <c r="G13" s="3" t="str">
        <f t="shared" si="0"/>
        <v>Yes</v>
      </c>
    </row>
    <row r="14" spans="1:7" x14ac:dyDescent="0.25">
      <c r="A14" s="3" t="s">
        <v>577</v>
      </c>
      <c r="B14" s="3" t="s">
        <v>586</v>
      </c>
      <c r="C14" s="3" t="s">
        <v>587</v>
      </c>
      <c r="D14" s="3" t="s">
        <v>87</v>
      </c>
      <c r="E14" s="3" t="s">
        <v>2675</v>
      </c>
      <c r="F14" s="3">
        <f>COUNTIF(C14,PickedPlayers!D:D)</f>
        <v>0</v>
      </c>
      <c r="G14" s="3" t="str">
        <f t="shared" si="0"/>
        <v>Yes</v>
      </c>
    </row>
    <row r="15" spans="1:7" x14ac:dyDescent="0.25">
      <c r="A15" s="3" t="s">
        <v>577</v>
      </c>
      <c r="B15" s="3" t="s">
        <v>582</v>
      </c>
      <c r="C15" s="3" t="s">
        <v>583</v>
      </c>
      <c r="D15" s="3" t="s">
        <v>87</v>
      </c>
      <c r="E15" s="3" t="s">
        <v>2675</v>
      </c>
      <c r="F15" s="3">
        <f>COUNTIF(C15,PickedPlayers!D:D)</f>
        <v>0</v>
      </c>
      <c r="G15" s="3" t="str">
        <f t="shared" si="0"/>
        <v>Yes</v>
      </c>
    </row>
    <row r="16" spans="1:7" x14ac:dyDescent="0.25">
      <c r="A16" s="3" t="s">
        <v>577</v>
      </c>
      <c r="B16" s="3" t="s">
        <v>590</v>
      </c>
      <c r="C16" s="3" t="s">
        <v>591</v>
      </c>
      <c r="D16" s="3" t="s">
        <v>87</v>
      </c>
      <c r="E16" s="3" t="s">
        <v>2675</v>
      </c>
      <c r="F16" s="3">
        <f>COUNTIF(C16,PickedPlayers!D:D)</f>
        <v>0</v>
      </c>
      <c r="G16" s="3" t="str">
        <f t="shared" si="0"/>
        <v>Yes</v>
      </c>
    </row>
    <row r="17" spans="1:7" x14ac:dyDescent="0.25">
      <c r="A17" s="3" t="s">
        <v>577</v>
      </c>
      <c r="B17" s="3" t="s">
        <v>584</v>
      </c>
      <c r="C17" s="3" t="s">
        <v>585</v>
      </c>
      <c r="D17" s="3" t="s">
        <v>87</v>
      </c>
      <c r="E17" s="3" t="s">
        <v>2675</v>
      </c>
      <c r="F17" s="3">
        <f>COUNTIF(C17,PickedPlayers!D:D)</f>
        <v>0</v>
      </c>
      <c r="G17" s="3" t="str">
        <f t="shared" si="0"/>
        <v>Yes</v>
      </c>
    </row>
    <row r="18" spans="1:7" x14ac:dyDescent="0.25">
      <c r="A18" s="3" t="s">
        <v>577</v>
      </c>
      <c r="B18" s="3" t="s">
        <v>580</v>
      </c>
      <c r="C18" s="3" t="s">
        <v>581</v>
      </c>
      <c r="D18" s="3" t="s">
        <v>87</v>
      </c>
      <c r="E18" s="3" t="s">
        <v>2675</v>
      </c>
      <c r="F18" s="3">
        <f>COUNTIF(C18,PickedPlayers!D:D)</f>
        <v>0</v>
      </c>
      <c r="G18" s="3" t="str">
        <f t="shared" si="0"/>
        <v>Yes</v>
      </c>
    </row>
    <row r="19" spans="1:7" x14ac:dyDescent="0.25">
      <c r="A19" s="3" t="s">
        <v>577</v>
      </c>
      <c r="B19" s="3" t="s">
        <v>578</v>
      </c>
      <c r="C19" s="3" t="s">
        <v>579</v>
      </c>
      <c r="D19" s="3" t="s">
        <v>87</v>
      </c>
      <c r="E19" s="3" t="s">
        <v>2675</v>
      </c>
      <c r="F19" s="3">
        <f>COUNTIF(C19,PickedPlayers!D:D)</f>
        <v>0</v>
      </c>
      <c r="G19" s="3" t="str">
        <f t="shared" si="0"/>
        <v>Yes</v>
      </c>
    </row>
    <row r="20" spans="1:7" x14ac:dyDescent="0.25">
      <c r="A20" s="3" t="s">
        <v>577</v>
      </c>
      <c r="B20" s="3" t="s">
        <v>588</v>
      </c>
      <c r="C20" s="3" t="s">
        <v>589</v>
      </c>
      <c r="D20" s="3" t="s">
        <v>87</v>
      </c>
      <c r="E20" s="3" t="s">
        <v>2675</v>
      </c>
      <c r="F20" s="3">
        <f>COUNTIF(C20,PickedPlayers!D:D)</f>
        <v>0</v>
      </c>
      <c r="G20" s="3" t="str">
        <f t="shared" si="0"/>
        <v>Yes</v>
      </c>
    </row>
    <row r="21" spans="1:7" hidden="1" x14ac:dyDescent="0.25">
      <c r="A21" s="3" t="s">
        <v>592</v>
      </c>
      <c r="B21" s="3" t="s">
        <v>599</v>
      </c>
      <c r="C21" s="3" t="s">
        <v>600</v>
      </c>
      <c r="D21" s="3" t="s">
        <v>87</v>
      </c>
      <c r="E21" s="3" t="s">
        <v>2677</v>
      </c>
      <c r="F21" s="3">
        <f>COUNTIF(C21,PickedPlayers!D:D)</f>
        <v>0</v>
      </c>
      <c r="G21" s="3" t="str">
        <f t="shared" si="0"/>
        <v>Yes</v>
      </c>
    </row>
    <row r="22" spans="1:7" hidden="1" x14ac:dyDescent="0.25">
      <c r="A22" s="3" t="s">
        <v>592</v>
      </c>
      <c r="B22" s="3" t="s">
        <v>597</v>
      </c>
      <c r="C22" s="3" t="s">
        <v>598</v>
      </c>
      <c r="D22" s="3" t="s">
        <v>87</v>
      </c>
      <c r="E22" s="3" t="s">
        <v>2677</v>
      </c>
      <c r="F22" s="3">
        <f>COUNTIF(C22,PickedPlayers!D:D)</f>
        <v>0</v>
      </c>
      <c r="G22" s="3" t="str">
        <f t="shared" si="0"/>
        <v>Yes</v>
      </c>
    </row>
    <row r="23" spans="1:7" hidden="1" x14ac:dyDescent="0.25">
      <c r="A23" s="3" t="s">
        <v>592</v>
      </c>
      <c r="B23" s="3" t="s">
        <v>601</v>
      </c>
      <c r="C23" s="3" t="s">
        <v>602</v>
      </c>
      <c r="D23" s="3" t="s">
        <v>87</v>
      </c>
      <c r="E23" s="3" t="s">
        <v>2677</v>
      </c>
      <c r="F23" s="3">
        <f>COUNTIF(C23,PickedPlayers!D:D)</f>
        <v>0</v>
      </c>
      <c r="G23" s="3" t="str">
        <f t="shared" si="0"/>
        <v>Yes</v>
      </c>
    </row>
    <row r="24" spans="1:7" hidden="1" x14ac:dyDescent="0.25">
      <c r="A24" s="3" t="s">
        <v>592</v>
      </c>
      <c r="B24" s="3" t="s">
        <v>603</v>
      </c>
      <c r="C24" s="3" t="s">
        <v>604</v>
      </c>
      <c r="D24" s="3" t="s">
        <v>87</v>
      </c>
      <c r="E24" s="3" t="s">
        <v>2677</v>
      </c>
      <c r="F24" s="3">
        <f>COUNTIF(C24,PickedPlayers!D:D)</f>
        <v>0</v>
      </c>
      <c r="G24" s="3" t="str">
        <f t="shared" si="0"/>
        <v>Yes</v>
      </c>
    </row>
    <row r="25" spans="1:7" hidden="1" x14ac:dyDescent="0.25">
      <c r="A25" s="3" t="s">
        <v>592</v>
      </c>
      <c r="B25" s="3" t="s">
        <v>595</v>
      </c>
      <c r="C25" s="3" t="s">
        <v>596</v>
      </c>
      <c r="D25" s="3" t="s">
        <v>87</v>
      </c>
      <c r="E25" s="3" t="s">
        <v>2677</v>
      </c>
      <c r="F25" s="3">
        <f>COUNTIF(C25,PickedPlayers!D:D)</f>
        <v>0</v>
      </c>
      <c r="G25" s="3" t="str">
        <f t="shared" si="0"/>
        <v>Yes</v>
      </c>
    </row>
    <row r="26" spans="1:7" hidden="1" x14ac:dyDescent="0.25">
      <c r="A26" s="3" t="s">
        <v>592</v>
      </c>
      <c r="B26" s="3" t="s">
        <v>605</v>
      </c>
      <c r="C26" s="3" t="s">
        <v>606</v>
      </c>
      <c r="D26" s="3" t="s">
        <v>87</v>
      </c>
      <c r="E26" s="3" t="s">
        <v>2677</v>
      </c>
      <c r="F26" s="3">
        <f>COUNTIF(C26,PickedPlayers!D:D)</f>
        <v>0</v>
      </c>
      <c r="G26" s="3" t="str">
        <f t="shared" si="0"/>
        <v>Yes</v>
      </c>
    </row>
    <row r="27" spans="1:7" hidden="1" x14ac:dyDescent="0.25">
      <c r="A27" s="3" t="s">
        <v>592</v>
      </c>
      <c r="B27" s="3" t="s">
        <v>593</v>
      </c>
      <c r="C27" s="3" t="s">
        <v>594</v>
      </c>
      <c r="D27" s="3" t="s">
        <v>87</v>
      </c>
      <c r="E27" s="3" t="s">
        <v>2677</v>
      </c>
      <c r="F27" s="3">
        <f>COUNTIF(C27,PickedPlayers!D:D)</f>
        <v>0</v>
      </c>
      <c r="G27" s="3" t="str">
        <f t="shared" si="0"/>
        <v>Yes</v>
      </c>
    </row>
    <row r="28" spans="1:7" hidden="1" x14ac:dyDescent="0.25">
      <c r="A28" s="3" t="s">
        <v>551</v>
      </c>
      <c r="B28" s="3" t="s">
        <v>609</v>
      </c>
      <c r="C28" s="3" t="s">
        <v>340</v>
      </c>
      <c r="D28" s="3" t="s">
        <v>40</v>
      </c>
      <c r="E28" s="3" t="s">
        <v>2673</v>
      </c>
      <c r="F28" s="3">
        <f>COUNTIF(C28,PickedPlayers!D:D)</f>
        <v>0</v>
      </c>
      <c r="G28" s="3" t="str">
        <f t="shared" si="0"/>
        <v>Yes</v>
      </c>
    </row>
    <row r="29" spans="1:7" hidden="1" x14ac:dyDescent="0.25">
      <c r="A29" s="3" t="s">
        <v>551</v>
      </c>
      <c r="B29" s="3" t="s">
        <v>610</v>
      </c>
      <c r="C29" s="3" t="s">
        <v>611</v>
      </c>
      <c r="D29" s="3" t="s">
        <v>40</v>
      </c>
      <c r="E29" s="3" t="s">
        <v>2673</v>
      </c>
      <c r="F29" s="3">
        <f>COUNTIF(C29,PickedPlayers!D:D)</f>
        <v>0</v>
      </c>
      <c r="G29" s="3" t="str">
        <f t="shared" si="0"/>
        <v>Yes</v>
      </c>
    </row>
    <row r="30" spans="1:7" hidden="1" x14ac:dyDescent="0.25">
      <c r="A30" s="3" t="s">
        <v>551</v>
      </c>
      <c r="B30" s="3" t="s">
        <v>607</v>
      </c>
      <c r="C30" s="3" t="s">
        <v>608</v>
      </c>
      <c r="D30" s="3" t="s">
        <v>40</v>
      </c>
      <c r="E30" s="3" t="s">
        <v>2673</v>
      </c>
      <c r="F30" s="3">
        <f>COUNTIF(C30,PickedPlayers!D:D)</f>
        <v>0</v>
      </c>
      <c r="G30" s="3" t="str">
        <f t="shared" si="0"/>
        <v>Yes</v>
      </c>
    </row>
    <row r="31" spans="1:7" hidden="1" x14ac:dyDescent="0.25">
      <c r="A31" s="3" t="s">
        <v>558</v>
      </c>
      <c r="B31" s="3" t="s">
        <v>619</v>
      </c>
      <c r="C31" s="3" t="s">
        <v>444</v>
      </c>
      <c r="D31" s="3" t="s">
        <v>40</v>
      </c>
      <c r="E31" s="3" t="s">
        <v>2674</v>
      </c>
      <c r="F31" s="3">
        <f>COUNTIF(C31,PickedPlayers!D:D)</f>
        <v>0</v>
      </c>
      <c r="G31" s="3" t="str">
        <f t="shared" si="0"/>
        <v>Yes</v>
      </c>
    </row>
    <row r="32" spans="1:7" hidden="1" x14ac:dyDescent="0.25">
      <c r="A32" s="3" t="s">
        <v>558</v>
      </c>
      <c r="B32" s="3" t="s">
        <v>617</v>
      </c>
      <c r="C32" s="3" t="s">
        <v>550</v>
      </c>
      <c r="D32" s="3" t="s">
        <v>40</v>
      </c>
      <c r="E32" s="3" t="s">
        <v>2674</v>
      </c>
      <c r="F32" s="3">
        <f>COUNTIF(C32,PickedPlayers!D:D)</f>
        <v>0</v>
      </c>
      <c r="G32" s="3" t="str">
        <f t="shared" si="0"/>
        <v>Yes</v>
      </c>
    </row>
    <row r="33" spans="1:7" hidden="1" x14ac:dyDescent="0.25">
      <c r="A33" s="3" t="s">
        <v>558</v>
      </c>
      <c r="B33" s="3" t="s">
        <v>615</v>
      </c>
      <c r="C33" s="3" t="s">
        <v>616</v>
      </c>
      <c r="D33" s="3" t="s">
        <v>40</v>
      </c>
      <c r="E33" s="3" t="s">
        <v>2674</v>
      </c>
      <c r="F33" s="3">
        <f>COUNTIF(C33,PickedPlayers!D:D)</f>
        <v>0</v>
      </c>
      <c r="G33" s="3" t="str">
        <f t="shared" si="0"/>
        <v>Yes</v>
      </c>
    </row>
    <row r="34" spans="1:7" hidden="1" x14ac:dyDescent="0.25">
      <c r="A34" s="3" t="s">
        <v>558</v>
      </c>
      <c r="B34" s="3" t="s">
        <v>477</v>
      </c>
      <c r="C34" s="3" t="s">
        <v>477</v>
      </c>
      <c r="D34" s="3" t="s">
        <v>40</v>
      </c>
      <c r="E34" s="3" t="s">
        <v>2674</v>
      </c>
      <c r="F34" s="3">
        <f>COUNTIF(C34,PickedPlayers!D:D)</f>
        <v>0</v>
      </c>
      <c r="G34" s="3" t="str">
        <f t="shared" si="0"/>
        <v>Yes</v>
      </c>
    </row>
    <row r="35" spans="1:7" hidden="1" x14ac:dyDescent="0.25">
      <c r="A35" s="3" t="s">
        <v>558</v>
      </c>
      <c r="B35" s="3" t="s">
        <v>618</v>
      </c>
      <c r="C35" s="3" t="s">
        <v>509</v>
      </c>
      <c r="D35" s="3" t="s">
        <v>40</v>
      </c>
      <c r="E35" s="3" t="s">
        <v>2674</v>
      </c>
      <c r="F35" s="3">
        <f>COUNTIF(C35,PickedPlayers!D:D)</f>
        <v>0</v>
      </c>
      <c r="G35" s="3" t="str">
        <f t="shared" si="0"/>
        <v>Yes</v>
      </c>
    </row>
    <row r="36" spans="1:7" hidden="1" x14ac:dyDescent="0.25">
      <c r="A36" s="3" t="s">
        <v>558</v>
      </c>
      <c r="B36" s="3" t="s">
        <v>613</v>
      </c>
      <c r="C36" s="3" t="s">
        <v>614</v>
      </c>
      <c r="D36" s="3" t="s">
        <v>40</v>
      </c>
      <c r="E36" s="3" t="s">
        <v>2674</v>
      </c>
      <c r="F36" s="3">
        <f>COUNTIF(C36,PickedPlayers!D:D)</f>
        <v>0</v>
      </c>
      <c r="G36" s="3" t="str">
        <f t="shared" si="0"/>
        <v>Yes</v>
      </c>
    </row>
    <row r="37" spans="1:7" hidden="1" x14ac:dyDescent="0.25">
      <c r="A37" s="3" t="s">
        <v>558</v>
      </c>
      <c r="B37" s="3" t="s">
        <v>612</v>
      </c>
      <c r="C37" s="3" t="s">
        <v>424</v>
      </c>
      <c r="D37" s="3" t="s">
        <v>40</v>
      </c>
      <c r="E37" s="3" t="s">
        <v>2674</v>
      </c>
      <c r="F37" s="3">
        <f>COUNTIF(C37,PickedPlayers!D:D)</f>
        <v>0</v>
      </c>
      <c r="G37" s="3" t="str">
        <f t="shared" si="0"/>
        <v>Yes</v>
      </c>
    </row>
    <row r="38" spans="1:7" x14ac:dyDescent="0.25">
      <c r="A38" s="3" t="s">
        <v>577</v>
      </c>
      <c r="B38" s="3" t="s">
        <v>629</v>
      </c>
      <c r="C38" s="3" t="s">
        <v>420</v>
      </c>
      <c r="D38" s="3" t="s">
        <v>40</v>
      </c>
      <c r="E38" s="3" t="s">
        <v>2675</v>
      </c>
      <c r="F38" s="3">
        <f>COUNTIF(C38,PickedPlayers!D:D)</f>
        <v>0</v>
      </c>
      <c r="G38" s="3" t="str">
        <f t="shared" si="0"/>
        <v>Yes</v>
      </c>
    </row>
    <row r="39" spans="1:7" x14ac:dyDescent="0.25">
      <c r="A39" s="3" t="s">
        <v>577</v>
      </c>
      <c r="B39" s="3" t="s">
        <v>632</v>
      </c>
      <c r="C39" s="3" t="s">
        <v>328</v>
      </c>
      <c r="D39" s="3" t="s">
        <v>40</v>
      </c>
      <c r="E39" s="3" t="s">
        <v>2675</v>
      </c>
      <c r="F39" s="3">
        <f>COUNTIF(C39,PickedPlayers!D:D)</f>
        <v>0</v>
      </c>
      <c r="G39" s="3" t="str">
        <f t="shared" si="0"/>
        <v>Yes</v>
      </c>
    </row>
    <row r="40" spans="1:7" x14ac:dyDescent="0.25">
      <c r="A40" s="3" t="s">
        <v>577</v>
      </c>
      <c r="B40" s="3" t="s">
        <v>622</v>
      </c>
      <c r="C40" s="3" t="s">
        <v>623</v>
      </c>
      <c r="D40" s="3" t="s">
        <v>40</v>
      </c>
      <c r="E40" s="3" t="s">
        <v>2675</v>
      </c>
      <c r="F40" s="3">
        <f>COUNTIF(C40,PickedPlayers!D:D)</f>
        <v>0</v>
      </c>
      <c r="G40" s="3" t="str">
        <f t="shared" si="0"/>
        <v>Yes</v>
      </c>
    </row>
    <row r="41" spans="1:7" x14ac:dyDescent="0.25">
      <c r="A41" s="3" t="s">
        <v>577</v>
      </c>
      <c r="B41" s="3" t="s">
        <v>630</v>
      </c>
      <c r="C41" s="3" t="s">
        <v>631</v>
      </c>
      <c r="D41" s="3" t="s">
        <v>40</v>
      </c>
      <c r="E41" s="3" t="s">
        <v>2675</v>
      </c>
      <c r="F41" s="3">
        <f>COUNTIF(C41,PickedPlayers!D:D)</f>
        <v>0</v>
      </c>
      <c r="G41" s="3" t="str">
        <f t="shared" si="0"/>
        <v>Yes</v>
      </c>
    </row>
    <row r="42" spans="1:7" x14ac:dyDescent="0.25">
      <c r="A42" s="3" t="s">
        <v>577</v>
      </c>
      <c r="B42" s="3" t="s">
        <v>620</v>
      </c>
      <c r="C42" s="3" t="s">
        <v>621</v>
      </c>
      <c r="D42" s="3" t="s">
        <v>40</v>
      </c>
      <c r="E42" s="3" t="s">
        <v>2675</v>
      </c>
      <c r="F42" s="3">
        <f>COUNTIF(C42,PickedPlayers!D:D)</f>
        <v>0</v>
      </c>
      <c r="G42" s="3" t="str">
        <f t="shared" si="0"/>
        <v>Yes</v>
      </c>
    </row>
    <row r="43" spans="1:7" x14ac:dyDescent="0.25">
      <c r="A43" s="3" t="s">
        <v>577</v>
      </c>
      <c r="B43" s="3" t="s">
        <v>624</v>
      </c>
      <c r="C43" s="3" t="s">
        <v>547</v>
      </c>
      <c r="D43" s="3" t="s">
        <v>40</v>
      </c>
      <c r="E43" s="3" t="s">
        <v>2675</v>
      </c>
      <c r="F43" s="3">
        <f>COUNTIF(C43,PickedPlayers!D:D)</f>
        <v>0</v>
      </c>
      <c r="G43" s="3" t="str">
        <f t="shared" si="0"/>
        <v>Yes</v>
      </c>
    </row>
    <row r="44" spans="1:7" x14ac:dyDescent="0.25">
      <c r="A44" s="3" t="s">
        <v>577</v>
      </c>
      <c r="B44" s="3" t="s">
        <v>625</v>
      </c>
      <c r="C44" s="3" t="s">
        <v>626</v>
      </c>
      <c r="D44" s="3" t="s">
        <v>40</v>
      </c>
      <c r="E44" s="3" t="s">
        <v>2675</v>
      </c>
      <c r="F44" s="3">
        <f>COUNTIF(C44,PickedPlayers!D:D)</f>
        <v>0</v>
      </c>
      <c r="G44" s="3" t="str">
        <f t="shared" si="0"/>
        <v>Yes</v>
      </c>
    </row>
    <row r="45" spans="1:7" x14ac:dyDescent="0.25">
      <c r="A45" s="3" t="s">
        <v>577</v>
      </c>
      <c r="B45" s="3" t="s">
        <v>627</v>
      </c>
      <c r="C45" s="3" t="s">
        <v>628</v>
      </c>
      <c r="D45" s="3" t="s">
        <v>40</v>
      </c>
      <c r="E45" s="3" t="s">
        <v>2675</v>
      </c>
      <c r="F45" s="3">
        <f>COUNTIF(C45,PickedPlayers!D:D)</f>
        <v>0</v>
      </c>
      <c r="G45" s="3" t="str">
        <f t="shared" si="0"/>
        <v>Yes</v>
      </c>
    </row>
    <row r="46" spans="1:7" hidden="1" x14ac:dyDescent="0.25">
      <c r="A46" s="3" t="s">
        <v>592</v>
      </c>
      <c r="B46" s="3" t="s">
        <v>641</v>
      </c>
      <c r="C46" s="3" t="s">
        <v>642</v>
      </c>
      <c r="D46" s="3" t="s">
        <v>40</v>
      </c>
      <c r="E46" s="3" t="s">
        <v>2677</v>
      </c>
      <c r="F46" s="3">
        <f>COUNTIF(C46,PickedPlayers!D:D)</f>
        <v>0</v>
      </c>
      <c r="G46" s="3" t="str">
        <f t="shared" si="0"/>
        <v>Yes</v>
      </c>
    </row>
    <row r="47" spans="1:7" hidden="1" x14ac:dyDescent="0.25">
      <c r="A47" s="3" t="s">
        <v>592</v>
      </c>
      <c r="B47" s="3" t="s">
        <v>633</v>
      </c>
      <c r="C47" s="3" t="s">
        <v>300</v>
      </c>
      <c r="D47" s="3" t="s">
        <v>40</v>
      </c>
      <c r="E47" s="3" t="s">
        <v>2677</v>
      </c>
      <c r="F47" s="3">
        <f>COUNTIF(C47,PickedPlayers!D:D)</f>
        <v>0</v>
      </c>
      <c r="G47" s="3" t="str">
        <f t="shared" si="0"/>
        <v>Yes</v>
      </c>
    </row>
    <row r="48" spans="1:7" hidden="1" x14ac:dyDescent="0.25">
      <c r="A48" s="3" t="s">
        <v>592</v>
      </c>
      <c r="B48" s="3" t="s">
        <v>637</v>
      </c>
      <c r="C48" s="3" t="s">
        <v>638</v>
      </c>
      <c r="D48" s="3" t="s">
        <v>40</v>
      </c>
      <c r="E48" s="3" t="s">
        <v>2677</v>
      </c>
      <c r="F48" s="3">
        <f>COUNTIF(C48,PickedPlayers!D:D)</f>
        <v>0</v>
      </c>
      <c r="G48" s="3" t="str">
        <f t="shared" si="0"/>
        <v>Yes</v>
      </c>
    </row>
    <row r="49" spans="1:7" hidden="1" x14ac:dyDescent="0.25">
      <c r="A49" s="3" t="s">
        <v>592</v>
      </c>
      <c r="B49" s="3" t="s">
        <v>636</v>
      </c>
      <c r="C49" s="3" t="s">
        <v>290</v>
      </c>
      <c r="D49" s="3" t="s">
        <v>40</v>
      </c>
      <c r="E49" s="3" t="s">
        <v>2677</v>
      </c>
      <c r="F49" s="3">
        <f>COUNTIF(C49,PickedPlayers!D:D)</f>
        <v>0</v>
      </c>
      <c r="G49" s="3" t="str">
        <f t="shared" si="0"/>
        <v>Yes</v>
      </c>
    </row>
    <row r="50" spans="1:7" hidden="1" x14ac:dyDescent="0.25">
      <c r="A50" s="3" t="s">
        <v>592</v>
      </c>
      <c r="B50" s="3" t="s">
        <v>374</v>
      </c>
      <c r="C50" s="3" t="s">
        <v>374</v>
      </c>
      <c r="D50" s="3" t="s">
        <v>40</v>
      </c>
      <c r="E50" s="3" t="s">
        <v>2677</v>
      </c>
      <c r="F50" s="3">
        <f>COUNTIF(C50,PickedPlayers!D:D)</f>
        <v>0</v>
      </c>
      <c r="G50" s="3" t="str">
        <f t="shared" si="0"/>
        <v>Yes</v>
      </c>
    </row>
    <row r="51" spans="1:7" hidden="1" x14ac:dyDescent="0.25">
      <c r="A51" s="3" t="s">
        <v>592</v>
      </c>
      <c r="B51" s="3" t="s">
        <v>639</v>
      </c>
      <c r="C51" s="3" t="s">
        <v>640</v>
      </c>
      <c r="D51" s="3" t="s">
        <v>40</v>
      </c>
      <c r="E51" s="3" t="s">
        <v>2677</v>
      </c>
      <c r="F51" s="3">
        <f>COUNTIF(C51,PickedPlayers!D:D)</f>
        <v>0</v>
      </c>
      <c r="G51" s="3" t="str">
        <f t="shared" si="0"/>
        <v>Yes</v>
      </c>
    </row>
    <row r="52" spans="1:7" hidden="1" x14ac:dyDescent="0.25">
      <c r="A52" s="3" t="s">
        <v>592</v>
      </c>
      <c r="B52" s="3" t="s">
        <v>634</v>
      </c>
      <c r="C52" s="3" t="s">
        <v>635</v>
      </c>
      <c r="D52" s="3" t="s">
        <v>40</v>
      </c>
      <c r="E52" s="3" t="s">
        <v>2677</v>
      </c>
      <c r="F52" s="3">
        <f>COUNTIF(C52,PickedPlayers!D:D)</f>
        <v>0</v>
      </c>
      <c r="G52" s="3" t="str">
        <f t="shared" si="0"/>
        <v>Yes</v>
      </c>
    </row>
    <row r="53" spans="1:7" hidden="1" x14ac:dyDescent="0.25">
      <c r="A53" s="3" t="s">
        <v>551</v>
      </c>
      <c r="B53" s="3" t="s">
        <v>643</v>
      </c>
      <c r="C53" s="3" t="s">
        <v>644</v>
      </c>
      <c r="D53" s="3" t="s">
        <v>45</v>
      </c>
      <c r="E53" s="3" t="s">
        <v>2673</v>
      </c>
      <c r="F53" s="3">
        <f>COUNTIF(C53,PickedPlayers!D:D)</f>
        <v>0</v>
      </c>
      <c r="G53" s="3" t="str">
        <f t="shared" si="0"/>
        <v>Yes</v>
      </c>
    </row>
    <row r="54" spans="1:7" hidden="1" x14ac:dyDescent="0.25">
      <c r="A54" s="3" t="s">
        <v>551</v>
      </c>
      <c r="B54" s="3" t="s">
        <v>645</v>
      </c>
      <c r="C54" s="3" t="s">
        <v>646</v>
      </c>
      <c r="D54" s="3" t="s">
        <v>45</v>
      </c>
      <c r="E54" s="3" t="s">
        <v>2673</v>
      </c>
      <c r="F54" s="3">
        <f>COUNTIF(C54,PickedPlayers!D:D)</f>
        <v>0</v>
      </c>
      <c r="G54" s="3" t="str">
        <f t="shared" si="0"/>
        <v>Yes</v>
      </c>
    </row>
    <row r="55" spans="1:7" hidden="1" x14ac:dyDescent="0.25">
      <c r="A55" s="3" t="s">
        <v>551</v>
      </c>
      <c r="B55" s="3" t="s">
        <v>647</v>
      </c>
      <c r="C55" s="3" t="s">
        <v>648</v>
      </c>
      <c r="D55" s="3" t="s">
        <v>45</v>
      </c>
      <c r="E55" s="3" t="s">
        <v>2673</v>
      </c>
      <c r="F55" s="3">
        <f>COUNTIF(C55,PickedPlayers!D:D)</f>
        <v>0</v>
      </c>
      <c r="G55" s="3" t="str">
        <f t="shared" si="0"/>
        <v>Yes</v>
      </c>
    </row>
    <row r="56" spans="1:7" hidden="1" x14ac:dyDescent="0.25">
      <c r="A56" s="3" t="s">
        <v>558</v>
      </c>
      <c r="B56" s="3" t="s">
        <v>655</v>
      </c>
      <c r="C56" s="3" t="s">
        <v>656</v>
      </c>
      <c r="D56" s="3" t="s">
        <v>45</v>
      </c>
      <c r="E56" s="3" t="s">
        <v>2674</v>
      </c>
      <c r="F56" s="3">
        <f>COUNTIF(C56,PickedPlayers!D:D)</f>
        <v>0</v>
      </c>
      <c r="G56" s="3" t="str">
        <f t="shared" si="0"/>
        <v>Yes</v>
      </c>
    </row>
    <row r="57" spans="1:7" hidden="1" x14ac:dyDescent="0.25">
      <c r="A57" s="3" t="s">
        <v>558</v>
      </c>
      <c r="B57" s="3" t="s">
        <v>653</v>
      </c>
      <c r="C57" s="3" t="s">
        <v>654</v>
      </c>
      <c r="D57" s="3" t="s">
        <v>45</v>
      </c>
      <c r="E57" s="3" t="s">
        <v>2674</v>
      </c>
      <c r="F57" s="3">
        <f>COUNTIF(C57,PickedPlayers!D:D)</f>
        <v>0</v>
      </c>
      <c r="G57" s="3" t="str">
        <f t="shared" si="0"/>
        <v>Yes</v>
      </c>
    </row>
    <row r="58" spans="1:7" hidden="1" x14ac:dyDescent="0.25">
      <c r="A58" s="3" t="s">
        <v>558</v>
      </c>
      <c r="B58" s="3" t="s">
        <v>663</v>
      </c>
      <c r="C58" s="3" t="s">
        <v>664</v>
      </c>
      <c r="D58" s="3" t="s">
        <v>45</v>
      </c>
      <c r="E58" s="3" t="s">
        <v>2674</v>
      </c>
      <c r="F58" s="3">
        <f>COUNTIF(C58,PickedPlayers!D:D)</f>
        <v>0</v>
      </c>
      <c r="G58" s="3" t="str">
        <f t="shared" si="0"/>
        <v>Yes</v>
      </c>
    </row>
    <row r="59" spans="1:7" hidden="1" x14ac:dyDescent="0.25">
      <c r="A59" s="3" t="s">
        <v>558</v>
      </c>
      <c r="B59" s="3" t="s">
        <v>659</v>
      </c>
      <c r="C59" s="3" t="s">
        <v>660</v>
      </c>
      <c r="D59" s="3" t="s">
        <v>45</v>
      </c>
      <c r="E59" s="3" t="s">
        <v>2674</v>
      </c>
      <c r="F59" s="3">
        <f>COUNTIF(C59,PickedPlayers!D:D)</f>
        <v>0</v>
      </c>
      <c r="G59" s="3" t="str">
        <f t="shared" si="0"/>
        <v>Yes</v>
      </c>
    </row>
    <row r="60" spans="1:7" hidden="1" x14ac:dyDescent="0.25">
      <c r="A60" s="3" t="s">
        <v>558</v>
      </c>
      <c r="B60" s="3" t="s">
        <v>661</v>
      </c>
      <c r="C60" s="3" t="s">
        <v>662</v>
      </c>
      <c r="D60" s="3" t="s">
        <v>45</v>
      </c>
      <c r="E60" s="3" t="s">
        <v>2674</v>
      </c>
      <c r="F60" s="3">
        <f>COUNTIF(C60,PickedPlayers!D:D)</f>
        <v>0</v>
      </c>
      <c r="G60" s="3" t="str">
        <f t="shared" si="0"/>
        <v>Yes</v>
      </c>
    </row>
    <row r="61" spans="1:7" hidden="1" x14ac:dyDescent="0.25">
      <c r="A61" s="3" t="s">
        <v>558</v>
      </c>
      <c r="B61" s="3" t="s">
        <v>665</v>
      </c>
      <c r="C61" s="3" t="s">
        <v>666</v>
      </c>
      <c r="D61" s="3" t="s">
        <v>45</v>
      </c>
      <c r="E61" s="3" t="s">
        <v>2674</v>
      </c>
      <c r="F61" s="3">
        <f>COUNTIF(C61,PickedPlayers!D:D)</f>
        <v>0</v>
      </c>
      <c r="G61" s="3" t="str">
        <f t="shared" si="0"/>
        <v>Yes</v>
      </c>
    </row>
    <row r="62" spans="1:7" hidden="1" x14ac:dyDescent="0.25">
      <c r="A62" s="3" t="s">
        <v>558</v>
      </c>
      <c r="B62" s="3" t="s">
        <v>657</v>
      </c>
      <c r="C62" s="3" t="s">
        <v>658</v>
      </c>
      <c r="D62" s="3" t="s">
        <v>45</v>
      </c>
      <c r="E62" s="3" t="s">
        <v>2674</v>
      </c>
      <c r="F62" s="3">
        <f>COUNTIF(C62,PickedPlayers!D:D)</f>
        <v>0</v>
      </c>
      <c r="G62" s="3" t="str">
        <f t="shared" si="0"/>
        <v>Yes</v>
      </c>
    </row>
    <row r="63" spans="1:7" hidden="1" x14ac:dyDescent="0.25">
      <c r="A63" s="3" t="s">
        <v>558</v>
      </c>
      <c r="B63" s="3" t="s">
        <v>651</v>
      </c>
      <c r="C63" s="3" t="s">
        <v>652</v>
      </c>
      <c r="D63" s="3" t="s">
        <v>45</v>
      </c>
      <c r="E63" s="3" t="s">
        <v>2674</v>
      </c>
      <c r="F63" s="3">
        <f>COUNTIF(C63,PickedPlayers!D:D)</f>
        <v>0</v>
      </c>
      <c r="G63" s="3" t="str">
        <f t="shared" si="0"/>
        <v>Yes</v>
      </c>
    </row>
    <row r="64" spans="1:7" hidden="1" x14ac:dyDescent="0.25">
      <c r="A64" s="3" t="s">
        <v>558</v>
      </c>
      <c r="B64" s="3" t="s">
        <v>667</v>
      </c>
      <c r="C64" s="3" t="s">
        <v>668</v>
      </c>
      <c r="D64" s="3" t="s">
        <v>45</v>
      </c>
      <c r="E64" s="3" t="s">
        <v>2674</v>
      </c>
      <c r="F64" s="3">
        <f>COUNTIF(C64,PickedPlayers!D:D)</f>
        <v>0</v>
      </c>
      <c r="G64" s="3" t="str">
        <f t="shared" si="0"/>
        <v>Yes</v>
      </c>
    </row>
    <row r="65" spans="1:7" hidden="1" x14ac:dyDescent="0.25">
      <c r="A65" s="3" t="s">
        <v>558</v>
      </c>
      <c r="B65" s="3" t="s">
        <v>649</v>
      </c>
      <c r="C65" s="3" t="s">
        <v>650</v>
      </c>
      <c r="D65" s="3" t="s">
        <v>45</v>
      </c>
      <c r="E65" s="3" t="s">
        <v>2674</v>
      </c>
      <c r="F65" s="3">
        <f>COUNTIF(C65,PickedPlayers!D:D)</f>
        <v>0</v>
      </c>
      <c r="G65" s="3" t="str">
        <f t="shared" si="0"/>
        <v>Yes</v>
      </c>
    </row>
    <row r="66" spans="1:7" x14ac:dyDescent="0.25">
      <c r="A66" s="3" t="s">
        <v>577</v>
      </c>
      <c r="B66" s="3" t="s">
        <v>673</v>
      </c>
      <c r="C66" s="3" t="s">
        <v>674</v>
      </c>
      <c r="D66" s="3" t="s">
        <v>45</v>
      </c>
      <c r="E66" s="3" t="s">
        <v>2675</v>
      </c>
      <c r="F66" s="3">
        <f>COUNTIF(C66,PickedPlayers!D:D)</f>
        <v>0</v>
      </c>
      <c r="G66" s="3" t="str">
        <f t="shared" si="0"/>
        <v>Yes</v>
      </c>
    </row>
    <row r="67" spans="1:7" x14ac:dyDescent="0.25">
      <c r="A67" s="3" t="s">
        <v>577</v>
      </c>
      <c r="B67" s="3" t="s">
        <v>677</v>
      </c>
      <c r="C67" s="3" t="s">
        <v>678</v>
      </c>
      <c r="D67" s="3" t="s">
        <v>45</v>
      </c>
      <c r="E67" s="3" t="s">
        <v>2675</v>
      </c>
      <c r="F67" s="3">
        <f>COUNTIF(C67,PickedPlayers!D:D)</f>
        <v>0</v>
      </c>
      <c r="G67" s="3" t="str">
        <f t="shared" ref="G67:G130" si="1">IF(F67&gt;0,"No","Yes")</f>
        <v>Yes</v>
      </c>
    </row>
    <row r="68" spans="1:7" x14ac:dyDescent="0.25">
      <c r="A68" s="3" t="s">
        <v>577</v>
      </c>
      <c r="B68" s="3" t="s">
        <v>681</v>
      </c>
      <c r="C68" s="3" t="s">
        <v>682</v>
      </c>
      <c r="D68" s="3" t="s">
        <v>45</v>
      </c>
      <c r="E68" s="3" t="s">
        <v>2675</v>
      </c>
      <c r="F68" s="3">
        <f>COUNTIF(C68,PickedPlayers!D:D)</f>
        <v>0</v>
      </c>
      <c r="G68" s="3" t="str">
        <f t="shared" si="1"/>
        <v>Yes</v>
      </c>
    </row>
    <row r="69" spans="1:7" x14ac:dyDescent="0.25">
      <c r="A69" s="3" t="s">
        <v>577</v>
      </c>
      <c r="B69" s="3" t="s">
        <v>671</v>
      </c>
      <c r="C69" s="3" t="s">
        <v>672</v>
      </c>
      <c r="D69" s="3" t="s">
        <v>45</v>
      </c>
      <c r="E69" s="3" t="s">
        <v>2675</v>
      </c>
      <c r="F69" s="3">
        <f>COUNTIF(C69,PickedPlayers!D:D)</f>
        <v>0</v>
      </c>
      <c r="G69" s="3" t="str">
        <f t="shared" si="1"/>
        <v>Yes</v>
      </c>
    </row>
    <row r="70" spans="1:7" x14ac:dyDescent="0.25">
      <c r="A70" s="3" t="s">
        <v>577</v>
      </c>
      <c r="B70" s="3" t="s">
        <v>669</v>
      </c>
      <c r="C70" s="3" t="s">
        <v>670</v>
      </c>
      <c r="D70" s="3" t="s">
        <v>45</v>
      </c>
      <c r="E70" s="3" t="s">
        <v>2675</v>
      </c>
      <c r="F70" s="3">
        <f>COUNTIF(C70,PickedPlayers!D:D)</f>
        <v>0</v>
      </c>
      <c r="G70" s="3" t="str">
        <f t="shared" si="1"/>
        <v>Yes</v>
      </c>
    </row>
    <row r="71" spans="1:7" x14ac:dyDescent="0.25">
      <c r="A71" s="3" t="s">
        <v>577</v>
      </c>
      <c r="B71" s="3" t="s">
        <v>675</v>
      </c>
      <c r="C71" s="3" t="s">
        <v>676</v>
      </c>
      <c r="D71" s="3" t="s">
        <v>45</v>
      </c>
      <c r="E71" s="3" t="s">
        <v>2675</v>
      </c>
      <c r="F71" s="3">
        <f>COUNTIF(C71,PickedPlayers!D:D)</f>
        <v>0</v>
      </c>
      <c r="G71" s="3" t="str">
        <f t="shared" si="1"/>
        <v>Yes</v>
      </c>
    </row>
    <row r="72" spans="1:7" x14ac:dyDescent="0.25">
      <c r="A72" s="3" t="s">
        <v>577</v>
      </c>
      <c r="B72" s="3" t="s">
        <v>679</v>
      </c>
      <c r="C72" s="3" t="s">
        <v>680</v>
      </c>
      <c r="D72" s="3" t="s">
        <v>45</v>
      </c>
      <c r="E72" s="3" t="s">
        <v>2675</v>
      </c>
      <c r="F72" s="3">
        <f>COUNTIF(C72,PickedPlayers!D:D)</f>
        <v>0</v>
      </c>
      <c r="G72" s="3" t="str">
        <f t="shared" si="1"/>
        <v>Yes</v>
      </c>
    </row>
    <row r="73" spans="1:7" x14ac:dyDescent="0.25">
      <c r="A73" s="3" t="s">
        <v>577</v>
      </c>
      <c r="B73" s="3" t="s">
        <v>683</v>
      </c>
      <c r="C73" s="3" t="s">
        <v>684</v>
      </c>
      <c r="D73" s="3" t="s">
        <v>45</v>
      </c>
      <c r="E73" s="3" t="s">
        <v>2675</v>
      </c>
      <c r="F73" s="3">
        <f>COUNTIF(C73,PickedPlayers!D:D)</f>
        <v>0</v>
      </c>
      <c r="G73" s="3" t="str">
        <f t="shared" si="1"/>
        <v>Yes</v>
      </c>
    </row>
    <row r="74" spans="1:7" hidden="1" x14ac:dyDescent="0.25">
      <c r="A74" s="3" t="s">
        <v>592</v>
      </c>
      <c r="B74" s="3" t="s">
        <v>685</v>
      </c>
      <c r="C74" s="3" t="s">
        <v>686</v>
      </c>
      <c r="D74" s="3" t="s">
        <v>45</v>
      </c>
      <c r="E74" s="3" t="s">
        <v>2677</v>
      </c>
      <c r="F74" s="3">
        <f>COUNTIF(C74,PickedPlayers!D:D)</f>
        <v>0</v>
      </c>
      <c r="G74" s="3" t="str">
        <f t="shared" si="1"/>
        <v>Yes</v>
      </c>
    </row>
    <row r="75" spans="1:7" hidden="1" x14ac:dyDescent="0.25">
      <c r="A75" s="3" t="s">
        <v>592</v>
      </c>
      <c r="B75" s="3" t="s">
        <v>689</v>
      </c>
      <c r="C75" s="3" t="s">
        <v>690</v>
      </c>
      <c r="D75" s="3" t="s">
        <v>45</v>
      </c>
      <c r="E75" s="3" t="s">
        <v>2677</v>
      </c>
      <c r="F75" s="3">
        <f>COUNTIF(C75,PickedPlayers!D:D)</f>
        <v>0</v>
      </c>
      <c r="G75" s="3" t="str">
        <f t="shared" si="1"/>
        <v>Yes</v>
      </c>
    </row>
    <row r="76" spans="1:7" hidden="1" x14ac:dyDescent="0.25">
      <c r="A76" s="3" t="s">
        <v>592</v>
      </c>
      <c r="B76" s="3" t="s">
        <v>693</v>
      </c>
      <c r="C76" s="3" t="s">
        <v>694</v>
      </c>
      <c r="D76" s="3" t="s">
        <v>45</v>
      </c>
      <c r="E76" s="3" t="s">
        <v>2677</v>
      </c>
      <c r="F76" s="3">
        <f>COUNTIF(C76,PickedPlayers!D:D)</f>
        <v>0</v>
      </c>
      <c r="G76" s="3" t="str">
        <f t="shared" si="1"/>
        <v>Yes</v>
      </c>
    </row>
    <row r="77" spans="1:7" hidden="1" x14ac:dyDescent="0.25">
      <c r="A77" s="3" t="s">
        <v>592</v>
      </c>
      <c r="B77" s="3" t="s">
        <v>687</v>
      </c>
      <c r="C77" s="3" t="s">
        <v>688</v>
      </c>
      <c r="D77" s="3" t="s">
        <v>45</v>
      </c>
      <c r="E77" s="3" t="s">
        <v>2677</v>
      </c>
      <c r="F77" s="3">
        <f>COUNTIF(C77,PickedPlayers!D:D)</f>
        <v>0</v>
      </c>
      <c r="G77" s="3" t="str">
        <f t="shared" si="1"/>
        <v>Yes</v>
      </c>
    </row>
    <row r="78" spans="1:7" hidden="1" x14ac:dyDescent="0.25">
      <c r="A78" s="3" t="s">
        <v>592</v>
      </c>
      <c r="B78" s="3" t="s">
        <v>691</v>
      </c>
      <c r="C78" s="3" t="s">
        <v>692</v>
      </c>
      <c r="D78" s="3" t="s">
        <v>45</v>
      </c>
      <c r="E78" s="3" t="s">
        <v>2677</v>
      </c>
      <c r="F78" s="3">
        <f>COUNTIF(C78,PickedPlayers!D:D)</f>
        <v>0</v>
      </c>
      <c r="G78" s="3" t="str">
        <f t="shared" si="1"/>
        <v>Yes</v>
      </c>
    </row>
    <row r="79" spans="1:7" hidden="1" x14ac:dyDescent="0.25">
      <c r="A79" s="3" t="s">
        <v>551</v>
      </c>
      <c r="B79" s="3" t="s">
        <v>695</v>
      </c>
      <c r="C79" s="3" t="s">
        <v>696</v>
      </c>
      <c r="D79" s="3" t="s">
        <v>88</v>
      </c>
      <c r="E79" s="3" t="s">
        <v>2673</v>
      </c>
      <c r="F79" s="3">
        <f>COUNTIF(C79,PickedPlayers!D:D)</f>
        <v>0</v>
      </c>
      <c r="G79" s="3" t="str">
        <f t="shared" si="1"/>
        <v>Yes</v>
      </c>
    </row>
    <row r="80" spans="1:7" hidden="1" x14ac:dyDescent="0.25">
      <c r="A80" s="3" t="s">
        <v>551</v>
      </c>
      <c r="B80" s="3" t="s">
        <v>699</v>
      </c>
      <c r="C80" s="3" t="s">
        <v>700</v>
      </c>
      <c r="D80" s="3" t="s">
        <v>88</v>
      </c>
      <c r="E80" s="3" t="s">
        <v>2673</v>
      </c>
      <c r="F80" s="3">
        <f>COUNTIF(C80,PickedPlayers!D:D)</f>
        <v>0</v>
      </c>
      <c r="G80" s="3" t="str">
        <f t="shared" si="1"/>
        <v>Yes</v>
      </c>
    </row>
    <row r="81" spans="1:7" hidden="1" x14ac:dyDescent="0.25">
      <c r="A81" s="3" t="s">
        <v>551</v>
      </c>
      <c r="B81" s="3" t="s">
        <v>697</v>
      </c>
      <c r="C81" s="3" t="s">
        <v>698</v>
      </c>
      <c r="D81" s="3" t="s">
        <v>88</v>
      </c>
      <c r="E81" s="3" t="s">
        <v>2673</v>
      </c>
      <c r="F81" s="3">
        <f>COUNTIF(C81,PickedPlayers!D:D)</f>
        <v>0</v>
      </c>
      <c r="G81" s="3" t="str">
        <f t="shared" si="1"/>
        <v>Yes</v>
      </c>
    </row>
    <row r="82" spans="1:7" hidden="1" x14ac:dyDescent="0.25">
      <c r="A82" s="3" t="s">
        <v>558</v>
      </c>
      <c r="B82" s="3" t="s">
        <v>707</v>
      </c>
      <c r="C82" s="3" t="s">
        <v>708</v>
      </c>
      <c r="D82" s="3" t="s">
        <v>88</v>
      </c>
      <c r="E82" s="3" t="s">
        <v>2674</v>
      </c>
      <c r="F82" s="3">
        <f>COUNTIF(C82,PickedPlayers!D:D)</f>
        <v>0</v>
      </c>
      <c r="G82" s="3" t="str">
        <f t="shared" si="1"/>
        <v>Yes</v>
      </c>
    </row>
    <row r="83" spans="1:7" hidden="1" x14ac:dyDescent="0.25">
      <c r="A83" s="3" t="s">
        <v>558</v>
      </c>
      <c r="B83" s="3" t="s">
        <v>701</v>
      </c>
      <c r="C83" s="3" t="s">
        <v>702</v>
      </c>
      <c r="D83" s="3" t="s">
        <v>88</v>
      </c>
      <c r="E83" s="3" t="s">
        <v>2674</v>
      </c>
      <c r="F83" s="3">
        <f>COUNTIF(C83,PickedPlayers!D:D)</f>
        <v>0</v>
      </c>
      <c r="G83" s="3" t="str">
        <f t="shared" si="1"/>
        <v>Yes</v>
      </c>
    </row>
    <row r="84" spans="1:7" hidden="1" x14ac:dyDescent="0.25">
      <c r="A84" s="3" t="s">
        <v>558</v>
      </c>
      <c r="B84" s="3" t="s">
        <v>713</v>
      </c>
      <c r="C84" s="3" t="s">
        <v>714</v>
      </c>
      <c r="D84" s="3" t="s">
        <v>88</v>
      </c>
      <c r="E84" s="3" t="s">
        <v>2674</v>
      </c>
      <c r="F84" s="3">
        <f>COUNTIF(C84,PickedPlayers!D:D)</f>
        <v>0</v>
      </c>
      <c r="G84" s="3" t="str">
        <f t="shared" si="1"/>
        <v>Yes</v>
      </c>
    </row>
    <row r="85" spans="1:7" hidden="1" x14ac:dyDescent="0.25">
      <c r="A85" s="3" t="s">
        <v>558</v>
      </c>
      <c r="B85" s="3" t="s">
        <v>705</v>
      </c>
      <c r="C85" s="3" t="s">
        <v>706</v>
      </c>
      <c r="D85" s="3" t="s">
        <v>88</v>
      </c>
      <c r="E85" s="3" t="s">
        <v>2674</v>
      </c>
      <c r="F85" s="3">
        <f>COUNTIF(C85,PickedPlayers!D:D)</f>
        <v>0</v>
      </c>
      <c r="G85" s="3" t="str">
        <f t="shared" si="1"/>
        <v>Yes</v>
      </c>
    </row>
    <row r="86" spans="1:7" hidden="1" x14ac:dyDescent="0.25">
      <c r="A86" s="3" t="s">
        <v>558</v>
      </c>
      <c r="B86" s="3" t="s">
        <v>711</v>
      </c>
      <c r="C86" s="3" t="s">
        <v>712</v>
      </c>
      <c r="D86" s="3" t="s">
        <v>88</v>
      </c>
      <c r="E86" s="3" t="s">
        <v>2674</v>
      </c>
      <c r="F86" s="3">
        <f>COUNTIF(C86,PickedPlayers!D:D)</f>
        <v>0</v>
      </c>
      <c r="G86" s="3" t="str">
        <f t="shared" si="1"/>
        <v>Yes</v>
      </c>
    </row>
    <row r="87" spans="1:7" hidden="1" x14ac:dyDescent="0.25">
      <c r="A87" s="3" t="s">
        <v>558</v>
      </c>
      <c r="B87" s="3" t="s">
        <v>715</v>
      </c>
      <c r="C87" s="3" t="s">
        <v>716</v>
      </c>
      <c r="D87" s="3" t="s">
        <v>88</v>
      </c>
      <c r="E87" s="3" t="s">
        <v>2674</v>
      </c>
      <c r="F87" s="3">
        <f>COUNTIF(C87,PickedPlayers!D:D)</f>
        <v>0</v>
      </c>
      <c r="G87" s="3" t="str">
        <f t="shared" si="1"/>
        <v>Yes</v>
      </c>
    </row>
    <row r="88" spans="1:7" hidden="1" x14ac:dyDescent="0.25">
      <c r="A88" s="3" t="s">
        <v>558</v>
      </c>
      <c r="B88" s="3" t="s">
        <v>717</v>
      </c>
      <c r="C88" s="3" t="s">
        <v>718</v>
      </c>
      <c r="D88" s="3" t="s">
        <v>88</v>
      </c>
      <c r="E88" s="3" t="s">
        <v>2674</v>
      </c>
      <c r="F88" s="3">
        <f>COUNTIF(C88,PickedPlayers!D:D)</f>
        <v>0</v>
      </c>
      <c r="G88" s="3" t="str">
        <f t="shared" si="1"/>
        <v>Yes</v>
      </c>
    </row>
    <row r="89" spans="1:7" hidden="1" x14ac:dyDescent="0.25">
      <c r="A89" s="3" t="s">
        <v>558</v>
      </c>
      <c r="B89" s="3" t="s">
        <v>703</v>
      </c>
      <c r="C89" s="3" t="s">
        <v>704</v>
      </c>
      <c r="D89" s="3" t="s">
        <v>88</v>
      </c>
      <c r="E89" s="3" t="s">
        <v>2674</v>
      </c>
      <c r="F89" s="3">
        <f>COUNTIF(C89,PickedPlayers!D:D)</f>
        <v>0</v>
      </c>
      <c r="G89" s="3" t="str">
        <f t="shared" si="1"/>
        <v>Yes</v>
      </c>
    </row>
    <row r="90" spans="1:7" hidden="1" x14ac:dyDescent="0.25">
      <c r="A90" s="3" t="s">
        <v>558</v>
      </c>
      <c r="B90" s="3" t="s">
        <v>709</v>
      </c>
      <c r="C90" s="3" t="s">
        <v>710</v>
      </c>
      <c r="D90" s="3" t="s">
        <v>88</v>
      </c>
      <c r="E90" s="3" t="s">
        <v>2674</v>
      </c>
      <c r="F90" s="3">
        <f>COUNTIF(C90,PickedPlayers!D:D)</f>
        <v>0</v>
      </c>
      <c r="G90" s="3" t="str">
        <f t="shared" si="1"/>
        <v>Yes</v>
      </c>
    </row>
    <row r="91" spans="1:7" x14ac:dyDescent="0.25">
      <c r="A91" s="3" t="s">
        <v>577</v>
      </c>
      <c r="B91" s="3" t="s">
        <v>737</v>
      </c>
      <c r="C91" s="3" t="s">
        <v>738</v>
      </c>
      <c r="D91" s="3" t="s">
        <v>88</v>
      </c>
      <c r="E91" s="3" t="s">
        <v>2675</v>
      </c>
      <c r="F91" s="3">
        <f>COUNTIF(C91,PickedPlayers!D:D)</f>
        <v>0</v>
      </c>
      <c r="G91" s="3" t="str">
        <f t="shared" si="1"/>
        <v>Yes</v>
      </c>
    </row>
    <row r="92" spans="1:7" x14ac:dyDescent="0.25">
      <c r="A92" s="3" t="s">
        <v>577</v>
      </c>
      <c r="B92" s="3" t="s">
        <v>735</v>
      </c>
      <c r="C92" s="3" t="s">
        <v>736</v>
      </c>
      <c r="D92" s="3" t="s">
        <v>88</v>
      </c>
      <c r="E92" s="3" t="s">
        <v>2675</v>
      </c>
      <c r="F92" s="3">
        <f>COUNTIF(C92,PickedPlayers!D:D)</f>
        <v>0</v>
      </c>
      <c r="G92" s="3" t="str">
        <f t="shared" si="1"/>
        <v>Yes</v>
      </c>
    </row>
    <row r="93" spans="1:7" x14ac:dyDescent="0.25">
      <c r="A93" s="3" t="s">
        <v>577</v>
      </c>
      <c r="B93" s="3" t="s">
        <v>731</v>
      </c>
      <c r="C93" s="3" t="s">
        <v>732</v>
      </c>
      <c r="D93" s="3" t="s">
        <v>88</v>
      </c>
      <c r="E93" s="3" t="s">
        <v>2675</v>
      </c>
      <c r="F93" s="3">
        <f>COUNTIF(C93,PickedPlayers!D:D)</f>
        <v>0</v>
      </c>
      <c r="G93" s="3" t="str">
        <f t="shared" si="1"/>
        <v>Yes</v>
      </c>
    </row>
    <row r="94" spans="1:7" x14ac:dyDescent="0.25">
      <c r="A94" s="3" t="s">
        <v>577</v>
      </c>
      <c r="B94" s="3" t="s">
        <v>725</v>
      </c>
      <c r="C94" s="3" t="s">
        <v>726</v>
      </c>
      <c r="D94" s="3" t="s">
        <v>88</v>
      </c>
      <c r="E94" s="3" t="s">
        <v>2675</v>
      </c>
      <c r="F94" s="3">
        <f>COUNTIF(C94,PickedPlayers!D:D)</f>
        <v>0</v>
      </c>
      <c r="G94" s="3" t="str">
        <f t="shared" si="1"/>
        <v>Yes</v>
      </c>
    </row>
    <row r="95" spans="1:7" x14ac:dyDescent="0.25">
      <c r="A95" s="3" t="s">
        <v>577</v>
      </c>
      <c r="B95" s="3" t="s">
        <v>727</v>
      </c>
      <c r="C95" s="3" t="s">
        <v>728</v>
      </c>
      <c r="D95" s="3" t="s">
        <v>88</v>
      </c>
      <c r="E95" s="3" t="s">
        <v>2675</v>
      </c>
      <c r="F95" s="3">
        <f>COUNTIF(C95,PickedPlayers!D:D)</f>
        <v>0</v>
      </c>
      <c r="G95" s="3" t="str">
        <f t="shared" si="1"/>
        <v>Yes</v>
      </c>
    </row>
    <row r="96" spans="1:7" x14ac:dyDescent="0.25">
      <c r="A96" s="3" t="s">
        <v>577</v>
      </c>
      <c r="B96" s="3" t="s">
        <v>723</v>
      </c>
      <c r="C96" s="3" t="s">
        <v>724</v>
      </c>
      <c r="D96" s="3" t="s">
        <v>88</v>
      </c>
      <c r="E96" s="3" t="s">
        <v>2675</v>
      </c>
      <c r="F96" s="3">
        <f>COUNTIF(C96,PickedPlayers!D:D)</f>
        <v>0</v>
      </c>
      <c r="G96" s="3" t="str">
        <f t="shared" si="1"/>
        <v>Yes</v>
      </c>
    </row>
    <row r="97" spans="1:7" x14ac:dyDescent="0.25">
      <c r="A97" s="3" t="s">
        <v>577</v>
      </c>
      <c r="B97" s="3" t="s">
        <v>733</v>
      </c>
      <c r="C97" s="3" t="s">
        <v>734</v>
      </c>
      <c r="D97" s="3" t="s">
        <v>88</v>
      </c>
      <c r="E97" s="3" t="s">
        <v>2675</v>
      </c>
      <c r="F97" s="3">
        <f>COUNTIF(C97,PickedPlayers!D:D)</f>
        <v>0</v>
      </c>
      <c r="G97" s="3" t="str">
        <f t="shared" si="1"/>
        <v>Yes</v>
      </c>
    </row>
    <row r="98" spans="1:7" x14ac:dyDescent="0.25">
      <c r="A98" s="3" t="s">
        <v>577</v>
      </c>
      <c r="B98" s="3" t="s">
        <v>729</v>
      </c>
      <c r="C98" s="3" t="s">
        <v>730</v>
      </c>
      <c r="D98" s="3" t="s">
        <v>88</v>
      </c>
      <c r="E98" s="3" t="s">
        <v>2675</v>
      </c>
      <c r="F98" s="3">
        <f>COUNTIF(C98,PickedPlayers!D:D)</f>
        <v>0</v>
      </c>
      <c r="G98" s="3" t="str">
        <f t="shared" si="1"/>
        <v>Yes</v>
      </c>
    </row>
    <row r="99" spans="1:7" x14ac:dyDescent="0.25">
      <c r="A99" s="3" t="s">
        <v>577</v>
      </c>
      <c r="B99" s="3" t="s">
        <v>721</v>
      </c>
      <c r="C99" s="3" t="s">
        <v>722</v>
      </c>
      <c r="D99" s="3" t="s">
        <v>88</v>
      </c>
      <c r="E99" s="3" t="s">
        <v>2675</v>
      </c>
      <c r="F99" s="3">
        <f>COUNTIF(C99,PickedPlayers!D:D)</f>
        <v>0</v>
      </c>
      <c r="G99" s="3" t="str">
        <f t="shared" si="1"/>
        <v>Yes</v>
      </c>
    </row>
    <row r="100" spans="1:7" x14ac:dyDescent="0.25">
      <c r="A100" s="3" t="s">
        <v>577</v>
      </c>
      <c r="B100" s="3" t="s">
        <v>719</v>
      </c>
      <c r="C100" s="3" t="s">
        <v>720</v>
      </c>
      <c r="D100" s="3" t="s">
        <v>88</v>
      </c>
      <c r="E100" s="3" t="s">
        <v>2675</v>
      </c>
      <c r="F100" s="3">
        <f>COUNTIF(C100,PickedPlayers!D:D)</f>
        <v>0</v>
      </c>
      <c r="G100" s="3" t="str">
        <f t="shared" si="1"/>
        <v>Yes</v>
      </c>
    </row>
    <row r="101" spans="1:7" hidden="1" x14ac:dyDescent="0.25">
      <c r="A101" s="3" t="s">
        <v>592</v>
      </c>
      <c r="B101" s="3" t="s">
        <v>739</v>
      </c>
      <c r="C101" s="3" t="s">
        <v>740</v>
      </c>
      <c r="D101" s="3" t="s">
        <v>88</v>
      </c>
      <c r="E101" s="3" t="s">
        <v>2677</v>
      </c>
      <c r="F101" s="3">
        <f>COUNTIF(C101,PickedPlayers!D:D)</f>
        <v>0</v>
      </c>
      <c r="G101" s="3" t="str">
        <f t="shared" si="1"/>
        <v>Yes</v>
      </c>
    </row>
    <row r="102" spans="1:7" hidden="1" x14ac:dyDescent="0.25">
      <c r="A102" s="3" t="s">
        <v>592</v>
      </c>
      <c r="B102" s="3" t="s">
        <v>743</v>
      </c>
      <c r="C102" s="3" t="s">
        <v>744</v>
      </c>
      <c r="D102" s="3" t="s">
        <v>88</v>
      </c>
      <c r="E102" s="3" t="s">
        <v>2677</v>
      </c>
      <c r="F102" s="3">
        <f>COUNTIF(C102,PickedPlayers!D:D)</f>
        <v>0</v>
      </c>
      <c r="G102" s="3" t="str">
        <f t="shared" si="1"/>
        <v>Yes</v>
      </c>
    </row>
    <row r="103" spans="1:7" hidden="1" x14ac:dyDescent="0.25">
      <c r="A103" s="3" t="s">
        <v>592</v>
      </c>
      <c r="B103" s="3" t="s">
        <v>741</v>
      </c>
      <c r="C103" s="3" t="s">
        <v>742</v>
      </c>
      <c r="D103" s="3" t="s">
        <v>88</v>
      </c>
      <c r="E103" s="3" t="s">
        <v>2677</v>
      </c>
      <c r="F103" s="3">
        <f>COUNTIF(C103,PickedPlayers!D:D)</f>
        <v>0</v>
      </c>
      <c r="G103" s="3" t="str">
        <f t="shared" si="1"/>
        <v>Yes</v>
      </c>
    </row>
    <row r="104" spans="1:7" hidden="1" x14ac:dyDescent="0.25">
      <c r="A104" s="3" t="s">
        <v>551</v>
      </c>
      <c r="B104" s="3" t="s">
        <v>746</v>
      </c>
      <c r="C104" s="3" t="s">
        <v>747</v>
      </c>
      <c r="D104" s="3" t="s">
        <v>113</v>
      </c>
      <c r="E104" s="3" t="s">
        <v>2673</v>
      </c>
      <c r="F104" s="3">
        <f>COUNTIF(C104,PickedPlayers!D:D)</f>
        <v>0</v>
      </c>
      <c r="G104" s="3" t="str">
        <f t="shared" si="1"/>
        <v>Yes</v>
      </c>
    </row>
    <row r="105" spans="1:7" hidden="1" x14ac:dyDescent="0.25">
      <c r="A105" s="3" t="s">
        <v>551</v>
      </c>
      <c r="B105" s="3" t="s">
        <v>748</v>
      </c>
      <c r="C105" s="3" t="s">
        <v>749</v>
      </c>
      <c r="D105" s="3" t="s">
        <v>113</v>
      </c>
      <c r="E105" s="3" t="s">
        <v>2673</v>
      </c>
      <c r="F105" s="3">
        <f>COUNTIF(C105,PickedPlayers!D:D)</f>
        <v>0</v>
      </c>
      <c r="G105" s="3" t="str">
        <f t="shared" si="1"/>
        <v>Yes</v>
      </c>
    </row>
    <row r="106" spans="1:7" hidden="1" x14ac:dyDescent="0.25">
      <c r="A106" s="3" t="s">
        <v>551</v>
      </c>
      <c r="B106" s="3" t="s">
        <v>745</v>
      </c>
      <c r="C106" s="3" t="s">
        <v>344</v>
      </c>
      <c r="D106" s="3" t="s">
        <v>113</v>
      </c>
      <c r="E106" s="3" t="s">
        <v>2673</v>
      </c>
      <c r="F106" s="3">
        <f>COUNTIF(C106,PickedPlayers!D:D)</f>
        <v>0</v>
      </c>
      <c r="G106" s="3" t="str">
        <f t="shared" si="1"/>
        <v>Yes</v>
      </c>
    </row>
    <row r="107" spans="1:7" hidden="1" x14ac:dyDescent="0.25">
      <c r="A107" s="3" t="s">
        <v>558</v>
      </c>
      <c r="B107" s="3" t="s">
        <v>754</v>
      </c>
      <c r="C107" s="3" t="s">
        <v>755</v>
      </c>
      <c r="D107" s="3" t="s">
        <v>113</v>
      </c>
      <c r="E107" s="3" t="s">
        <v>2674</v>
      </c>
      <c r="F107" s="3">
        <f>COUNTIF(C107,PickedPlayers!D:D)</f>
        <v>0</v>
      </c>
      <c r="G107" s="3" t="str">
        <f t="shared" si="1"/>
        <v>Yes</v>
      </c>
    </row>
    <row r="108" spans="1:7" hidden="1" x14ac:dyDescent="0.25">
      <c r="A108" s="3" t="s">
        <v>558</v>
      </c>
      <c r="B108" s="3" t="s">
        <v>758</v>
      </c>
      <c r="C108" s="3" t="s">
        <v>759</v>
      </c>
      <c r="D108" s="3" t="s">
        <v>113</v>
      </c>
      <c r="E108" s="3" t="s">
        <v>2674</v>
      </c>
      <c r="F108" s="3">
        <f>COUNTIF(C108,PickedPlayers!D:D)</f>
        <v>0</v>
      </c>
      <c r="G108" s="3" t="str">
        <f t="shared" si="1"/>
        <v>Yes</v>
      </c>
    </row>
    <row r="109" spans="1:7" hidden="1" x14ac:dyDescent="0.25">
      <c r="A109" s="3" t="s">
        <v>558</v>
      </c>
      <c r="B109" s="3" t="s">
        <v>756</v>
      </c>
      <c r="C109" s="3" t="s">
        <v>757</v>
      </c>
      <c r="D109" s="3" t="s">
        <v>113</v>
      </c>
      <c r="E109" s="3" t="s">
        <v>2674</v>
      </c>
      <c r="F109" s="3">
        <f>COUNTIF(C109,PickedPlayers!D:D)</f>
        <v>0</v>
      </c>
      <c r="G109" s="3" t="str">
        <f t="shared" si="1"/>
        <v>Yes</v>
      </c>
    </row>
    <row r="110" spans="1:7" hidden="1" x14ac:dyDescent="0.25">
      <c r="A110" s="3" t="s">
        <v>558</v>
      </c>
      <c r="B110" s="3" t="s">
        <v>752</v>
      </c>
      <c r="C110" s="3" t="s">
        <v>753</v>
      </c>
      <c r="D110" s="3" t="s">
        <v>113</v>
      </c>
      <c r="E110" s="3" t="s">
        <v>2674</v>
      </c>
      <c r="F110" s="3">
        <f>COUNTIF(C110,PickedPlayers!D:D)</f>
        <v>0</v>
      </c>
      <c r="G110" s="3" t="str">
        <f t="shared" si="1"/>
        <v>Yes</v>
      </c>
    </row>
    <row r="111" spans="1:7" hidden="1" x14ac:dyDescent="0.25">
      <c r="A111" s="3" t="s">
        <v>558</v>
      </c>
      <c r="B111" s="3" t="s">
        <v>762</v>
      </c>
      <c r="C111" s="3" t="s">
        <v>432</v>
      </c>
      <c r="D111" s="3" t="s">
        <v>113</v>
      </c>
      <c r="E111" s="3" t="s">
        <v>2674</v>
      </c>
      <c r="F111" s="3">
        <f>COUNTIF(C111,PickedPlayers!D:D)</f>
        <v>0</v>
      </c>
      <c r="G111" s="3" t="str">
        <f t="shared" si="1"/>
        <v>Yes</v>
      </c>
    </row>
    <row r="112" spans="1:7" hidden="1" x14ac:dyDescent="0.25">
      <c r="A112" s="3" t="s">
        <v>558</v>
      </c>
      <c r="B112" s="3" t="s">
        <v>763</v>
      </c>
      <c r="C112" s="3" t="s">
        <v>764</v>
      </c>
      <c r="D112" s="3" t="s">
        <v>113</v>
      </c>
      <c r="E112" s="3" t="s">
        <v>2674</v>
      </c>
      <c r="F112" s="3">
        <f>COUNTIF(C112,PickedPlayers!D:D)</f>
        <v>0</v>
      </c>
      <c r="G112" s="3" t="str">
        <f t="shared" si="1"/>
        <v>Yes</v>
      </c>
    </row>
    <row r="113" spans="1:7" hidden="1" x14ac:dyDescent="0.25">
      <c r="A113" s="3" t="s">
        <v>558</v>
      </c>
      <c r="B113" s="3" t="s">
        <v>760</v>
      </c>
      <c r="C113" s="3" t="s">
        <v>761</v>
      </c>
      <c r="D113" s="3" t="s">
        <v>113</v>
      </c>
      <c r="E113" s="3" t="s">
        <v>2674</v>
      </c>
      <c r="F113" s="3">
        <f>COUNTIF(C113,PickedPlayers!D:D)</f>
        <v>0</v>
      </c>
      <c r="G113" s="3" t="str">
        <f t="shared" si="1"/>
        <v>Yes</v>
      </c>
    </row>
    <row r="114" spans="1:7" hidden="1" x14ac:dyDescent="0.25">
      <c r="A114" s="3" t="s">
        <v>558</v>
      </c>
      <c r="B114" s="3" t="s">
        <v>765</v>
      </c>
      <c r="C114" s="3" t="s">
        <v>766</v>
      </c>
      <c r="D114" s="3" t="s">
        <v>113</v>
      </c>
      <c r="E114" s="3" t="s">
        <v>2674</v>
      </c>
      <c r="F114" s="3">
        <f>COUNTIF(C114,PickedPlayers!D:D)</f>
        <v>0</v>
      </c>
      <c r="G114" s="3" t="str">
        <f t="shared" si="1"/>
        <v>Yes</v>
      </c>
    </row>
    <row r="115" spans="1:7" hidden="1" x14ac:dyDescent="0.25">
      <c r="A115" s="3" t="s">
        <v>558</v>
      </c>
      <c r="B115" s="3" t="s">
        <v>750</v>
      </c>
      <c r="C115" s="3" t="s">
        <v>751</v>
      </c>
      <c r="D115" s="3" t="s">
        <v>113</v>
      </c>
      <c r="E115" s="3" t="s">
        <v>2674</v>
      </c>
      <c r="F115" s="3">
        <f>COUNTIF(C115,PickedPlayers!D:D)</f>
        <v>0</v>
      </c>
      <c r="G115" s="3" t="str">
        <f t="shared" si="1"/>
        <v>Yes</v>
      </c>
    </row>
    <row r="116" spans="1:7" x14ac:dyDescent="0.25">
      <c r="A116" s="3" t="s">
        <v>577</v>
      </c>
      <c r="B116" s="3" t="s">
        <v>775</v>
      </c>
      <c r="C116" s="3" t="s">
        <v>776</v>
      </c>
      <c r="D116" s="3" t="s">
        <v>113</v>
      </c>
      <c r="E116" s="3" t="s">
        <v>2675</v>
      </c>
      <c r="F116" s="3">
        <f>COUNTIF(C116,PickedPlayers!D:D)</f>
        <v>0</v>
      </c>
      <c r="G116" s="3" t="str">
        <f t="shared" si="1"/>
        <v>Yes</v>
      </c>
    </row>
    <row r="117" spans="1:7" x14ac:dyDescent="0.25">
      <c r="A117" s="3" t="s">
        <v>577</v>
      </c>
      <c r="B117" s="3" t="s">
        <v>767</v>
      </c>
      <c r="C117" s="3" t="s">
        <v>768</v>
      </c>
      <c r="D117" s="3" t="s">
        <v>113</v>
      </c>
      <c r="E117" s="3" t="s">
        <v>2675</v>
      </c>
      <c r="F117" s="3">
        <f>COUNTIF(C117,PickedPlayers!D:D)</f>
        <v>0</v>
      </c>
      <c r="G117" s="3" t="str">
        <f t="shared" si="1"/>
        <v>Yes</v>
      </c>
    </row>
    <row r="118" spans="1:7" x14ac:dyDescent="0.25">
      <c r="A118" s="3" t="s">
        <v>577</v>
      </c>
      <c r="B118" s="3" t="s">
        <v>769</v>
      </c>
      <c r="C118" s="3" t="s">
        <v>770</v>
      </c>
      <c r="D118" s="3" t="s">
        <v>113</v>
      </c>
      <c r="E118" s="3" t="s">
        <v>2675</v>
      </c>
      <c r="F118" s="3">
        <f>COUNTIF(C118,PickedPlayers!D:D)</f>
        <v>0</v>
      </c>
      <c r="G118" s="3" t="str">
        <f t="shared" si="1"/>
        <v>Yes</v>
      </c>
    </row>
    <row r="119" spans="1:7" x14ac:dyDescent="0.25">
      <c r="A119" s="3" t="s">
        <v>577</v>
      </c>
      <c r="B119" s="3" t="s">
        <v>771</v>
      </c>
      <c r="C119" s="3" t="s">
        <v>322</v>
      </c>
      <c r="D119" s="3" t="s">
        <v>113</v>
      </c>
      <c r="E119" s="3" t="s">
        <v>2675</v>
      </c>
      <c r="F119" s="3">
        <f>COUNTIF(C119,PickedPlayers!D:D)</f>
        <v>0</v>
      </c>
      <c r="G119" s="3" t="str">
        <f t="shared" si="1"/>
        <v>Yes</v>
      </c>
    </row>
    <row r="120" spans="1:7" x14ac:dyDescent="0.25">
      <c r="A120" s="3" t="s">
        <v>577</v>
      </c>
      <c r="B120" s="3" t="s">
        <v>772</v>
      </c>
      <c r="C120" s="3" t="s">
        <v>773</v>
      </c>
      <c r="D120" s="3" t="s">
        <v>113</v>
      </c>
      <c r="E120" s="3" t="s">
        <v>2675</v>
      </c>
      <c r="F120" s="3">
        <f>COUNTIF(C120,PickedPlayers!D:D)</f>
        <v>0</v>
      </c>
      <c r="G120" s="3" t="str">
        <f t="shared" si="1"/>
        <v>Yes</v>
      </c>
    </row>
    <row r="121" spans="1:7" x14ac:dyDescent="0.25">
      <c r="A121" s="3" t="s">
        <v>577</v>
      </c>
      <c r="B121" s="3" t="s">
        <v>774</v>
      </c>
      <c r="C121" s="3" t="s">
        <v>448</v>
      </c>
      <c r="D121" s="3" t="s">
        <v>113</v>
      </c>
      <c r="E121" s="3" t="s">
        <v>2675</v>
      </c>
      <c r="F121" s="3">
        <f>COUNTIF(C121,PickedPlayers!D:D)</f>
        <v>0</v>
      </c>
      <c r="G121" s="3" t="str">
        <f t="shared" si="1"/>
        <v>Yes</v>
      </c>
    </row>
    <row r="122" spans="1:7" hidden="1" x14ac:dyDescent="0.25">
      <c r="A122" s="3" t="s">
        <v>592</v>
      </c>
      <c r="B122" s="3" t="s">
        <v>784</v>
      </c>
      <c r="C122" s="3" t="s">
        <v>785</v>
      </c>
      <c r="D122" s="3" t="s">
        <v>113</v>
      </c>
      <c r="E122" s="3" t="s">
        <v>2677</v>
      </c>
      <c r="F122" s="3">
        <f>COUNTIF(C122,PickedPlayers!D:D)</f>
        <v>0</v>
      </c>
      <c r="G122" s="3" t="str">
        <f t="shared" si="1"/>
        <v>Yes</v>
      </c>
    </row>
    <row r="123" spans="1:7" hidden="1" x14ac:dyDescent="0.25">
      <c r="A123" s="3" t="s">
        <v>592</v>
      </c>
      <c r="B123" s="3" t="s">
        <v>778</v>
      </c>
      <c r="C123" s="3" t="s">
        <v>779</v>
      </c>
      <c r="D123" s="3" t="s">
        <v>113</v>
      </c>
      <c r="E123" s="3" t="s">
        <v>2677</v>
      </c>
      <c r="F123" s="3">
        <f>COUNTIF(C123,PickedPlayers!D:D)</f>
        <v>0</v>
      </c>
      <c r="G123" s="3" t="str">
        <f t="shared" si="1"/>
        <v>Yes</v>
      </c>
    </row>
    <row r="124" spans="1:7" hidden="1" x14ac:dyDescent="0.25">
      <c r="A124" s="3" t="s">
        <v>592</v>
      </c>
      <c r="B124" s="3" t="s">
        <v>786</v>
      </c>
      <c r="C124" s="3" t="s">
        <v>787</v>
      </c>
      <c r="D124" s="3" t="s">
        <v>113</v>
      </c>
      <c r="E124" s="3" t="s">
        <v>2677</v>
      </c>
      <c r="F124" s="3">
        <f>COUNTIF(C124,PickedPlayers!D:D)</f>
        <v>0</v>
      </c>
      <c r="G124" s="3" t="str">
        <f t="shared" si="1"/>
        <v>Yes</v>
      </c>
    </row>
    <row r="125" spans="1:7" hidden="1" x14ac:dyDescent="0.25">
      <c r="A125" s="3" t="s">
        <v>592</v>
      </c>
      <c r="B125" s="3" t="s">
        <v>781</v>
      </c>
      <c r="C125" s="3" t="s">
        <v>782</v>
      </c>
      <c r="D125" s="3" t="s">
        <v>113</v>
      </c>
      <c r="E125" s="3" t="s">
        <v>2677</v>
      </c>
      <c r="F125" s="3">
        <f>COUNTIF(C125,PickedPlayers!D:D)</f>
        <v>0</v>
      </c>
      <c r="G125" s="3" t="str">
        <f t="shared" si="1"/>
        <v>Yes</v>
      </c>
    </row>
    <row r="126" spans="1:7" hidden="1" x14ac:dyDescent="0.25">
      <c r="A126" s="3" t="s">
        <v>592</v>
      </c>
      <c r="B126" s="3" t="s">
        <v>783</v>
      </c>
      <c r="C126" s="3" t="s">
        <v>324</v>
      </c>
      <c r="D126" s="3" t="s">
        <v>113</v>
      </c>
      <c r="E126" s="3" t="s">
        <v>2677</v>
      </c>
      <c r="F126" s="3">
        <f>COUNTIF(C126,PickedPlayers!D:D)</f>
        <v>0</v>
      </c>
      <c r="G126" s="3" t="str">
        <f t="shared" si="1"/>
        <v>Yes</v>
      </c>
    </row>
    <row r="127" spans="1:7" hidden="1" x14ac:dyDescent="0.25">
      <c r="A127" s="3" t="s">
        <v>592</v>
      </c>
      <c r="B127" s="3" t="s">
        <v>780</v>
      </c>
      <c r="C127" s="3" t="s">
        <v>460</v>
      </c>
      <c r="D127" s="3" t="s">
        <v>113</v>
      </c>
      <c r="E127" s="3" t="s">
        <v>2677</v>
      </c>
      <c r="F127" s="3">
        <f>COUNTIF(C127,PickedPlayers!D:D)</f>
        <v>0</v>
      </c>
      <c r="G127" s="3" t="str">
        <f t="shared" si="1"/>
        <v>Yes</v>
      </c>
    </row>
    <row r="128" spans="1:7" hidden="1" x14ac:dyDescent="0.25">
      <c r="A128" s="3" t="s">
        <v>592</v>
      </c>
      <c r="B128" s="3" t="s">
        <v>788</v>
      </c>
      <c r="C128" s="3" t="s">
        <v>789</v>
      </c>
      <c r="D128" s="3" t="s">
        <v>113</v>
      </c>
      <c r="E128" s="3" t="s">
        <v>2677</v>
      </c>
      <c r="F128" s="3">
        <f>COUNTIF(C128,PickedPlayers!D:D)</f>
        <v>0</v>
      </c>
      <c r="G128" s="3" t="str">
        <f t="shared" si="1"/>
        <v>Yes</v>
      </c>
    </row>
    <row r="129" spans="1:7" hidden="1" x14ac:dyDescent="0.25">
      <c r="A129" s="3" t="s">
        <v>592</v>
      </c>
      <c r="B129" s="3" t="s">
        <v>777</v>
      </c>
      <c r="C129" s="3" t="s">
        <v>535</v>
      </c>
      <c r="D129" s="3" t="s">
        <v>113</v>
      </c>
      <c r="E129" s="3" t="s">
        <v>2677</v>
      </c>
      <c r="F129" s="3">
        <f>COUNTIF(C129,PickedPlayers!D:D)</f>
        <v>1</v>
      </c>
      <c r="G129" s="3" t="str">
        <f t="shared" si="1"/>
        <v>No</v>
      </c>
    </row>
    <row r="130" spans="1:7" hidden="1" x14ac:dyDescent="0.25">
      <c r="A130" s="3" t="s">
        <v>551</v>
      </c>
      <c r="B130" s="3" t="s">
        <v>795</v>
      </c>
      <c r="C130" s="3" t="s">
        <v>796</v>
      </c>
      <c r="D130" s="3" t="s">
        <v>2803</v>
      </c>
      <c r="E130" s="3" t="s">
        <v>2673</v>
      </c>
      <c r="F130" s="3">
        <f>COUNTIF(C130,PickedPlayers!D:D)</f>
        <v>0</v>
      </c>
      <c r="G130" s="3" t="str">
        <f t="shared" si="1"/>
        <v>Yes</v>
      </c>
    </row>
    <row r="131" spans="1:7" hidden="1" x14ac:dyDescent="0.25">
      <c r="A131" s="3" t="s">
        <v>551</v>
      </c>
      <c r="B131" s="3" t="s">
        <v>793</v>
      </c>
      <c r="C131" s="3" t="s">
        <v>794</v>
      </c>
      <c r="D131" s="3" t="s">
        <v>2803</v>
      </c>
      <c r="E131" s="3" t="s">
        <v>2673</v>
      </c>
      <c r="F131" s="3">
        <f>COUNTIF(C131,PickedPlayers!D:D)</f>
        <v>0</v>
      </c>
      <c r="G131" s="3" t="str">
        <f t="shared" ref="G131:G194" si="2">IF(F131&gt;0,"No","Yes")</f>
        <v>Yes</v>
      </c>
    </row>
    <row r="132" spans="1:7" hidden="1" x14ac:dyDescent="0.25">
      <c r="A132" s="3" t="s">
        <v>551</v>
      </c>
      <c r="B132" s="3" t="s">
        <v>790</v>
      </c>
      <c r="C132" s="3" t="s">
        <v>791</v>
      </c>
      <c r="D132" s="3" t="s">
        <v>2803</v>
      </c>
      <c r="E132" s="3" t="s">
        <v>2673</v>
      </c>
      <c r="F132" s="3">
        <f>COUNTIF(C132,PickedPlayers!D:D)</f>
        <v>0</v>
      </c>
      <c r="G132" s="3" t="str">
        <f t="shared" si="2"/>
        <v>Yes</v>
      </c>
    </row>
    <row r="133" spans="1:7" hidden="1" x14ac:dyDescent="0.25">
      <c r="A133" s="3" t="s">
        <v>558</v>
      </c>
      <c r="B133" s="3" t="s">
        <v>799</v>
      </c>
      <c r="C133" s="3" t="s">
        <v>800</v>
      </c>
      <c r="D133" s="3" t="s">
        <v>2803</v>
      </c>
      <c r="E133" s="3" t="s">
        <v>2674</v>
      </c>
      <c r="F133" s="3">
        <f>COUNTIF(C133,PickedPlayers!D:D)</f>
        <v>0</v>
      </c>
      <c r="G133" s="3" t="str">
        <f t="shared" si="2"/>
        <v>Yes</v>
      </c>
    </row>
    <row r="134" spans="1:7" hidden="1" x14ac:dyDescent="0.25">
      <c r="A134" s="3" t="s">
        <v>558</v>
      </c>
      <c r="B134" s="3" t="s">
        <v>801</v>
      </c>
      <c r="C134" s="3" t="s">
        <v>802</v>
      </c>
      <c r="D134" s="3" t="s">
        <v>2803</v>
      </c>
      <c r="E134" s="3" t="s">
        <v>2674</v>
      </c>
      <c r="F134" s="3">
        <f>COUNTIF(C134,PickedPlayers!D:D)</f>
        <v>0</v>
      </c>
      <c r="G134" s="3" t="str">
        <f t="shared" si="2"/>
        <v>Yes</v>
      </c>
    </row>
    <row r="135" spans="1:7" hidden="1" x14ac:dyDescent="0.25">
      <c r="A135" s="3" t="s">
        <v>558</v>
      </c>
      <c r="B135" s="3" t="s">
        <v>811</v>
      </c>
      <c r="C135" s="3" t="s">
        <v>812</v>
      </c>
      <c r="D135" s="3" t="s">
        <v>2803</v>
      </c>
      <c r="E135" s="3" t="s">
        <v>2674</v>
      </c>
      <c r="F135" s="3">
        <f>COUNTIF(C135,PickedPlayers!D:D)</f>
        <v>0</v>
      </c>
      <c r="G135" s="3" t="str">
        <f t="shared" si="2"/>
        <v>Yes</v>
      </c>
    </row>
    <row r="136" spans="1:7" hidden="1" x14ac:dyDescent="0.25">
      <c r="A136" s="3" t="s">
        <v>558</v>
      </c>
      <c r="B136" s="3" t="s">
        <v>803</v>
      </c>
      <c r="C136" s="3" t="s">
        <v>804</v>
      </c>
      <c r="D136" s="3" t="s">
        <v>2803</v>
      </c>
      <c r="E136" s="3" t="s">
        <v>2674</v>
      </c>
      <c r="F136" s="3">
        <f>COUNTIF(C136,PickedPlayers!D:D)</f>
        <v>0</v>
      </c>
      <c r="G136" s="3" t="str">
        <f t="shared" si="2"/>
        <v>Yes</v>
      </c>
    </row>
    <row r="137" spans="1:7" hidden="1" x14ac:dyDescent="0.25">
      <c r="A137" s="3" t="s">
        <v>558</v>
      </c>
      <c r="B137" s="3" t="s">
        <v>797</v>
      </c>
      <c r="C137" s="3" t="s">
        <v>798</v>
      </c>
      <c r="D137" s="3" t="s">
        <v>2803</v>
      </c>
      <c r="E137" s="3" t="s">
        <v>2674</v>
      </c>
      <c r="F137" s="3">
        <f>COUNTIF(C137,PickedPlayers!D:D)</f>
        <v>0</v>
      </c>
      <c r="G137" s="3" t="str">
        <f t="shared" si="2"/>
        <v>Yes</v>
      </c>
    </row>
    <row r="138" spans="1:7" hidden="1" x14ac:dyDescent="0.25">
      <c r="A138" s="3" t="s">
        <v>558</v>
      </c>
      <c r="B138" s="3" t="s">
        <v>809</v>
      </c>
      <c r="C138" s="3" t="s">
        <v>810</v>
      </c>
      <c r="D138" s="3" t="s">
        <v>2803</v>
      </c>
      <c r="E138" s="3" t="s">
        <v>2674</v>
      </c>
      <c r="F138" s="3">
        <f>COUNTIF(C138,PickedPlayers!D:D)</f>
        <v>0</v>
      </c>
      <c r="G138" s="3" t="str">
        <f t="shared" si="2"/>
        <v>Yes</v>
      </c>
    </row>
    <row r="139" spans="1:7" hidden="1" x14ac:dyDescent="0.25">
      <c r="A139" s="3" t="s">
        <v>558</v>
      </c>
      <c r="B139" s="3" t="s">
        <v>807</v>
      </c>
      <c r="C139" s="3" t="s">
        <v>808</v>
      </c>
      <c r="D139" s="3" t="s">
        <v>2803</v>
      </c>
      <c r="E139" s="3" t="s">
        <v>2674</v>
      </c>
      <c r="F139" s="3">
        <f>COUNTIF(C139,PickedPlayers!D:D)</f>
        <v>0</v>
      </c>
      <c r="G139" s="3" t="str">
        <f t="shared" si="2"/>
        <v>Yes</v>
      </c>
    </row>
    <row r="140" spans="1:7" hidden="1" x14ac:dyDescent="0.25">
      <c r="A140" s="3" t="s">
        <v>558</v>
      </c>
      <c r="B140" s="3" t="s">
        <v>805</v>
      </c>
      <c r="C140" s="3" t="s">
        <v>806</v>
      </c>
      <c r="D140" s="3" t="s">
        <v>2803</v>
      </c>
      <c r="E140" s="3" t="s">
        <v>2674</v>
      </c>
      <c r="F140" s="3">
        <f>COUNTIF(C140,PickedPlayers!D:D)</f>
        <v>0</v>
      </c>
      <c r="G140" s="3" t="str">
        <f t="shared" si="2"/>
        <v>Yes</v>
      </c>
    </row>
    <row r="141" spans="1:7" x14ac:dyDescent="0.25">
      <c r="A141" s="3" t="s">
        <v>577</v>
      </c>
      <c r="B141" s="3" t="s">
        <v>817</v>
      </c>
      <c r="C141" s="3" t="s">
        <v>818</v>
      </c>
      <c r="D141" s="3" t="s">
        <v>2803</v>
      </c>
      <c r="E141" s="3" t="s">
        <v>2675</v>
      </c>
      <c r="F141" s="3">
        <f>COUNTIF(C141,PickedPlayers!D:D)</f>
        <v>0</v>
      </c>
      <c r="G141" s="3" t="str">
        <f t="shared" si="2"/>
        <v>Yes</v>
      </c>
    </row>
    <row r="142" spans="1:7" x14ac:dyDescent="0.25">
      <c r="A142" s="3" t="s">
        <v>577</v>
      </c>
      <c r="B142" s="3" t="s">
        <v>819</v>
      </c>
      <c r="C142" s="3" t="s">
        <v>820</v>
      </c>
      <c r="D142" s="3" t="s">
        <v>2803</v>
      </c>
      <c r="E142" s="3" t="s">
        <v>2675</v>
      </c>
      <c r="F142" s="3">
        <f>COUNTIF(C142,PickedPlayers!D:D)</f>
        <v>0</v>
      </c>
      <c r="G142" s="3" t="str">
        <f t="shared" si="2"/>
        <v>Yes</v>
      </c>
    </row>
    <row r="143" spans="1:7" x14ac:dyDescent="0.25">
      <c r="A143" s="3" t="s">
        <v>577</v>
      </c>
      <c r="B143" s="3" t="s">
        <v>815</v>
      </c>
      <c r="C143" s="3" t="s">
        <v>816</v>
      </c>
      <c r="D143" s="3" t="s">
        <v>2803</v>
      </c>
      <c r="E143" s="3" t="s">
        <v>2675</v>
      </c>
      <c r="F143" s="3">
        <f>COUNTIF(C143,PickedPlayers!D:D)</f>
        <v>0</v>
      </c>
      <c r="G143" s="3" t="str">
        <f t="shared" si="2"/>
        <v>Yes</v>
      </c>
    </row>
    <row r="144" spans="1:7" x14ac:dyDescent="0.25">
      <c r="A144" s="3" t="s">
        <v>577</v>
      </c>
      <c r="B144" s="3" t="s">
        <v>813</v>
      </c>
      <c r="C144" s="3" t="s">
        <v>814</v>
      </c>
      <c r="D144" s="3" t="s">
        <v>2803</v>
      </c>
      <c r="E144" s="3" t="s">
        <v>2675</v>
      </c>
      <c r="F144" s="3">
        <f>COUNTIF(C144,PickedPlayers!D:D)</f>
        <v>0</v>
      </c>
      <c r="G144" s="3" t="str">
        <f t="shared" si="2"/>
        <v>Yes</v>
      </c>
    </row>
    <row r="145" spans="1:7" x14ac:dyDescent="0.25">
      <c r="A145" s="3" t="s">
        <v>577</v>
      </c>
      <c r="B145" s="3" t="s">
        <v>823</v>
      </c>
      <c r="C145" s="3" t="s">
        <v>824</v>
      </c>
      <c r="D145" s="3" t="s">
        <v>2803</v>
      </c>
      <c r="E145" s="3" t="s">
        <v>2675</v>
      </c>
      <c r="F145" s="3">
        <f>COUNTIF(C145,PickedPlayers!D:D)</f>
        <v>0</v>
      </c>
      <c r="G145" s="3" t="str">
        <f t="shared" si="2"/>
        <v>Yes</v>
      </c>
    </row>
    <row r="146" spans="1:7" x14ac:dyDescent="0.25">
      <c r="A146" s="3" t="s">
        <v>577</v>
      </c>
      <c r="B146" s="3" t="s">
        <v>827</v>
      </c>
      <c r="C146" s="3" t="s">
        <v>828</v>
      </c>
      <c r="D146" s="3" t="s">
        <v>2803</v>
      </c>
      <c r="E146" s="3" t="s">
        <v>2675</v>
      </c>
      <c r="F146" s="3">
        <f>COUNTIF(C146,PickedPlayers!D:D)</f>
        <v>0</v>
      </c>
      <c r="G146" s="3" t="str">
        <f t="shared" si="2"/>
        <v>Yes</v>
      </c>
    </row>
    <row r="147" spans="1:7" x14ac:dyDescent="0.25">
      <c r="A147" s="3" t="s">
        <v>577</v>
      </c>
      <c r="B147" s="3" t="s">
        <v>821</v>
      </c>
      <c r="C147" s="3" t="s">
        <v>822</v>
      </c>
      <c r="D147" s="3" t="s">
        <v>2803</v>
      </c>
      <c r="E147" s="3" t="s">
        <v>2675</v>
      </c>
      <c r="F147" s="3">
        <f>COUNTIF(C147,PickedPlayers!D:D)</f>
        <v>0</v>
      </c>
      <c r="G147" s="3" t="str">
        <f t="shared" si="2"/>
        <v>Yes</v>
      </c>
    </row>
    <row r="148" spans="1:7" x14ac:dyDescent="0.25">
      <c r="A148" s="3" t="s">
        <v>577</v>
      </c>
      <c r="B148" s="3" t="s">
        <v>825</v>
      </c>
      <c r="C148" s="3" t="s">
        <v>826</v>
      </c>
      <c r="D148" s="3" t="s">
        <v>2803</v>
      </c>
      <c r="E148" s="3" t="s">
        <v>2675</v>
      </c>
      <c r="F148" s="3">
        <f>COUNTIF(C148,PickedPlayers!D:D)</f>
        <v>0</v>
      </c>
      <c r="G148" s="3" t="str">
        <f t="shared" si="2"/>
        <v>Yes</v>
      </c>
    </row>
    <row r="149" spans="1:7" hidden="1" x14ac:dyDescent="0.25">
      <c r="A149" s="3" t="s">
        <v>592</v>
      </c>
      <c r="B149" s="3" t="s">
        <v>831</v>
      </c>
      <c r="C149" s="3" t="s">
        <v>832</v>
      </c>
      <c r="D149" s="3" t="s">
        <v>2803</v>
      </c>
      <c r="E149" s="3" t="s">
        <v>2677</v>
      </c>
      <c r="F149" s="3">
        <f>COUNTIF(C149,PickedPlayers!D:D)</f>
        <v>0</v>
      </c>
      <c r="G149" s="3" t="str">
        <f t="shared" si="2"/>
        <v>Yes</v>
      </c>
    </row>
    <row r="150" spans="1:7" hidden="1" x14ac:dyDescent="0.25">
      <c r="A150" s="3" t="s">
        <v>592</v>
      </c>
      <c r="B150" s="3" t="s">
        <v>833</v>
      </c>
      <c r="C150" s="3" t="s">
        <v>834</v>
      </c>
      <c r="D150" s="3" t="s">
        <v>2803</v>
      </c>
      <c r="E150" s="3" t="s">
        <v>2677</v>
      </c>
      <c r="F150" s="3">
        <f>COUNTIF(C150,PickedPlayers!D:D)</f>
        <v>0</v>
      </c>
      <c r="G150" s="3" t="str">
        <f t="shared" si="2"/>
        <v>Yes</v>
      </c>
    </row>
    <row r="151" spans="1:7" hidden="1" x14ac:dyDescent="0.25">
      <c r="A151" s="3" t="s">
        <v>592</v>
      </c>
      <c r="B151" s="3" t="s">
        <v>837</v>
      </c>
      <c r="C151" s="3" t="s">
        <v>838</v>
      </c>
      <c r="D151" s="3" t="s">
        <v>2803</v>
      </c>
      <c r="E151" s="3" t="s">
        <v>2677</v>
      </c>
      <c r="F151" s="3">
        <f>COUNTIF(C151,PickedPlayers!D:D)</f>
        <v>0</v>
      </c>
      <c r="G151" s="3" t="str">
        <f t="shared" si="2"/>
        <v>Yes</v>
      </c>
    </row>
    <row r="152" spans="1:7" hidden="1" x14ac:dyDescent="0.25">
      <c r="A152" s="3" t="s">
        <v>592</v>
      </c>
      <c r="B152" s="3" t="s">
        <v>835</v>
      </c>
      <c r="C152" s="3" t="s">
        <v>836</v>
      </c>
      <c r="D152" s="3" t="s">
        <v>2803</v>
      </c>
      <c r="E152" s="3" t="s">
        <v>2677</v>
      </c>
      <c r="F152" s="3">
        <f>COUNTIF(C152,PickedPlayers!D:D)</f>
        <v>0</v>
      </c>
      <c r="G152" s="3" t="str">
        <f t="shared" si="2"/>
        <v>Yes</v>
      </c>
    </row>
    <row r="153" spans="1:7" hidden="1" x14ac:dyDescent="0.25">
      <c r="A153" s="3" t="s">
        <v>592</v>
      </c>
      <c r="B153" s="3" t="s">
        <v>839</v>
      </c>
      <c r="C153" s="3" t="s">
        <v>840</v>
      </c>
      <c r="D153" s="3" t="s">
        <v>2803</v>
      </c>
      <c r="E153" s="3" t="s">
        <v>2677</v>
      </c>
      <c r="F153" s="3">
        <f>COUNTIF(C153,PickedPlayers!D:D)</f>
        <v>0</v>
      </c>
      <c r="G153" s="3" t="str">
        <f t="shared" si="2"/>
        <v>Yes</v>
      </c>
    </row>
    <row r="154" spans="1:7" hidden="1" x14ac:dyDescent="0.25">
      <c r="A154" s="3" t="s">
        <v>592</v>
      </c>
      <c r="B154" s="3" t="s">
        <v>841</v>
      </c>
      <c r="C154" s="3" t="s">
        <v>842</v>
      </c>
      <c r="D154" s="3" t="s">
        <v>2803</v>
      </c>
      <c r="E154" s="3" t="s">
        <v>2677</v>
      </c>
      <c r="F154" s="3">
        <f>COUNTIF(C154,PickedPlayers!D:D)</f>
        <v>0</v>
      </c>
      <c r="G154" s="3" t="str">
        <f t="shared" si="2"/>
        <v>Yes</v>
      </c>
    </row>
    <row r="155" spans="1:7" hidden="1" x14ac:dyDescent="0.25">
      <c r="A155" s="3" t="s">
        <v>592</v>
      </c>
      <c r="B155" s="3" t="s">
        <v>829</v>
      </c>
      <c r="C155" s="3" t="s">
        <v>830</v>
      </c>
      <c r="D155" s="3" t="s">
        <v>2803</v>
      </c>
      <c r="E155" s="3" t="s">
        <v>2677</v>
      </c>
      <c r="F155" s="3">
        <f>COUNTIF(C155,PickedPlayers!D:D)</f>
        <v>0</v>
      </c>
      <c r="G155" s="3" t="str">
        <f t="shared" si="2"/>
        <v>Yes</v>
      </c>
    </row>
    <row r="156" spans="1:7" hidden="1" x14ac:dyDescent="0.25">
      <c r="A156" s="3" t="s">
        <v>551</v>
      </c>
      <c r="B156" s="3" t="s">
        <v>372</v>
      </c>
      <c r="C156" s="3" t="s">
        <v>372</v>
      </c>
      <c r="D156" s="3" t="s">
        <v>78</v>
      </c>
      <c r="E156" s="3" t="s">
        <v>2673</v>
      </c>
      <c r="F156" s="3">
        <f>COUNTIF(C156,PickedPlayers!D:D)</f>
        <v>0</v>
      </c>
      <c r="G156" s="3" t="str">
        <f t="shared" si="2"/>
        <v>Yes</v>
      </c>
    </row>
    <row r="157" spans="1:7" hidden="1" x14ac:dyDescent="0.25">
      <c r="A157" s="3" t="s">
        <v>551</v>
      </c>
      <c r="B157" s="3" t="s">
        <v>497</v>
      </c>
      <c r="C157" s="3" t="s">
        <v>497</v>
      </c>
      <c r="D157" s="3" t="s">
        <v>78</v>
      </c>
      <c r="E157" s="3" t="s">
        <v>2673</v>
      </c>
      <c r="F157" s="3">
        <f>COUNTIF(C157,PickedPlayers!D:D)</f>
        <v>0</v>
      </c>
      <c r="G157" s="3" t="str">
        <f t="shared" si="2"/>
        <v>Yes</v>
      </c>
    </row>
    <row r="158" spans="1:7" hidden="1" x14ac:dyDescent="0.25">
      <c r="A158" s="3" t="s">
        <v>551</v>
      </c>
      <c r="B158" s="3" t="s">
        <v>843</v>
      </c>
      <c r="C158" s="3" t="s">
        <v>843</v>
      </c>
      <c r="D158" s="3" t="s">
        <v>78</v>
      </c>
      <c r="E158" s="3" t="s">
        <v>2673</v>
      </c>
      <c r="F158" s="3">
        <f>COUNTIF(C158,PickedPlayers!D:D)</f>
        <v>0</v>
      </c>
      <c r="G158" s="3" t="str">
        <f t="shared" si="2"/>
        <v>Yes</v>
      </c>
    </row>
    <row r="159" spans="1:7" hidden="1" x14ac:dyDescent="0.25">
      <c r="A159" s="3" t="s">
        <v>558</v>
      </c>
      <c r="B159" s="3" t="s">
        <v>422</v>
      </c>
      <c r="C159" s="3" t="s">
        <v>422</v>
      </c>
      <c r="D159" s="3" t="s">
        <v>78</v>
      </c>
      <c r="E159" s="3" t="s">
        <v>2674</v>
      </c>
      <c r="F159" s="3">
        <f>COUNTIF(C159,PickedPlayers!D:D)</f>
        <v>0</v>
      </c>
      <c r="G159" s="3" t="str">
        <f t="shared" si="2"/>
        <v>Yes</v>
      </c>
    </row>
    <row r="160" spans="1:7" hidden="1" x14ac:dyDescent="0.25">
      <c r="A160" s="3" t="s">
        <v>558</v>
      </c>
      <c r="B160" s="3" t="s">
        <v>845</v>
      </c>
      <c r="C160" s="3" t="s">
        <v>845</v>
      </c>
      <c r="D160" s="3" t="s">
        <v>78</v>
      </c>
      <c r="E160" s="3" t="s">
        <v>2674</v>
      </c>
      <c r="F160" s="3">
        <f>COUNTIF(C160,PickedPlayers!D:D)</f>
        <v>0</v>
      </c>
      <c r="G160" s="3" t="str">
        <f t="shared" si="2"/>
        <v>Yes</v>
      </c>
    </row>
    <row r="161" spans="1:7" hidden="1" x14ac:dyDescent="0.25">
      <c r="A161" s="3" t="s">
        <v>558</v>
      </c>
      <c r="B161" s="3" t="s">
        <v>531</v>
      </c>
      <c r="C161" s="3" t="s">
        <v>531</v>
      </c>
      <c r="D161" s="3" t="s">
        <v>78</v>
      </c>
      <c r="E161" s="3" t="s">
        <v>2674</v>
      </c>
      <c r="F161" s="3">
        <f>COUNTIF(C161,PickedPlayers!D:D)</f>
        <v>0</v>
      </c>
      <c r="G161" s="3" t="str">
        <f t="shared" si="2"/>
        <v>Yes</v>
      </c>
    </row>
    <row r="162" spans="1:7" hidden="1" x14ac:dyDescent="0.25">
      <c r="A162" s="3" t="s">
        <v>558</v>
      </c>
      <c r="B162" s="3" t="s">
        <v>847</v>
      </c>
      <c r="C162" s="3" t="s">
        <v>847</v>
      </c>
      <c r="D162" s="3" t="s">
        <v>78</v>
      </c>
      <c r="E162" s="3" t="s">
        <v>2674</v>
      </c>
      <c r="F162" s="3">
        <f>COUNTIF(C162,PickedPlayers!D:D)</f>
        <v>0</v>
      </c>
      <c r="G162" s="3" t="str">
        <f t="shared" si="2"/>
        <v>Yes</v>
      </c>
    </row>
    <row r="163" spans="1:7" hidden="1" x14ac:dyDescent="0.25">
      <c r="A163" s="3" t="s">
        <v>558</v>
      </c>
      <c r="B163" s="3" t="s">
        <v>314</v>
      </c>
      <c r="C163" s="3" t="s">
        <v>314</v>
      </c>
      <c r="D163" s="3" t="s">
        <v>78</v>
      </c>
      <c r="E163" s="3" t="s">
        <v>2674</v>
      </c>
      <c r="F163" s="3">
        <f>COUNTIF(C163,PickedPlayers!D:D)</f>
        <v>0</v>
      </c>
      <c r="G163" s="3" t="str">
        <f t="shared" si="2"/>
        <v>Yes</v>
      </c>
    </row>
    <row r="164" spans="1:7" hidden="1" x14ac:dyDescent="0.25">
      <c r="A164" s="3" t="s">
        <v>558</v>
      </c>
      <c r="B164" s="3" t="s">
        <v>848</v>
      </c>
      <c r="C164" s="3" t="s">
        <v>848</v>
      </c>
      <c r="D164" s="3" t="s">
        <v>78</v>
      </c>
      <c r="E164" s="3" t="s">
        <v>2674</v>
      </c>
      <c r="F164" s="3">
        <f>COUNTIF(C164,PickedPlayers!D:D)</f>
        <v>0</v>
      </c>
      <c r="G164" s="3" t="str">
        <f t="shared" si="2"/>
        <v>Yes</v>
      </c>
    </row>
    <row r="165" spans="1:7" hidden="1" x14ac:dyDescent="0.25">
      <c r="A165" s="3" t="s">
        <v>558</v>
      </c>
      <c r="B165" s="3" t="s">
        <v>846</v>
      </c>
      <c r="C165" s="3" t="s">
        <v>846</v>
      </c>
      <c r="D165" s="3" t="s">
        <v>78</v>
      </c>
      <c r="E165" s="3" t="s">
        <v>2674</v>
      </c>
      <c r="F165" s="3">
        <f>COUNTIF(C165,PickedPlayers!D:D)</f>
        <v>0</v>
      </c>
      <c r="G165" s="3" t="str">
        <f t="shared" si="2"/>
        <v>Yes</v>
      </c>
    </row>
    <row r="166" spans="1:7" hidden="1" x14ac:dyDescent="0.25">
      <c r="A166" s="3" t="s">
        <v>558</v>
      </c>
      <c r="B166" s="3" t="s">
        <v>452</v>
      </c>
      <c r="C166" s="3" t="s">
        <v>452</v>
      </c>
      <c r="D166" s="3" t="s">
        <v>78</v>
      </c>
      <c r="E166" s="3" t="s">
        <v>2674</v>
      </c>
      <c r="F166" s="3">
        <f>COUNTIF(C166,PickedPlayers!D:D)</f>
        <v>0</v>
      </c>
      <c r="G166" s="3" t="str">
        <f t="shared" si="2"/>
        <v>Yes</v>
      </c>
    </row>
    <row r="167" spans="1:7" hidden="1" x14ac:dyDescent="0.25">
      <c r="A167" s="3" t="s">
        <v>558</v>
      </c>
      <c r="B167" s="3" t="s">
        <v>844</v>
      </c>
      <c r="C167" s="3" t="s">
        <v>844</v>
      </c>
      <c r="D167" s="3" t="s">
        <v>78</v>
      </c>
      <c r="E167" s="3" t="s">
        <v>2674</v>
      </c>
      <c r="F167" s="3">
        <f>COUNTIF(C167,PickedPlayers!D:D)</f>
        <v>0</v>
      </c>
      <c r="G167" s="3" t="str">
        <f t="shared" si="2"/>
        <v>Yes</v>
      </c>
    </row>
    <row r="168" spans="1:7" x14ac:dyDescent="0.25">
      <c r="A168" s="3" t="s">
        <v>577</v>
      </c>
      <c r="B168" s="3" t="s">
        <v>408</v>
      </c>
      <c r="C168" s="3" t="s">
        <v>408</v>
      </c>
      <c r="D168" s="3" t="s">
        <v>78</v>
      </c>
      <c r="E168" s="3" t="s">
        <v>2675</v>
      </c>
      <c r="F168" s="3">
        <f>COUNTIF(C168,PickedPlayers!D:D)</f>
        <v>0</v>
      </c>
      <c r="G168" s="3" t="str">
        <f t="shared" si="2"/>
        <v>Yes</v>
      </c>
    </row>
    <row r="169" spans="1:7" x14ac:dyDescent="0.25">
      <c r="A169" s="3" t="s">
        <v>577</v>
      </c>
      <c r="B169" s="3" t="s">
        <v>849</v>
      </c>
      <c r="C169" s="3" t="s">
        <v>849</v>
      </c>
      <c r="D169" s="3" t="s">
        <v>78</v>
      </c>
      <c r="E169" s="3" t="s">
        <v>2675</v>
      </c>
      <c r="F169" s="3">
        <f>COUNTIF(C169,PickedPlayers!D:D)</f>
        <v>0</v>
      </c>
      <c r="G169" s="3" t="str">
        <f t="shared" si="2"/>
        <v>Yes</v>
      </c>
    </row>
    <row r="170" spans="1:7" x14ac:dyDescent="0.25">
      <c r="A170" s="3" t="s">
        <v>577</v>
      </c>
      <c r="B170" s="3" t="s">
        <v>850</v>
      </c>
      <c r="C170" s="3" t="s">
        <v>850</v>
      </c>
      <c r="D170" s="3" t="s">
        <v>78</v>
      </c>
      <c r="E170" s="3" t="s">
        <v>2675</v>
      </c>
      <c r="F170" s="3">
        <f>COUNTIF(C170,PickedPlayers!D:D)</f>
        <v>0</v>
      </c>
      <c r="G170" s="3" t="str">
        <f t="shared" si="2"/>
        <v>Yes</v>
      </c>
    </row>
    <row r="171" spans="1:7" x14ac:dyDescent="0.25">
      <c r="A171" s="3" t="s">
        <v>577</v>
      </c>
      <c r="B171" s="3" t="s">
        <v>852</v>
      </c>
      <c r="C171" s="3" t="s">
        <v>852</v>
      </c>
      <c r="D171" s="3" t="s">
        <v>78</v>
      </c>
      <c r="E171" s="3" t="s">
        <v>2675</v>
      </c>
      <c r="F171" s="3">
        <f>COUNTIF(C171,PickedPlayers!D:D)</f>
        <v>0</v>
      </c>
      <c r="G171" s="3" t="str">
        <f t="shared" si="2"/>
        <v>Yes</v>
      </c>
    </row>
    <row r="172" spans="1:7" x14ac:dyDescent="0.25">
      <c r="A172" s="3" t="s">
        <v>577</v>
      </c>
      <c r="B172" s="3" t="s">
        <v>851</v>
      </c>
      <c r="C172" s="3" t="s">
        <v>851</v>
      </c>
      <c r="D172" s="3" t="s">
        <v>78</v>
      </c>
      <c r="E172" s="3" t="s">
        <v>2675</v>
      </c>
      <c r="F172" s="3">
        <f>COUNTIF(C172,PickedPlayers!D:D)</f>
        <v>0</v>
      </c>
      <c r="G172" s="3" t="str">
        <f t="shared" si="2"/>
        <v>Yes</v>
      </c>
    </row>
    <row r="173" spans="1:7" hidden="1" x14ac:dyDescent="0.25">
      <c r="A173" s="3" t="s">
        <v>592</v>
      </c>
      <c r="B173" s="3" t="s">
        <v>858</v>
      </c>
      <c r="C173" s="3" t="s">
        <v>858</v>
      </c>
      <c r="D173" s="3" t="s">
        <v>78</v>
      </c>
      <c r="E173" s="3" t="s">
        <v>2677</v>
      </c>
      <c r="F173" s="3">
        <f>COUNTIF(C173,PickedPlayers!D:D)</f>
        <v>0</v>
      </c>
      <c r="G173" s="3" t="str">
        <f t="shared" si="2"/>
        <v>Yes</v>
      </c>
    </row>
    <row r="174" spans="1:7" hidden="1" x14ac:dyDescent="0.25">
      <c r="A174" s="3" t="s">
        <v>592</v>
      </c>
      <c r="B174" s="3" t="s">
        <v>854</v>
      </c>
      <c r="C174" s="3" t="s">
        <v>854</v>
      </c>
      <c r="D174" s="3" t="s">
        <v>78</v>
      </c>
      <c r="E174" s="3" t="s">
        <v>2677</v>
      </c>
      <c r="F174" s="3">
        <f>COUNTIF(C174,PickedPlayers!D:D)</f>
        <v>0</v>
      </c>
      <c r="G174" s="3" t="str">
        <f t="shared" si="2"/>
        <v>Yes</v>
      </c>
    </row>
    <row r="175" spans="1:7" hidden="1" x14ac:dyDescent="0.25">
      <c r="A175" s="3" t="s">
        <v>592</v>
      </c>
      <c r="B175" s="3" t="s">
        <v>856</v>
      </c>
      <c r="C175" s="3" t="s">
        <v>856</v>
      </c>
      <c r="D175" s="3" t="s">
        <v>78</v>
      </c>
      <c r="E175" s="3" t="s">
        <v>2677</v>
      </c>
      <c r="F175" s="3">
        <f>COUNTIF(C175,PickedPlayers!D:D)</f>
        <v>0</v>
      </c>
      <c r="G175" s="3" t="str">
        <f t="shared" si="2"/>
        <v>Yes</v>
      </c>
    </row>
    <row r="176" spans="1:7" hidden="1" x14ac:dyDescent="0.25">
      <c r="A176" s="3" t="s">
        <v>592</v>
      </c>
      <c r="B176" s="3" t="s">
        <v>853</v>
      </c>
      <c r="C176" s="3" t="s">
        <v>853</v>
      </c>
      <c r="D176" s="3" t="s">
        <v>78</v>
      </c>
      <c r="E176" s="3" t="s">
        <v>2677</v>
      </c>
      <c r="F176" s="3">
        <f>COUNTIF(C176,PickedPlayers!D:D)</f>
        <v>0</v>
      </c>
      <c r="G176" s="3" t="str">
        <f t="shared" si="2"/>
        <v>Yes</v>
      </c>
    </row>
    <row r="177" spans="1:7" hidden="1" x14ac:dyDescent="0.25">
      <c r="A177" s="3" t="s">
        <v>592</v>
      </c>
      <c r="B177" s="3" t="s">
        <v>400</v>
      </c>
      <c r="C177" s="3" t="s">
        <v>400</v>
      </c>
      <c r="D177" s="3" t="s">
        <v>78</v>
      </c>
      <c r="E177" s="3" t="s">
        <v>2677</v>
      </c>
      <c r="F177" s="3">
        <f>COUNTIF(C177,PickedPlayers!D:D)</f>
        <v>0</v>
      </c>
      <c r="G177" s="3" t="str">
        <f t="shared" si="2"/>
        <v>Yes</v>
      </c>
    </row>
    <row r="178" spans="1:7" hidden="1" x14ac:dyDescent="0.25">
      <c r="A178" s="3" t="s">
        <v>592</v>
      </c>
      <c r="B178" s="3" t="s">
        <v>855</v>
      </c>
      <c r="C178" s="3" t="s">
        <v>855</v>
      </c>
      <c r="D178" s="3" t="s">
        <v>78</v>
      </c>
      <c r="E178" s="3" t="s">
        <v>2677</v>
      </c>
      <c r="F178" s="3">
        <f>COUNTIF(C178,PickedPlayers!D:D)</f>
        <v>0</v>
      </c>
      <c r="G178" s="3" t="str">
        <f t="shared" si="2"/>
        <v>Yes</v>
      </c>
    </row>
    <row r="179" spans="1:7" hidden="1" x14ac:dyDescent="0.25">
      <c r="A179" s="3" t="s">
        <v>592</v>
      </c>
      <c r="B179" s="3" t="s">
        <v>302</v>
      </c>
      <c r="C179" s="3" t="s">
        <v>302</v>
      </c>
      <c r="D179" s="3" t="s">
        <v>78</v>
      </c>
      <c r="E179" s="3" t="s">
        <v>2677</v>
      </c>
      <c r="F179" s="3">
        <f>COUNTIF(C179,PickedPlayers!D:D)</f>
        <v>0</v>
      </c>
      <c r="G179" s="3" t="str">
        <f t="shared" si="2"/>
        <v>Yes</v>
      </c>
    </row>
    <row r="180" spans="1:7" hidden="1" x14ac:dyDescent="0.25">
      <c r="A180" s="3" t="s">
        <v>592</v>
      </c>
      <c r="B180" s="3" t="s">
        <v>857</v>
      </c>
      <c r="C180" s="3" t="s">
        <v>857</v>
      </c>
      <c r="D180" s="3" t="s">
        <v>78</v>
      </c>
      <c r="E180" s="3" t="s">
        <v>2677</v>
      </c>
      <c r="F180" s="3">
        <f>COUNTIF(C180,PickedPlayers!D:D)</f>
        <v>0</v>
      </c>
      <c r="G180" s="3" t="str">
        <f t="shared" si="2"/>
        <v>Yes</v>
      </c>
    </row>
    <row r="181" spans="1:7" hidden="1" x14ac:dyDescent="0.25">
      <c r="A181" s="3" t="s">
        <v>592</v>
      </c>
      <c r="B181" s="3" t="s">
        <v>304</v>
      </c>
      <c r="C181" s="3" t="s">
        <v>304</v>
      </c>
      <c r="D181" s="3" t="s">
        <v>78</v>
      </c>
      <c r="E181" s="3" t="s">
        <v>2677</v>
      </c>
      <c r="F181" s="3">
        <f>COUNTIF(C181,PickedPlayers!D:D)</f>
        <v>0</v>
      </c>
      <c r="G181" s="3" t="str">
        <f t="shared" si="2"/>
        <v>Yes</v>
      </c>
    </row>
    <row r="182" spans="1:7" hidden="1" x14ac:dyDescent="0.25">
      <c r="A182" s="3" t="s">
        <v>551</v>
      </c>
      <c r="B182" s="3" t="s">
        <v>885</v>
      </c>
      <c r="C182" s="3" t="s">
        <v>886</v>
      </c>
      <c r="D182" s="3" t="s">
        <v>83</v>
      </c>
      <c r="E182" s="3" t="s">
        <v>2673</v>
      </c>
      <c r="F182" s="3">
        <f>COUNTIF(C182,PickedPlayers!D:D)</f>
        <v>0</v>
      </c>
      <c r="G182" s="3" t="str">
        <f t="shared" si="2"/>
        <v>Yes</v>
      </c>
    </row>
    <row r="183" spans="1:7" hidden="1" x14ac:dyDescent="0.25">
      <c r="A183" s="3" t="s">
        <v>551</v>
      </c>
      <c r="B183" s="3" t="s">
        <v>889</v>
      </c>
      <c r="C183" s="3" t="s">
        <v>890</v>
      </c>
      <c r="D183" s="3" t="s">
        <v>83</v>
      </c>
      <c r="E183" s="3" t="s">
        <v>2673</v>
      </c>
      <c r="F183" s="3">
        <f>COUNTIF(C183,PickedPlayers!D:D)</f>
        <v>0</v>
      </c>
      <c r="G183" s="3" t="str">
        <f t="shared" si="2"/>
        <v>Yes</v>
      </c>
    </row>
    <row r="184" spans="1:7" hidden="1" x14ac:dyDescent="0.25">
      <c r="A184" s="3" t="s">
        <v>551</v>
      </c>
      <c r="B184" s="3" t="s">
        <v>887</v>
      </c>
      <c r="C184" s="3" t="s">
        <v>888</v>
      </c>
      <c r="D184" s="3" t="s">
        <v>83</v>
      </c>
      <c r="E184" s="3" t="s">
        <v>2673</v>
      </c>
      <c r="F184" s="3">
        <f>COUNTIF(C184,PickedPlayers!D:D)</f>
        <v>0</v>
      </c>
      <c r="G184" s="3" t="str">
        <f t="shared" si="2"/>
        <v>Yes</v>
      </c>
    </row>
    <row r="185" spans="1:7" hidden="1" x14ac:dyDescent="0.25">
      <c r="A185" s="3" t="s">
        <v>558</v>
      </c>
      <c r="B185" s="3" t="s">
        <v>901</v>
      </c>
      <c r="C185" s="3" t="s">
        <v>487</v>
      </c>
      <c r="D185" s="3" t="s">
        <v>83</v>
      </c>
      <c r="E185" s="3" t="s">
        <v>2674</v>
      </c>
      <c r="F185" s="3">
        <f>COUNTIF(C185,PickedPlayers!D:D)</f>
        <v>0</v>
      </c>
      <c r="G185" s="3" t="str">
        <f t="shared" si="2"/>
        <v>Yes</v>
      </c>
    </row>
    <row r="186" spans="1:7" hidden="1" x14ac:dyDescent="0.25">
      <c r="A186" s="3" t="s">
        <v>558</v>
      </c>
      <c r="B186" s="3" t="s">
        <v>891</v>
      </c>
      <c r="C186" s="3" t="s">
        <v>892</v>
      </c>
      <c r="D186" s="3" t="s">
        <v>83</v>
      </c>
      <c r="E186" s="3" t="s">
        <v>2674</v>
      </c>
      <c r="F186" s="3">
        <f>COUNTIF(C186,PickedPlayers!D:D)</f>
        <v>0</v>
      </c>
      <c r="G186" s="3" t="str">
        <f t="shared" si="2"/>
        <v>Yes</v>
      </c>
    </row>
    <row r="187" spans="1:7" hidden="1" x14ac:dyDescent="0.25">
      <c r="A187" s="3" t="s">
        <v>558</v>
      </c>
      <c r="B187" s="3" t="s">
        <v>895</v>
      </c>
      <c r="C187" s="3" t="s">
        <v>896</v>
      </c>
      <c r="D187" s="3" t="s">
        <v>83</v>
      </c>
      <c r="E187" s="3" t="s">
        <v>2674</v>
      </c>
      <c r="F187" s="3">
        <f>COUNTIF(C187,PickedPlayers!D:D)</f>
        <v>0</v>
      </c>
      <c r="G187" s="3" t="str">
        <f t="shared" si="2"/>
        <v>Yes</v>
      </c>
    </row>
    <row r="188" spans="1:7" hidden="1" x14ac:dyDescent="0.25">
      <c r="A188" s="3" t="s">
        <v>558</v>
      </c>
      <c r="B188" s="3" t="s">
        <v>893</v>
      </c>
      <c r="C188" s="3" t="s">
        <v>894</v>
      </c>
      <c r="D188" s="3" t="s">
        <v>83</v>
      </c>
      <c r="E188" s="3" t="s">
        <v>2674</v>
      </c>
      <c r="F188" s="3">
        <f>COUNTIF(C188,PickedPlayers!D:D)</f>
        <v>0</v>
      </c>
      <c r="G188" s="3" t="str">
        <f t="shared" si="2"/>
        <v>Yes</v>
      </c>
    </row>
    <row r="189" spans="1:7" hidden="1" x14ac:dyDescent="0.25">
      <c r="A189" s="3" t="s">
        <v>558</v>
      </c>
      <c r="B189" s="3" t="s">
        <v>902</v>
      </c>
      <c r="C189" s="3" t="s">
        <v>903</v>
      </c>
      <c r="D189" s="3" t="s">
        <v>83</v>
      </c>
      <c r="E189" s="3" t="s">
        <v>2674</v>
      </c>
      <c r="F189" s="3">
        <f>COUNTIF(C189,PickedPlayers!D:D)</f>
        <v>0</v>
      </c>
      <c r="G189" s="3" t="str">
        <f t="shared" si="2"/>
        <v>Yes</v>
      </c>
    </row>
    <row r="190" spans="1:7" hidden="1" x14ac:dyDescent="0.25">
      <c r="A190" s="3" t="s">
        <v>558</v>
      </c>
      <c r="B190" s="3" t="s">
        <v>899</v>
      </c>
      <c r="C190" s="3" t="s">
        <v>900</v>
      </c>
      <c r="D190" s="3" t="s">
        <v>83</v>
      </c>
      <c r="E190" s="3" t="s">
        <v>2674</v>
      </c>
      <c r="F190" s="3">
        <f>COUNTIF(C190,PickedPlayers!D:D)</f>
        <v>0</v>
      </c>
      <c r="G190" s="3" t="str">
        <f t="shared" si="2"/>
        <v>Yes</v>
      </c>
    </row>
    <row r="191" spans="1:7" hidden="1" x14ac:dyDescent="0.25">
      <c r="A191" s="3" t="s">
        <v>558</v>
      </c>
      <c r="B191" s="3" t="s">
        <v>897</v>
      </c>
      <c r="C191" s="3" t="s">
        <v>898</v>
      </c>
      <c r="D191" s="3" t="s">
        <v>83</v>
      </c>
      <c r="E191" s="3" t="s">
        <v>2674</v>
      </c>
      <c r="F191" s="3">
        <f>COUNTIF(C191,PickedPlayers!D:D)</f>
        <v>0</v>
      </c>
      <c r="G191" s="3" t="str">
        <f t="shared" si="2"/>
        <v>Yes</v>
      </c>
    </row>
    <row r="192" spans="1:7" hidden="1" x14ac:dyDescent="0.25">
      <c r="A192" s="3" t="s">
        <v>558</v>
      </c>
      <c r="B192" s="3" t="s">
        <v>904</v>
      </c>
      <c r="C192" s="3" t="s">
        <v>905</v>
      </c>
      <c r="D192" s="3" t="s">
        <v>83</v>
      </c>
      <c r="E192" s="3" t="s">
        <v>2674</v>
      </c>
      <c r="F192" s="3">
        <f>COUNTIF(C192,PickedPlayers!D:D)</f>
        <v>0</v>
      </c>
      <c r="G192" s="3" t="str">
        <f t="shared" si="2"/>
        <v>Yes</v>
      </c>
    </row>
    <row r="193" spans="1:7" x14ac:dyDescent="0.25">
      <c r="A193" s="3" t="s">
        <v>577</v>
      </c>
      <c r="B193" s="3" t="s">
        <v>918</v>
      </c>
      <c r="C193" s="3" t="s">
        <v>919</v>
      </c>
      <c r="D193" s="3" t="s">
        <v>83</v>
      </c>
      <c r="E193" s="3" t="s">
        <v>2675</v>
      </c>
      <c r="F193" s="3">
        <f>COUNTIF(C193,PickedPlayers!D:D)</f>
        <v>0</v>
      </c>
      <c r="G193" s="3" t="str">
        <f t="shared" si="2"/>
        <v>Yes</v>
      </c>
    </row>
    <row r="194" spans="1:7" x14ac:dyDescent="0.25">
      <c r="A194" s="3" t="s">
        <v>577</v>
      </c>
      <c r="B194" s="3" t="s">
        <v>914</v>
      </c>
      <c r="C194" s="3" t="s">
        <v>915</v>
      </c>
      <c r="D194" s="3" t="s">
        <v>83</v>
      </c>
      <c r="E194" s="3" t="s">
        <v>2675</v>
      </c>
      <c r="F194" s="3">
        <f>COUNTIF(C194,PickedPlayers!D:D)</f>
        <v>0</v>
      </c>
      <c r="G194" s="3" t="str">
        <f t="shared" si="2"/>
        <v>Yes</v>
      </c>
    </row>
    <row r="195" spans="1:7" x14ac:dyDescent="0.25">
      <c r="A195" s="3" t="s">
        <v>577</v>
      </c>
      <c r="B195" s="3" t="s">
        <v>908</v>
      </c>
      <c r="C195" s="3" t="s">
        <v>909</v>
      </c>
      <c r="D195" s="3" t="s">
        <v>83</v>
      </c>
      <c r="E195" s="3" t="s">
        <v>2675</v>
      </c>
      <c r="F195" s="3">
        <f>COUNTIF(C195,PickedPlayers!D:D)</f>
        <v>0</v>
      </c>
      <c r="G195" s="3" t="str">
        <f t="shared" ref="G195:G258" si="3">IF(F195&gt;0,"No","Yes")</f>
        <v>Yes</v>
      </c>
    </row>
    <row r="196" spans="1:7" x14ac:dyDescent="0.25">
      <c r="A196" s="3" t="s">
        <v>577</v>
      </c>
      <c r="B196" s="3" t="s">
        <v>906</v>
      </c>
      <c r="C196" s="3" t="s">
        <v>907</v>
      </c>
      <c r="D196" s="3" t="s">
        <v>83</v>
      </c>
      <c r="E196" s="3" t="s">
        <v>2675</v>
      </c>
      <c r="F196" s="3">
        <f>COUNTIF(C196,PickedPlayers!D:D)</f>
        <v>0</v>
      </c>
      <c r="G196" s="3" t="str">
        <f t="shared" si="3"/>
        <v>Yes</v>
      </c>
    </row>
    <row r="197" spans="1:7" x14ac:dyDescent="0.25">
      <c r="A197" s="3" t="s">
        <v>577</v>
      </c>
      <c r="B197" s="3" t="s">
        <v>916</v>
      </c>
      <c r="C197" s="3" t="s">
        <v>917</v>
      </c>
      <c r="D197" s="3" t="s">
        <v>83</v>
      </c>
      <c r="E197" s="3" t="s">
        <v>2675</v>
      </c>
      <c r="F197" s="3">
        <f>COUNTIF(C197,PickedPlayers!D:D)</f>
        <v>0</v>
      </c>
      <c r="G197" s="3" t="str">
        <f t="shared" si="3"/>
        <v>Yes</v>
      </c>
    </row>
    <row r="198" spans="1:7" x14ac:dyDescent="0.25">
      <c r="A198" s="3" t="s">
        <v>577</v>
      </c>
      <c r="B198" s="3" t="s">
        <v>912</v>
      </c>
      <c r="C198" s="3" t="s">
        <v>913</v>
      </c>
      <c r="D198" s="3" t="s">
        <v>83</v>
      </c>
      <c r="E198" s="3" t="s">
        <v>2675</v>
      </c>
      <c r="F198" s="3">
        <f>COUNTIF(C198,PickedPlayers!D:D)</f>
        <v>0</v>
      </c>
      <c r="G198" s="3" t="str">
        <f t="shared" si="3"/>
        <v>Yes</v>
      </c>
    </row>
    <row r="199" spans="1:7" x14ac:dyDescent="0.25">
      <c r="A199" s="3" t="s">
        <v>577</v>
      </c>
      <c r="B199" s="3" t="s">
        <v>910</v>
      </c>
      <c r="C199" s="3" t="s">
        <v>911</v>
      </c>
      <c r="D199" s="3" t="s">
        <v>83</v>
      </c>
      <c r="E199" s="3" t="s">
        <v>2675</v>
      </c>
      <c r="F199" s="3">
        <f>COUNTIF(C199,PickedPlayers!D:D)</f>
        <v>0</v>
      </c>
      <c r="G199" s="3" t="str">
        <f t="shared" si="3"/>
        <v>Yes</v>
      </c>
    </row>
    <row r="200" spans="1:7" hidden="1" x14ac:dyDescent="0.25">
      <c r="A200" s="3" t="s">
        <v>592</v>
      </c>
      <c r="B200" s="3" t="s">
        <v>920</v>
      </c>
      <c r="C200" s="3" t="s">
        <v>921</v>
      </c>
      <c r="D200" s="3" t="s">
        <v>83</v>
      </c>
      <c r="E200" s="3" t="s">
        <v>2677</v>
      </c>
      <c r="F200" s="3">
        <f>COUNTIF(C200,PickedPlayers!D:D)</f>
        <v>0</v>
      </c>
      <c r="G200" s="3" t="str">
        <f t="shared" si="3"/>
        <v>Yes</v>
      </c>
    </row>
    <row r="201" spans="1:7" hidden="1" x14ac:dyDescent="0.25">
      <c r="A201" s="3" t="s">
        <v>592</v>
      </c>
      <c r="B201" s="3" t="s">
        <v>924</v>
      </c>
      <c r="C201" s="3" t="s">
        <v>925</v>
      </c>
      <c r="D201" s="3" t="s">
        <v>83</v>
      </c>
      <c r="E201" s="3" t="s">
        <v>2677</v>
      </c>
      <c r="F201" s="3">
        <f>COUNTIF(C201,PickedPlayers!D:D)</f>
        <v>0</v>
      </c>
      <c r="G201" s="3" t="str">
        <f t="shared" si="3"/>
        <v>Yes</v>
      </c>
    </row>
    <row r="202" spans="1:7" hidden="1" x14ac:dyDescent="0.25">
      <c r="A202" s="3" t="s">
        <v>592</v>
      </c>
      <c r="B202" s="3" t="s">
        <v>922</v>
      </c>
      <c r="C202" s="3" t="s">
        <v>923</v>
      </c>
      <c r="D202" s="3" t="s">
        <v>83</v>
      </c>
      <c r="E202" s="3" t="s">
        <v>2677</v>
      </c>
      <c r="F202" s="3">
        <f>COUNTIF(C202,PickedPlayers!D:D)</f>
        <v>0</v>
      </c>
      <c r="G202" s="3" t="str">
        <f t="shared" si="3"/>
        <v>Yes</v>
      </c>
    </row>
    <row r="203" spans="1:7" hidden="1" x14ac:dyDescent="0.25">
      <c r="A203" s="3" t="s">
        <v>592</v>
      </c>
      <c r="B203" s="3" t="s">
        <v>928</v>
      </c>
      <c r="C203" s="3" t="s">
        <v>929</v>
      </c>
      <c r="D203" s="3" t="s">
        <v>83</v>
      </c>
      <c r="E203" s="3" t="s">
        <v>2677</v>
      </c>
      <c r="F203" s="3">
        <f>COUNTIF(C203,PickedPlayers!D:D)</f>
        <v>0</v>
      </c>
      <c r="G203" s="3" t="str">
        <f t="shared" si="3"/>
        <v>Yes</v>
      </c>
    </row>
    <row r="204" spans="1:7" hidden="1" x14ac:dyDescent="0.25">
      <c r="A204" s="3" t="s">
        <v>592</v>
      </c>
      <c r="B204" s="3" t="s">
        <v>930</v>
      </c>
      <c r="C204" s="3" t="s">
        <v>931</v>
      </c>
      <c r="D204" s="3" t="s">
        <v>83</v>
      </c>
      <c r="E204" s="3" t="s">
        <v>2677</v>
      </c>
      <c r="F204" s="3">
        <f>COUNTIF(C204,PickedPlayers!D:D)</f>
        <v>0</v>
      </c>
      <c r="G204" s="3" t="str">
        <f t="shared" si="3"/>
        <v>Yes</v>
      </c>
    </row>
    <row r="205" spans="1:7" hidden="1" x14ac:dyDescent="0.25">
      <c r="A205" s="3" t="s">
        <v>592</v>
      </c>
      <c r="B205" s="3" t="s">
        <v>926</v>
      </c>
      <c r="C205" s="3" t="s">
        <v>927</v>
      </c>
      <c r="D205" s="3" t="s">
        <v>83</v>
      </c>
      <c r="E205" s="3" t="s">
        <v>2677</v>
      </c>
      <c r="F205" s="3">
        <f>COUNTIF(C205,PickedPlayers!D:D)</f>
        <v>0</v>
      </c>
      <c r="G205" s="3" t="str">
        <f t="shared" si="3"/>
        <v>Yes</v>
      </c>
    </row>
    <row r="206" spans="1:7" hidden="1" x14ac:dyDescent="0.25">
      <c r="A206" s="3" t="s">
        <v>592</v>
      </c>
      <c r="B206" s="3" t="s">
        <v>932</v>
      </c>
      <c r="C206" s="3" t="s">
        <v>933</v>
      </c>
      <c r="D206" s="3" t="s">
        <v>83</v>
      </c>
      <c r="E206" s="3" t="s">
        <v>2677</v>
      </c>
      <c r="F206" s="3">
        <f>COUNTIF(C206,PickedPlayers!D:D)</f>
        <v>0</v>
      </c>
      <c r="G206" s="3" t="str">
        <f t="shared" si="3"/>
        <v>Yes</v>
      </c>
    </row>
    <row r="207" spans="1:7" hidden="1" x14ac:dyDescent="0.25">
      <c r="A207" s="3" t="s">
        <v>551</v>
      </c>
      <c r="B207" s="3" t="s">
        <v>860</v>
      </c>
      <c r="C207" s="3" t="s">
        <v>860</v>
      </c>
      <c r="D207" s="3" t="s">
        <v>2743</v>
      </c>
      <c r="E207" s="3" t="s">
        <v>2673</v>
      </c>
      <c r="F207" s="3">
        <f>COUNTIF(C207,PickedPlayers!D:D)</f>
        <v>0</v>
      </c>
      <c r="G207" s="3" t="str">
        <f t="shared" si="3"/>
        <v>Yes</v>
      </c>
    </row>
    <row r="208" spans="1:7" hidden="1" x14ac:dyDescent="0.25">
      <c r="A208" s="3" t="s">
        <v>551</v>
      </c>
      <c r="B208" s="3" t="s">
        <v>861</v>
      </c>
      <c r="C208" s="3" t="s">
        <v>861</v>
      </c>
      <c r="D208" s="3" t="s">
        <v>2743</v>
      </c>
      <c r="E208" s="3" t="s">
        <v>2673</v>
      </c>
      <c r="F208" s="3">
        <f>COUNTIF(C208,PickedPlayers!D:D)</f>
        <v>0</v>
      </c>
      <c r="G208" s="3" t="str">
        <f t="shared" si="3"/>
        <v>Yes</v>
      </c>
    </row>
    <row r="209" spans="1:7" hidden="1" x14ac:dyDescent="0.25">
      <c r="A209" s="3" t="s">
        <v>551</v>
      </c>
      <c r="B209" s="3" t="s">
        <v>859</v>
      </c>
      <c r="C209" s="3" t="s">
        <v>859</v>
      </c>
      <c r="D209" s="3" t="s">
        <v>2743</v>
      </c>
      <c r="E209" s="3" t="s">
        <v>2673</v>
      </c>
      <c r="F209" s="3">
        <f>COUNTIF(C209,PickedPlayers!D:D)</f>
        <v>0</v>
      </c>
      <c r="G209" s="3" t="str">
        <f t="shared" si="3"/>
        <v>Yes</v>
      </c>
    </row>
    <row r="210" spans="1:7" hidden="1" x14ac:dyDescent="0.25">
      <c r="A210" s="3" t="s">
        <v>558</v>
      </c>
      <c r="B210" s="3" t="s">
        <v>864</v>
      </c>
      <c r="C210" s="3" t="s">
        <v>864</v>
      </c>
      <c r="D210" s="3" t="s">
        <v>2743</v>
      </c>
      <c r="E210" s="3" t="s">
        <v>2674</v>
      </c>
      <c r="F210" s="3">
        <f>COUNTIF(C210,PickedPlayers!D:D)</f>
        <v>0</v>
      </c>
      <c r="G210" s="3" t="str">
        <f t="shared" si="3"/>
        <v>Yes</v>
      </c>
    </row>
    <row r="211" spans="1:7" hidden="1" x14ac:dyDescent="0.25">
      <c r="A211" s="3" t="s">
        <v>558</v>
      </c>
      <c r="B211" s="3" t="s">
        <v>869</v>
      </c>
      <c r="C211" s="3" t="s">
        <v>869</v>
      </c>
      <c r="D211" s="3" t="s">
        <v>2743</v>
      </c>
      <c r="E211" s="3" t="s">
        <v>2674</v>
      </c>
      <c r="F211" s="3">
        <f>COUNTIF(C211,PickedPlayers!D:D)</f>
        <v>0</v>
      </c>
      <c r="G211" s="3" t="str">
        <f t="shared" si="3"/>
        <v>Yes</v>
      </c>
    </row>
    <row r="212" spans="1:7" hidden="1" x14ac:dyDescent="0.25">
      <c r="A212" s="3" t="s">
        <v>558</v>
      </c>
      <c r="B212" s="3" t="s">
        <v>868</v>
      </c>
      <c r="C212" s="3" t="s">
        <v>868</v>
      </c>
      <c r="D212" s="3" t="s">
        <v>2743</v>
      </c>
      <c r="E212" s="3" t="s">
        <v>2674</v>
      </c>
      <c r="F212" s="3">
        <f>COUNTIF(C212,PickedPlayers!D:D)</f>
        <v>0</v>
      </c>
      <c r="G212" s="3" t="str">
        <f t="shared" si="3"/>
        <v>Yes</v>
      </c>
    </row>
    <row r="213" spans="1:7" hidden="1" x14ac:dyDescent="0.25">
      <c r="A213" s="3" t="s">
        <v>558</v>
      </c>
      <c r="B213" s="3" t="s">
        <v>866</v>
      </c>
      <c r="C213" s="3" t="s">
        <v>866</v>
      </c>
      <c r="D213" s="3" t="s">
        <v>2743</v>
      </c>
      <c r="E213" s="3" t="s">
        <v>2674</v>
      </c>
      <c r="F213" s="3">
        <f>COUNTIF(C213,PickedPlayers!D:D)</f>
        <v>0</v>
      </c>
      <c r="G213" s="3" t="str">
        <f t="shared" si="3"/>
        <v>Yes</v>
      </c>
    </row>
    <row r="214" spans="1:7" hidden="1" x14ac:dyDescent="0.25">
      <c r="A214" s="3" t="s">
        <v>558</v>
      </c>
      <c r="B214" s="3" t="s">
        <v>863</v>
      </c>
      <c r="C214" s="3" t="s">
        <v>863</v>
      </c>
      <c r="D214" s="3" t="s">
        <v>2743</v>
      </c>
      <c r="E214" s="3" t="s">
        <v>2674</v>
      </c>
      <c r="F214" s="3">
        <f>COUNTIF(C214,PickedPlayers!D:D)</f>
        <v>0</v>
      </c>
      <c r="G214" s="3" t="str">
        <f t="shared" si="3"/>
        <v>Yes</v>
      </c>
    </row>
    <row r="215" spans="1:7" hidden="1" x14ac:dyDescent="0.25">
      <c r="A215" s="3" t="s">
        <v>558</v>
      </c>
      <c r="B215" s="3" t="s">
        <v>865</v>
      </c>
      <c r="C215" s="3" t="s">
        <v>865</v>
      </c>
      <c r="D215" s="3" t="s">
        <v>2743</v>
      </c>
      <c r="E215" s="3" t="s">
        <v>2674</v>
      </c>
      <c r="F215" s="3">
        <f>COUNTIF(C215,PickedPlayers!D:D)</f>
        <v>0</v>
      </c>
      <c r="G215" s="3" t="str">
        <f t="shared" si="3"/>
        <v>Yes</v>
      </c>
    </row>
    <row r="216" spans="1:7" hidden="1" x14ac:dyDescent="0.25">
      <c r="A216" s="3" t="s">
        <v>558</v>
      </c>
      <c r="B216" s="3" t="s">
        <v>862</v>
      </c>
      <c r="C216" s="3" t="s">
        <v>862</v>
      </c>
      <c r="D216" s="3" t="s">
        <v>2743</v>
      </c>
      <c r="E216" s="3" t="s">
        <v>2674</v>
      </c>
      <c r="F216" s="3">
        <f>COUNTIF(C216,PickedPlayers!D:D)</f>
        <v>0</v>
      </c>
      <c r="G216" s="3" t="str">
        <f t="shared" si="3"/>
        <v>Yes</v>
      </c>
    </row>
    <row r="217" spans="1:7" hidden="1" x14ac:dyDescent="0.25">
      <c r="A217" s="3" t="s">
        <v>558</v>
      </c>
      <c r="B217" s="3" t="s">
        <v>867</v>
      </c>
      <c r="C217" s="3" t="s">
        <v>867</v>
      </c>
      <c r="D217" s="3" t="s">
        <v>2743</v>
      </c>
      <c r="E217" s="3" t="s">
        <v>2674</v>
      </c>
      <c r="F217" s="3">
        <f>COUNTIF(C217,PickedPlayers!D:D)</f>
        <v>0</v>
      </c>
      <c r="G217" s="3" t="str">
        <f t="shared" si="3"/>
        <v>Yes</v>
      </c>
    </row>
    <row r="218" spans="1:7" x14ac:dyDescent="0.25">
      <c r="A218" s="3" t="s">
        <v>577</v>
      </c>
      <c r="B218" s="3" t="s">
        <v>876</v>
      </c>
      <c r="C218" s="3" t="s">
        <v>876</v>
      </c>
      <c r="D218" s="3" t="s">
        <v>2743</v>
      </c>
      <c r="E218" s="3" t="s">
        <v>2675</v>
      </c>
      <c r="F218" s="3">
        <f>COUNTIF(C218,PickedPlayers!D:D)</f>
        <v>0</v>
      </c>
      <c r="G218" s="3" t="str">
        <f t="shared" si="3"/>
        <v>Yes</v>
      </c>
    </row>
    <row r="219" spans="1:7" x14ac:dyDescent="0.25">
      <c r="A219" s="3" t="s">
        <v>577</v>
      </c>
      <c r="B219" s="3" t="s">
        <v>874</v>
      </c>
      <c r="C219" s="3" t="s">
        <v>874</v>
      </c>
      <c r="D219" s="3" t="s">
        <v>2743</v>
      </c>
      <c r="E219" s="3" t="s">
        <v>2675</v>
      </c>
      <c r="F219" s="3">
        <f>COUNTIF(C219,PickedPlayers!D:D)</f>
        <v>0</v>
      </c>
      <c r="G219" s="3" t="str">
        <f t="shared" si="3"/>
        <v>Yes</v>
      </c>
    </row>
    <row r="220" spans="1:7" x14ac:dyDescent="0.25">
      <c r="A220" s="3" t="s">
        <v>577</v>
      </c>
      <c r="B220" s="3" t="s">
        <v>872</v>
      </c>
      <c r="C220" s="3" t="s">
        <v>872</v>
      </c>
      <c r="D220" s="3" t="s">
        <v>2743</v>
      </c>
      <c r="E220" s="3" t="s">
        <v>2675</v>
      </c>
      <c r="F220" s="3">
        <f>COUNTIF(C220,PickedPlayers!D:D)</f>
        <v>0</v>
      </c>
      <c r="G220" s="3" t="str">
        <f t="shared" si="3"/>
        <v>Yes</v>
      </c>
    </row>
    <row r="221" spans="1:7" x14ac:dyDescent="0.25">
      <c r="A221" s="3" t="s">
        <v>577</v>
      </c>
      <c r="B221" s="3" t="s">
        <v>870</v>
      </c>
      <c r="C221" s="3" t="s">
        <v>870</v>
      </c>
      <c r="D221" s="3" t="s">
        <v>2743</v>
      </c>
      <c r="E221" s="3" t="s">
        <v>2675</v>
      </c>
      <c r="F221" s="3">
        <f>COUNTIF(C221,PickedPlayers!D:D)</f>
        <v>0</v>
      </c>
      <c r="G221" s="3" t="str">
        <f t="shared" si="3"/>
        <v>Yes</v>
      </c>
    </row>
    <row r="222" spans="1:7" x14ac:dyDescent="0.25">
      <c r="A222" s="3" t="s">
        <v>577</v>
      </c>
      <c r="B222" s="3" t="s">
        <v>871</v>
      </c>
      <c r="C222" s="3" t="s">
        <v>871</v>
      </c>
      <c r="D222" s="3" t="s">
        <v>2743</v>
      </c>
      <c r="E222" s="3" t="s">
        <v>2675</v>
      </c>
      <c r="F222" s="3">
        <f>COUNTIF(C222,PickedPlayers!D:D)</f>
        <v>0</v>
      </c>
      <c r="G222" s="3" t="str">
        <f t="shared" si="3"/>
        <v>Yes</v>
      </c>
    </row>
    <row r="223" spans="1:7" x14ac:dyDescent="0.25">
      <c r="A223" s="3" t="s">
        <v>577</v>
      </c>
      <c r="B223" s="3" t="s">
        <v>875</v>
      </c>
      <c r="C223" s="3" t="s">
        <v>875</v>
      </c>
      <c r="D223" s="3" t="s">
        <v>2743</v>
      </c>
      <c r="E223" s="3" t="s">
        <v>2675</v>
      </c>
      <c r="F223" s="3">
        <f>COUNTIF(C223,PickedPlayers!D:D)</f>
        <v>0</v>
      </c>
      <c r="G223" s="3" t="str">
        <f t="shared" si="3"/>
        <v>Yes</v>
      </c>
    </row>
    <row r="224" spans="1:7" x14ac:dyDescent="0.25">
      <c r="A224" s="3" t="s">
        <v>577</v>
      </c>
      <c r="B224" s="3" t="s">
        <v>873</v>
      </c>
      <c r="C224" s="3" t="s">
        <v>873</v>
      </c>
      <c r="D224" s="3" t="s">
        <v>2743</v>
      </c>
      <c r="E224" s="3" t="s">
        <v>2675</v>
      </c>
      <c r="F224" s="3">
        <f>COUNTIF(C224,PickedPlayers!D:D)</f>
        <v>0</v>
      </c>
      <c r="G224" s="3" t="str">
        <f t="shared" si="3"/>
        <v>Yes</v>
      </c>
    </row>
    <row r="225" spans="1:7" hidden="1" x14ac:dyDescent="0.25">
      <c r="A225" s="3" t="s">
        <v>592</v>
      </c>
      <c r="B225" s="3" t="s">
        <v>878</v>
      </c>
      <c r="C225" s="3" t="s">
        <v>878</v>
      </c>
      <c r="D225" s="3" t="s">
        <v>2743</v>
      </c>
      <c r="E225" s="3" t="s">
        <v>2677</v>
      </c>
      <c r="F225" s="3">
        <f>COUNTIF(C225,PickedPlayers!D:D)</f>
        <v>0</v>
      </c>
      <c r="G225" s="3" t="str">
        <f t="shared" si="3"/>
        <v>Yes</v>
      </c>
    </row>
    <row r="226" spans="1:7" hidden="1" x14ac:dyDescent="0.25">
      <c r="A226" s="3" t="s">
        <v>592</v>
      </c>
      <c r="B226" s="3" t="s">
        <v>881</v>
      </c>
      <c r="C226" s="3" t="s">
        <v>881</v>
      </c>
      <c r="D226" s="3" t="s">
        <v>2743</v>
      </c>
      <c r="E226" s="3" t="s">
        <v>2677</v>
      </c>
      <c r="F226" s="3">
        <f>COUNTIF(C226,PickedPlayers!D:D)</f>
        <v>0</v>
      </c>
      <c r="G226" s="3" t="str">
        <f t="shared" si="3"/>
        <v>Yes</v>
      </c>
    </row>
    <row r="227" spans="1:7" hidden="1" x14ac:dyDescent="0.25">
      <c r="A227" s="3" t="s">
        <v>592</v>
      </c>
      <c r="B227" s="3" t="s">
        <v>879</v>
      </c>
      <c r="C227" s="3" t="s">
        <v>879</v>
      </c>
      <c r="D227" s="3" t="s">
        <v>2743</v>
      </c>
      <c r="E227" s="3" t="s">
        <v>2677</v>
      </c>
      <c r="F227" s="3">
        <f>COUNTIF(C227,PickedPlayers!D:D)</f>
        <v>0</v>
      </c>
      <c r="G227" s="3" t="str">
        <f t="shared" si="3"/>
        <v>Yes</v>
      </c>
    </row>
    <row r="228" spans="1:7" hidden="1" x14ac:dyDescent="0.25">
      <c r="A228" s="3" t="s">
        <v>592</v>
      </c>
      <c r="B228" s="3" t="s">
        <v>884</v>
      </c>
      <c r="C228" s="3" t="s">
        <v>884</v>
      </c>
      <c r="D228" s="3" t="s">
        <v>2743</v>
      </c>
      <c r="E228" s="3" t="s">
        <v>2677</v>
      </c>
      <c r="F228" s="3">
        <f>COUNTIF(C228,PickedPlayers!D:D)</f>
        <v>0</v>
      </c>
      <c r="G228" s="3" t="str">
        <f t="shared" si="3"/>
        <v>Yes</v>
      </c>
    </row>
    <row r="229" spans="1:7" hidden="1" x14ac:dyDescent="0.25">
      <c r="A229" s="3" t="s">
        <v>592</v>
      </c>
      <c r="B229" s="3" t="s">
        <v>877</v>
      </c>
      <c r="C229" s="3" t="s">
        <v>877</v>
      </c>
      <c r="D229" s="3" t="s">
        <v>2743</v>
      </c>
      <c r="E229" s="3" t="s">
        <v>2677</v>
      </c>
      <c r="F229" s="3">
        <f>COUNTIF(C229,PickedPlayers!D:D)</f>
        <v>0</v>
      </c>
      <c r="G229" s="3" t="str">
        <f t="shared" si="3"/>
        <v>Yes</v>
      </c>
    </row>
    <row r="230" spans="1:7" hidden="1" x14ac:dyDescent="0.25">
      <c r="A230" s="3" t="s">
        <v>592</v>
      </c>
      <c r="B230" s="3" t="s">
        <v>882</v>
      </c>
      <c r="C230" s="3" t="s">
        <v>882</v>
      </c>
      <c r="D230" s="3" t="s">
        <v>2743</v>
      </c>
      <c r="E230" s="3" t="s">
        <v>2677</v>
      </c>
      <c r="F230" s="3">
        <f>COUNTIF(C230,PickedPlayers!D:D)</f>
        <v>0</v>
      </c>
      <c r="G230" s="3" t="str">
        <f t="shared" si="3"/>
        <v>Yes</v>
      </c>
    </row>
    <row r="231" spans="1:7" hidden="1" x14ac:dyDescent="0.25">
      <c r="A231" s="3" t="s">
        <v>592</v>
      </c>
      <c r="B231" s="3" t="s">
        <v>880</v>
      </c>
      <c r="C231" s="3" t="s">
        <v>880</v>
      </c>
      <c r="D231" s="3" t="s">
        <v>2743</v>
      </c>
      <c r="E231" s="3" t="s">
        <v>2677</v>
      </c>
      <c r="F231" s="3">
        <f>COUNTIF(C231,PickedPlayers!D:D)</f>
        <v>0</v>
      </c>
      <c r="G231" s="3" t="str">
        <f t="shared" si="3"/>
        <v>Yes</v>
      </c>
    </row>
    <row r="232" spans="1:7" hidden="1" x14ac:dyDescent="0.25">
      <c r="A232" s="3" t="s">
        <v>592</v>
      </c>
      <c r="B232" s="3" t="s">
        <v>883</v>
      </c>
      <c r="C232" s="3" t="s">
        <v>883</v>
      </c>
      <c r="D232" s="3" t="s">
        <v>2743</v>
      </c>
      <c r="E232" s="3" t="s">
        <v>2677</v>
      </c>
      <c r="F232" s="3">
        <f>COUNTIF(C232,PickedPlayers!D:D)</f>
        <v>0</v>
      </c>
      <c r="G232" s="3" t="str">
        <f t="shared" si="3"/>
        <v>Yes</v>
      </c>
    </row>
    <row r="233" spans="1:7" hidden="1" x14ac:dyDescent="0.25">
      <c r="A233" s="3" t="s">
        <v>551</v>
      </c>
      <c r="B233" s="3" t="s">
        <v>936</v>
      </c>
      <c r="C233" s="3" t="s">
        <v>937</v>
      </c>
      <c r="D233" s="3" t="s">
        <v>100</v>
      </c>
      <c r="E233" s="3" t="s">
        <v>2673</v>
      </c>
      <c r="F233" s="3">
        <f>COUNTIF(C233,PickedPlayers!D:D)</f>
        <v>0</v>
      </c>
      <c r="G233" s="3" t="str">
        <f t="shared" si="3"/>
        <v>Yes</v>
      </c>
    </row>
    <row r="234" spans="1:7" hidden="1" x14ac:dyDescent="0.25">
      <c r="A234" s="3" t="s">
        <v>551</v>
      </c>
      <c r="B234" s="3" t="s">
        <v>938</v>
      </c>
      <c r="C234" s="3" t="s">
        <v>939</v>
      </c>
      <c r="D234" s="3" t="s">
        <v>100</v>
      </c>
      <c r="E234" s="3" t="s">
        <v>2673</v>
      </c>
      <c r="F234" s="3">
        <f>COUNTIF(C234,PickedPlayers!D:D)</f>
        <v>0</v>
      </c>
      <c r="G234" s="3" t="str">
        <f t="shared" si="3"/>
        <v>Yes</v>
      </c>
    </row>
    <row r="235" spans="1:7" hidden="1" x14ac:dyDescent="0.25">
      <c r="A235" s="3" t="s">
        <v>551</v>
      </c>
      <c r="B235" s="3" t="s">
        <v>934</v>
      </c>
      <c r="C235" s="3" t="s">
        <v>935</v>
      </c>
      <c r="D235" s="3" t="s">
        <v>100</v>
      </c>
      <c r="E235" s="3" t="s">
        <v>2673</v>
      </c>
      <c r="F235" s="3">
        <f>COUNTIF(C235,PickedPlayers!D:D)</f>
        <v>0</v>
      </c>
      <c r="G235" s="3" t="str">
        <f t="shared" si="3"/>
        <v>Yes</v>
      </c>
    </row>
    <row r="236" spans="1:7" hidden="1" x14ac:dyDescent="0.25">
      <c r="A236" s="3" t="s">
        <v>558</v>
      </c>
      <c r="B236" s="3" t="s">
        <v>949</v>
      </c>
      <c r="C236" s="3" t="s">
        <v>950</v>
      </c>
      <c r="D236" s="3" t="s">
        <v>100</v>
      </c>
      <c r="E236" s="3" t="s">
        <v>2674</v>
      </c>
      <c r="F236" s="3">
        <f>COUNTIF(C236,PickedPlayers!D:D)</f>
        <v>0</v>
      </c>
      <c r="G236" s="3" t="str">
        <f t="shared" si="3"/>
        <v>Yes</v>
      </c>
    </row>
    <row r="237" spans="1:7" hidden="1" x14ac:dyDescent="0.25">
      <c r="A237" s="3" t="s">
        <v>558</v>
      </c>
      <c r="B237" s="3" t="s">
        <v>940</v>
      </c>
      <c r="C237" s="3" t="s">
        <v>523</v>
      </c>
      <c r="D237" s="3" t="s">
        <v>100</v>
      </c>
      <c r="E237" s="3" t="s">
        <v>2674</v>
      </c>
      <c r="F237" s="3">
        <f>COUNTIF(C237,PickedPlayers!D:D)</f>
        <v>0</v>
      </c>
      <c r="G237" s="3" t="str">
        <f t="shared" si="3"/>
        <v>Yes</v>
      </c>
    </row>
    <row r="238" spans="1:7" hidden="1" x14ac:dyDescent="0.25">
      <c r="A238" s="3" t="s">
        <v>558</v>
      </c>
      <c r="B238" s="3" t="s">
        <v>953</v>
      </c>
      <c r="C238" s="3" t="s">
        <v>954</v>
      </c>
      <c r="D238" s="3" t="s">
        <v>100</v>
      </c>
      <c r="E238" s="3" t="s">
        <v>2674</v>
      </c>
      <c r="F238" s="3">
        <f>COUNTIF(C238,PickedPlayers!D:D)</f>
        <v>0</v>
      </c>
      <c r="G238" s="3" t="str">
        <f t="shared" si="3"/>
        <v>Yes</v>
      </c>
    </row>
    <row r="239" spans="1:7" hidden="1" x14ac:dyDescent="0.25">
      <c r="A239" s="3" t="s">
        <v>558</v>
      </c>
      <c r="B239" s="3" t="s">
        <v>943</v>
      </c>
      <c r="C239" s="3" t="s">
        <v>944</v>
      </c>
      <c r="D239" s="3" t="s">
        <v>100</v>
      </c>
      <c r="E239" s="3" t="s">
        <v>2674</v>
      </c>
      <c r="F239" s="3">
        <f>COUNTIF(C239,PickedPlayers!D:D)</f>
        <v>0</v>
      </c>
      <c r="G239" s="3" t="str">
        <f t="shared" si="3"/>
        <v>Yes</v>
      </c>
    </row>
    <row r="240" spans="1:7" hidden="1" x14ac:dyDescent="0.25">
      <c r="A240" s="3" t="s">
        <v>558</v>
      </c>
      <c r="B240" s="3" t="s">
        <v>941</v>
      </c>
      <c r="C240" s="3" t="s">
        <v>942</v>
      </c>
      <c r="D240" s="3" t="s">
        <v>100</v>
      </c>
      <c r="E240" s="3" t="s">
        <v>2674</v>
      </c>
      <c r="F240" s="3">
        <f>COUNTIF(C240,PickedPlayers!D:D)</f>
        <v>0</v>
      </c>
      <c r="G240" s="3" t="str">
        <f t="shared" si="3"/>
        <v>Yes</v>
      </c>
    </row>
    <row r="241" spans="1:7" hidden="1" x14ac:dyDescent="0.25">
      <c r="A241" s="3" t="s">
        <v>558</v>
      </c>
      <c r="B241" s="3" t="s">
        <v>947</v>
      </c>
      <c r="C241" s="3" t="s">
        <v>948</v>
      </c>
      <c r="D241" s="3" t="s">
        <v>100</v>
      </c>
      <c r="E241" s="3" t="s">
        <v>2674</v>
      </c>
      <c r="F241" s="3">
        <f>COUNTIF(C241,PickedPlayers!D:D)</f>
        <v>0</v>
      </c>
      <c r="G241" s="3" t="str">
        <f t="shared" si="3"/>
        <v>Yes</v>
      </c>
    </row>
    <row r="242" spans="1:7" hidden="1" x14ac:dyDescent="0.25">
      <c r="A242" s="3" t="s">
        <v>558</v>
      </c>
      <c r="B242" s="3" t="s">
        <v>945</v>
      </c>
      <c r="C242" s="3" t="s">
        <v>946</v>
      </c>
      <c r="D242" s="3" t="s">
        <v>100</v>
      </c>
      <c r="E242" s="3" t="s">
        <v>2674</v>
      </c>
      <c r="F242" s="3">
        <f>COUNTIF(C242,PickedPlayers!D:D)</f>
        <v>0</v>
      </c>
      <c r="G242" s="3" t="str">
        <f t="shared" si="3"/>
        <v>Yes</v>
      </c>
    </row>
    <row r="243" spans="1:7" hidden="1" x14ac:dyDescent="0.25">
      <c r="A243" s="3" t="s">
        <v>558</v>
      </c>
      <c r="B243" s="3" t="s">
        <v>951</v>
      </c>
      <c r="C243" s="3" t="s">
        <v>952</v>
      </c>
      <c r="D243" s="3" t="s">
        <v>100</v>
      </c>
      <c r="E243" s="3" t="s">
        <v>2674</v>
      </c>
      <c r="F243" s="3">
        <f>COUNTIF(C243,PickedPlayers!D:D)</f>
        <v>0</v>
      </c>
      <c r="G243" s="3" t="str">
        <f t="shared" si="3"/>
        <v>Yes</v>
      </c>
    </row>
    <row r="244" spans="1:7" x14ac:dyDescent="0.25">
      <c r="A244" s="3" t="s">
        <v>577</v>
      </c>
      <c r="B244" s="3" t="s">
        <v>957</v>
      </c>
      <c r="C244" s="3" t="s">
        <v>958</v>
      </c>
      <c r="D244" s="3" t="s">
        <v>100</v>
      </c>
      <c r="E244" s="3" t="s">
        <v>2675</v>
      </c>
      <c r="F244" s="3">
        <f>COUNTIF(C244,PickedPlayers!D:D)</f>
        <v>0</v>
      </c>
      <c r="G244" s="3" t="str">
        <f t="shared" si="3"/>
        <v>Yes</v>
      </c>
    </row>
    <row r="245" spans="1:7" x14ac:dyDescent="0.25">
      <c r="A245" s="3" t="s">
        <v>577</v>
      </c>
      <c r="B245" s="3" t="s">
        <v>971</v>
      </c>
      <c r="C245" s="3" t="s">
        <v>972</v>
      </c>
      <c r="D245" s="3" t="s">
        <v>100</v>
      </c>
      <c r="E245" s="3" t="s">
        <v>2675</v>
      </c>
      <c r="F245" s="3">
        <f>COUNTIF(C245,PickedPlayers!D:D)</f>
        <v>0</v>
      </c>
      <c r="G245" s="3" t="str">
        <f t="shared" si="3"/>
        <v>Yes</v>
      </c>
    </row>
    <row r="246" spans="1:7" x14ac:dyDescent="0.25">
      <c r="A246" s="3" t="s">
        <v>577</v>
      </c>
      <c r="B246" s="3" t="s">
        <v>973</v>
      </c>
      <c r="C246" s="3" t="s">
        <v>974</v>
      </c>
      <c r="D246" s="3" t="s">
        <v>100</v>
      </c>
      <c r="E246" s="3" t="s">
        <v>2675</v>
      </c>
      <c r="F246" s="3">
        <f>COUNTIF(C246,PickedPlayers!D:D)</f>
        <v>0</v>
      </c>
      <c r="G246" s="3" t="str">
        <f t="shared" si="3"/>
        <v>Yes</v>
      </c>
    </row>
    <row r="247" spans="1:7" x14ac:dyDescent="0.25">
      <c r="A247" s="3" t="s">
        <v>577</v>
      </c>
      <c r="B247" s="3" t="s">
        <v>963</v>
      </c>
      <c r="C247" s="3" t="s">
        <v>964</v>
      </c>
      <c r="D247" s="3" t="s">
        <v>100</v>
      </c>
      <c r="E247" s="3" t="s">
        <v>2675</v>
      </c>
      <c r="F247" s="3">
        <f>COUNTIF(C247,PickedPlayers!D:D)</f>
        <v>0</v>
      </c>
      <c r="G247" s="3" t="str">
        <f t="shared" si="3"/>
        <v>Yes</v>
      </c>
    </row>
    <row r="248" spans="1:7" x14ac:dyDescent="0.25">
      <c r="A248" s="3" t="s">
        <v>577</v>
      </c>
      <c r="B248" s="3" t="s">
        <v>965</v>
      </c>
      <c r="C248" s="3" t="s">
        <v>966</v>
      </c>
      <c r="D248" s="3" t="s">
        <v>100</v>
      </c>
      <c r="E248" s="3" t="s">
        <v>2675</v>
      </c>
      <c r="F248" s="3">
        <f>COUNTIF(C248,PickedPlayers!D:D)</f>
        <v>0</v>
      </c>
      <c r="G248" s="3" t="str">
        <f t="shared" si="3"/>
        <v>Yes</v>
      </c>
    </row>
    <row r="249" spans="1:7" x14ac:dyDescent="0.25">
      <c r="A249" s="3" t="s">
        <v>577</v>
      </c>
      <c r="B249" s="3" t="s">
        <v>961</v>
      </c>
      <c r="C249" s="3" t="s">
        <v>962</v>
      </c>
      <c r="D249" s="3" t="s">
        <v>100</v>
      </c>
      <c r="E249" s="3" t="s">
        <v>2675</v>
      </c>
      <c r="F249" s="3">
        <f>COUNTIF(C249,PickedPlayers!D:D)</f>
        <v>0</v>
      </c>
      <c r="G249" s="3" t="str">
        <f t="shared" si="3"/>
        <v>Yes</v>
      </c>
    </row>
    <row r="250" spans="1:7" x14ac:dyDescent="0.25">
      <c r="A250" s="3" t="s">
        <v>577</v>
      </c>
      <c r="B250" s="3" t="s">
        <v>969</v>
      </c>
      <c r="C250" s="3" t="s">
        <v>970</v>
      </c>
      <c r="D250" s="3" t="s">
        <v>100</v>
      </c>
      <c r="E250" s="3" t="s">
        <v>2675</v>
      </c>
      <c r="F250" s="3">
        <f>COUNTIF(C250,PickedPlayers!D:D)</f>
        <v>0</v>
      </c>
      <c r="G250" s="3" t="str">
        <f t="shared" si="3"/>
        <v>Yes</v>
      </c>
    </row>
    <row r="251" spans="1:7" x14ac:dyDescent="0.25">
      <c r="A251" s="3" t="s">
        <v>577</v>
      </c>
      <c r="B251" s="3" t="s">
        <v>967</v>
      </c>
      <c r="C251" s="3" t="s">
        <v>968</v>
      </c>
      <c r="D251" s="3" t="s">
        <v>100</v>
      </c>
      <c r="E251" s="3" t="s">
        <v>2675</v>
      </c>
      <c r="F251" s="3">
        <f>COUNTIF(C251,PickedPlayers!D:D)</f>
        <v>0</v>
      </c>
      <c r="G251" s="3" t="str">
        <f t="shared" si="3"/>
        <v>Yes</v>
      </c>
    </row>
    <row r="252" spans="1:7" x14ac:dyDescent="0.25">
      <c r="A252" s="3" t="s">
        <v>577</v>
      </c>
      <c r="B252" s="3" t="s">
        <v>955</v>
      </c>
      <c r="C252" s="3" t="s">
        <v>956</v>
      </c>
      <c r="D252" s="3" t="s">
        <v>100</v>
      </c>
      <c r="E252" s="3" t="s">
        <v>2675</v>
      </c>
      <c r="F252" s="3">
        <f>COUNTIF(C252,PickedPlayers!D:D)</f>
        <v>0</v>
      </c>
      <c r="G252" s="3" t="str">
        <f t="shared" si="3"/>
        <v>Yes</v>
      </c>
    </row>
    <row r="253" spans="1:7" x14ac:dyDescent="0.25">
      <c r="A253" s="3" t="s">
        <v>577</v>
      </c>
      <c r="B253" s="3" t="s">
        <v>959</v>
      </c>
      <c r="C253" s="3" t="s">
        <v>960</v>
      </c>
      <c r="D253" s="3" t="s">
        <v>100</v>
      </c>
      <c r="E253" s="3" t="s">
        <v>2675</v>
      </c>
      <c r="F253" s="3">
        <f>COUNTIF(C253,PickedPlayers!D:D)</f>
        <v>0</v>
      </c>
      <c r="G253" s="3" t="str">
        <f t="shared" si="3"/>
        <v>Yes</v>
      </c>
    </row>
    <row r="254" spans="1:7" hidden="1" x14ac:dyDescent="0.25">
      <c r="A254" s="3" t="s">
        <v>592</v>
      </c>
      <c r="B254" s="3" t="s">
        <v>980</v>
      </c>
      <c r="C254" s="3" t="s">
        <v>981</v>
      </c>
      <c r="D254" s="3" t="s">
        <v>100</v>
      </c>
      <c r="E254" s="3" t="s">
        <v>2677</v>
      </c>
      <c r="F254" s="3">
        <f>COUNTIF(C254,PickedPlayers!D:D)</f>
        <v>0</v>
      </c>
      <c r="G254" s="3" t="str">
        <f t="shared" si="3"/>
        <v>Yes</v>
      </c>
    </row>
    <row r="255" spans="1:7" hidden="1" x14ac:dyDescent="0.25">
      <c r="A255" s="3" t="s">
        <v>592</v>
      </c>
      <c r="B255" s="3" t="s">
        <v>982</v>
      </c>
      <c r="C255" s="3" t="s">
        <v>983</v>
      </c>
      <c r="D255" s="3" t="s">
        <v>100</v>
      </c>
      <c r="E255" s="3" t="s">
        <v>2677</v>
      </c>
      <c r="F255" s="3">
        <f>COUNTIF(C255,PickedPlayers!D:D)</f>
        <v>0</v>
      </c>
      <c r="G255" s="3" t="str">
        <f t="shared" si="3"/>
        <v>Yes</v>
      </c>
    </row>
    <row r="256" spans="1:7" hidden="1" x14ac:dyDescent="0.25">
      <c r="A256" s="3" t="s">
        <v>592</v>
      </c>
      <c r="B256" s="3" t="s">
        <v>978</v>
      </c>
      <c r="C256" s="3" t="s">
        <v>979</v>
      </c>
      <c r="D256" s="3" t="s">
        <v>100</v>
      </c>
      <c r="E256" s="3" t="s">
        <v>2677</v>
      </c>
      <c r="F256" s="3">
        <f>COUNTIF(C256,PickedPlayers!D:D)</f>
        <v>0</v>
      </c>
      <c r="G256" s="3" t="str">
        <f t="shared" si="3"/>
        <v>Yes</v>
      </c>
    </row>
    <row r="257" spans="1:7" hidden="1" x14ac:dyDescent="0.25">
      <c r="A257" s="3" t="s">
        <v>592</v>
      </c>
      <c r="B257" s="3" t="s">
        <v>975</v>
      </c>
      <c r="C257" s="3" t="s">
        <v>360</v>
      </c>
      <c r="D257" s="3" t="s">
        <v>100</v>
      </c>
      <c r="E257" s="3" t="s">
        <v>2677</v>
      </c>
      <c r="F257" s="3">
        <f>COUNTIF(C257,PickedPlayers!D:D)</f>
        <v>0</v>
      </c>
      <c r="G257" s="3" t="str">
        <f t="shared" si="3"/>
        <v>Yes</v>
      </c>
    </row>
    <row r="258" spans="1:7" hidden="1" x14ac:dyDescent="0.25">
      <c r="A258" s="3" t="s">
        <v>592</v>
      </c>
      <c r="B258" s="3" t="s">
        <v>976</v>
      </c>
      <c r="C258" s="3" t="s">
        <v>977</v>
      </c>
      <c r="D258" s="3" t="s">
        <v>100</v>
      </c>
      <c r="E258" s="3" t="s">
        <v>2677</v>
      </c>
      <c r="F258" s="3">
        <f>COUNTIF(C258,PickedPlayers!D:D)</f>
        <v>0</v>
      </c>
      <c r="G258" s="3" t="str">
        <f t="shared" si="3"/>
        <v>Yes</v>
      </c>
    </row>
    <row r="259" spans="1:7" hidden="1" x14ac:dyDescent="0.25">
      <c r="A259" s="3" t="s">
        <v>551</v>
      </c>
      <c r="B259" s="3" t="s">
        <v>1037</v>
      </c>
      <c r="C259" s="3" t="s">
        <v>1038</v>
      </c>
      <c r="D259" s="3" t="s">
        <v>104</v>
      </c>
      <c r="E259" s="3" t="s">
        <v>2673</v>
      </c>
      <c r="F259" s="3">
        <f>COUNTIF(C259,PickedPlayers!D:D)</f>
        <v>0</v>
      </c>
      <c r="G259" s="3" t="str">
        <f t="shared" ref="G259:G322" si="4">IF(F259&gt;0,"No","Yes")</f>
        <v>Yes</v>
      </c>
    </row>
    <row r="260" spans="1:7" hidden="1" x14ac:dyDescent="0.25">
      <c r="A260" s="3" t="s">
        <v>551</v>
      </c>
      <c r="B260" s="3" t="s">
        <v>1036</v>
      </c>
      <c r="C260" s="3" t="s">
        <v>525</v>
      </c>
      <c r="D260" s="3" t="s">
        <v>104</v>
      </c>
      <c r="E260" s="3" t="s">
        <v>2673</v>
      </c>
      <c r="F260" s="3">
        <f>COUNTIF(C260,PickedPlayers!D:D)</f>
        <v>0</v>
      </c>
      <c r="G260" s="3" t="str">
        <f t="shared" si="4"/>
        <v>Yes</v>
      </c>
    </row>
    <row r="261" spans="1:7" hidden="1" x14ac:dyDescent="0.25">
      <c r="A261" s="3" t="s">
        <v>551</v>
      </c>
      <c r="B261" s="3" t="s">
        <v>1039</v>
      </c>
      <c r="C261" s="3" t="s">
        <v>1040</v>
      </c>
      <c r="D261" s="3" t="s">
        <v>104</v>
      </c>
      <c r="E261" s="3" t="s">
        <v>2673</v>
      </c>
      <c r="F261" s="3">
        <f>COUNTIF(C261,PickedPlayers!D:D)</f>
        <v>0</v>
      </c>
      <c r="G261" s="3" t="str">
        <f t="shared" si="4"/>
        <v>Yes</v>
      </c>
    </row>
    <row r="262" spans="1:7" hidden="1" x14ac:dyDescent="0.25">
      <c r="A262" s="3" t="s">
        <v>558</v>
      </c>
      <c r="B262" s="3" t="s">
        <v>1051</v>
      </c>
      <c r="C262" s="3" t="s">
        <v>1052</v>
      </c>
      <c r="D262" s="3" t="s">
        <v>104</v>
      </c>
      <c r="E262" s="3" t="s">
        <v>2674</v>
      </c>
      <c r="F262" s="3">
        <f>COUNTIF(C262,PickedPlayers!D:D)</f>
        <v>0</v>
      </c>
      <c r="G262" s="3" t="str">
        <f t="shared" si="4"/>
        <v>Yes</v>
      </c>
    </row>
    <row r="263" spans="1:7" hidden="1" x14ac:dyDescent="0.25">
      <c r="A263" s="3" t="s">
        <v>558</v>
      </c>
      <c r="B263" s="3" t="s">
        <v>1048</v>
      </c>
      <c r="C263" s="3" t="s">
        <v>394</v>
      </c>
      <c r="D263" s="3" t="s">
        <v>104</v>
      </c>
      <c r="E263" s="3" t="s">
        <v>2674</v>
      </c>
      <c r="F263" s="3">
        <f>COUNTIF(C263,PickedPlayers!D:D)</f>
        <v>0</v>
      </c>
      <c r="G263" s="3" t="str">
        <f t="shared" si="4"/>
        <v>Yes</v>
      </c>
    </row>
    <row r="264" spans="1:7" hidden="1" x14ac:dyDescent="0.25">
      <c r="A264" s="3" t="s">
        <v>558</v>
      </c>
      <c r="B264" s="3" t="s">
        <v>1041</v>
      </c>
      <c r="C264" s="3" t="s">
        <v>1042</v>
      </c>
      <c r="D264" s="3" t="s">
        <v>104</v>
      </c>
      <c r="E264" s="3" t="s">
        <v>2674</v>
      </c>
      <c r="F264" s="3">
        <f>COUNTIF(C264,PickedPlayers!D:D)</f>
        <v>0</v>
      </c>
      <c r="G264" s="3" t="str">
        <f t="shared" si="4"/>
        <v>Yes</v>
      </c>
    </row>
    <row r="265" spans="1:7" hidden="1" x14ac:dyDescent="0.25">
      <c r="A265" s="3" t="s">
        <v>558</v>
      </c>
      <c r="B265" s="3" t="s">
        <v>1043</v>
      </c>
      <c r="C265" s="3" t="s">
        <v>1044</v>
      </c>
      <c r="D265" s="3" t="s">
        <v>104</v>
      </c>
      <c r="E265" s="3" t="s">
        <v>2674</v>
      </c>
      <c r="F265" s="3">
        <f>COUNTIF(C265,PickedPlayers!D:D)</f>
        <v>0</v>
      </c>
      <c r="G265" s="3" t="str">
        <f t="shared" si="4"/>
        <v>Yes</v>
      </c>
    </row>
    <row r="266" spans="1:7" hidden="1" x14ac:dyDescent="0.25">
      <c r="A266" s="3" t="s">
        <v>558</v>
      </c>
      <c r="B266" s="3" t="s">
        <v>1047</v>
      </c>
      <c r="C266" s="3" t="s">
        <v>458</v>
      </c>
      <c r="D266" s="3" t="s">
        <v>104</v>
      </c>
      <c r="E266" s="3" t="s">
        <v>2674</v>
      </c>
      <c r="F266" s="3">
        <f>COUNTIF(C266,PickedPlayers!D:D)</f>
        <v>0</v>
      </c>
      <c r="G266" s="3" t="str">
        <f t="shared" si="4"/>
        <v>Yes</v>
      </c>
    </row>
    <row r="267" spans="1:7" hidden="1" x14ac:dyDescent="0.25">
      <c r="A267" s="3" t="s">
        <v>558</v>
      </c>
      <c r="B267" s="3" t="s">
        <v>1049</v>
      </c>
      <c r="C267" s="3" t="s">
        <v>1050</v>
      </c>
      <c r="D267" s="3" t="s">
        <v>104</v>
      </c>
      <c r="E267" s="3" t="s">
        <v>2674</v>
      </c>
      <c r="F267" s="3">
        <f>COUNTIF(C267,PickedPlayers!D:D)</f>
        <v>0</v>
      </c>
      <c r="G267" s="3" t="str">
        <f t="shared" si="4"/>
        <v>Yes</v>
      </c>
    </row>
    <row r="268" spans="1:7" hidden="1" x14ac:dyDescent="0.25">
      <c r="A268" s="3" t="s">
        <v>558</v>
      </c>
      <c r="B268" s="3" t="s">
        <v>1045</v>
      </c>
      <c r="C268" s="3" t="s">
        <v>1046</v>
      </c>
      <c r="D268" s="3" t="s">
        <v>104</v>
      </c>
      <c r="E268" s="3" t="s">
        <v>2674</v>
      </c>
      <c r="F268" s="3">
        <f>COUNTIF(C268,PickedPlayers!D:D)</f>
        <v>0</v>
      </c>
      <c r="G268" s="3" t="str">
        <f t="shared" si="4"/>
        <v>Yes</v>
      </c>
    </row>
    <row r="269" spans="1:7" x14ac:dyDescent="0.25">
      <c r="A269" s="3" t="s">
        <v>577</v>
      </c>
      <c r="B269" s="3" t="s">
        <v>1063</v>
      </c>
      <c r="C269" s="3" t="s">
        <v>1064</v>
      </c>
      <c r="D269" s="3" t="s">
        <v>104</v>
      </c>
      <c r="E269" s="3" t="s">
        <v>2675</v>
      </c>
      <c r="F269" s="3">
        <f>COUNTIF(C269,PickedPlayers!D:D)</f>
        <v>0</v>
      </c>
      <c r="G269" s="3" t="str">
        <f t="shared" si="4"/>
        <v>Yes</v>
      </c>
    </row>
    <row r="270" spans="1:7" x14ac:dyDescent="0.25">
      <c r="A270" s="3" t="s">
        <v>577</v>
      </c>
      <c r="B270" s="3" t="s">
        <v>1061</v>
      </c>
      <c r="C270" s="3" t="s">
        <v>1062</v>
      </c>
      <c r="D270" s="3" t="s">
        <v>104</v>
      </c>
      <c r="E270" s="3" t="s">
        <v>2675</v>
      </c>
      <c r="F270" s="3">
        <f>COUNTIF(C270,PickedPlayers!D:D)</f>
        <v>0</v>
      </c>
      <c r="G270" s="3" t="str">
        <f t="shared" si="4"/>
        <v>Yes</v>
      </c>
    </row>
    <row r="271" spans="1:7" x14ac:dyDescent="0.25">
      <c r="A271" s="3" t="s">
        <v>577</v>
      </c>
      <c r="B271" s="3" t="s">
        <v>1071</v>
      </c>
      <c r="C271" s="3" t="s">
        <v>1072</v>
      </c>
      <c r="D271" s="3" t="s">
        <v>104</v>
      </c>
      <c r="E271" s="3" t="s">
        <v>2675</v>
      </c>
      <c r="F271" s="3">
        <f>COUNTIF(C271,PickedPlayers!D:D)</f>
        <v>0</v>
      </c>
      <c r="G271" s="3" t="str">
        <f t="shared" si="4"/>
        <v>Yes</v>
      </c>
    </row>
    <row r="272" spans="1:7" x14ac:dyDescent="0.25">
      <c r="A272" s="3" t="s">
        <v>577</v>
      </c>
      <c r="B272" s="3" t="s">
        <v>1055</v>
      </c>
      <c r="C272" s="3" t="s">
        <v>1056</v>
      </c>
      <c r="D272" s="3" t="s">
        <v>104</v>
      </c>
      <c r="E272" s="3" t="s">
        <v>2675</v>
      </c>
      <c r="F272" s="3">
        <f>COUNTIF(C272,PickedPlayers!D:D)</f>
        <v>0</v>
      </c>
      <c r="G272" s="3" t="str">
        <f t="shared" si="4"/>
        <v>Yes</v>
      </c>
    </row>
    <row r="273" spans="1:7" x14ac:dyDescent="0.25">
      <c r="A273" s="3" t="s">
        <v>577</v>
      </c>
      <c r="B273" s="3" t="s">
        <v>1057</v>
      </c>
      <c r="C273" s="3" t="s">
        <v>1058</v>
      </c>
      <c r="D273" s="3" t="s">
        <v>104</v>
      </c>
      <c r="E273" s="3" t="s">
        <v>2675</v>
      </c>
      <c r="F273" s="3">
        <f>COUNTIF(C273,PickedPlayers!D:D)</f>
        <v>0</v>
      </c>
      <c r="G273" s="3" t="str">
        <f t="shared" si="4"/>
        <v>Yes</v>
      </c>
    </row>
    <row r="274" spans="1:7" x14ac:dyDescent="0.25">
      <c r="A274" s="3" t="s">
        <v>577</v>
      </c>
      <c r="B274" s="3" t="s">
        <v>1069</v>
      </c>
      <c r="C274" s="3" t="s">
        <v>1070</v>
      </c>
      <c r="D274" s="3" t="s">
        <v>104</v>
      </c>
      <c r="E274" s="3" t="s">
        <v>2675</v>
      </c>
      <c r="F274" s="3">
        <f>COUNTIF(C274,PickedPlayers!D:D)</f>
        <v>0</v>
      </c>
      <c r="G274" s="3" t="str">
        <f t="shared" si="4"/>
        <v>Yes</v>
      </c>
    </row>
    <row r="275" spans="1:7" x14ac:dyDescent="0.25">
      <c r="A275" s="3" t="s">
        <v>577</v>
      </c>
      <c r="B275" s="3" t="s">
        <v>1053</v>
      </c>
      <c r="C275" s="3" t="s">
        <v>1054</v>
      </c>
      <c r="D275" s="3" t="s">
        <v>104</v>
      </c>
      <c r="E275" s="3" t="s">
        <v>2675</v>
      </c>
      <c r="F275" s="3">
        <f>COUNTIF(C275,PickedPlayers!D:D)</f>
        <v>0</v>
      </c>
      <c r="G275" s="3" t="str">
        <f t="shared" si="4"/>
        <v>Yes</v>
      </c>
    </row>
    <row r="276" spans="1:7" x14ac:dyDescent="0.25">
      <c r="A276" s="3" t="s">
        <v>577</v>
      </c>
      <c r="B276" s="3" t="s">
        <v>1065</v>
      </c>
      <c r="C276" s="3" t="s">
        <v>1066</v>
      </c>
      <c r="D276" s="3" t="s">
        <v>104</v>
      </c>
      <c r="E276" s="3" t="s">
        <v>2675</v>
      </c>
      <c r="F276" s="3">
        <f>COUNTIF(C276,PickedPlayers!D:D)</f>
        <v>0</v>
      </c>
      <c r="G276" s="3" t="str">
        <f t="shared" si="4"/>
        <v>Yes</v>
      </c>
    </row>
    <row r="277" spans="1:7" x14ac:dyDescent="0.25">
      <c r="A277" s="3" t="s">
        <v>577</v>
      </c>
      <c r="B277" s="3" t="s">
        <v>1059</v>
      </c>
      <c r="C277" s="3" t="s">
        <v>1060</v>
      </c>
      <c r="D277" s="3" t="s">
        <v>104</v>
      </c>
      <c r="E277" s="3" t="s">
        <v>2675</v>
      </c>
      <c r="F277" s="3">
        <f>COUNTIF(C277,PickedPlayers!D:D)</f>
        <v>0</v>
      </c>
      <c r="G277" s="3" t="str">
        <f t="shared" si="4"/>
        <v>Yes</v>
      </c>
    </row>
    <row r="278" spans="1:7" x14ac:dyDescent="0.25">
      <c r="A278" s="3" t="s">
        <v>577</v>
      </c>
      <c r="B278" s="3" t="s">
        <v>1067</v>
      </c>
      <c r="C278" s="3" t="s">
        <v>1068</v>
      </c>
      <c r="D278" s="3" t="s">
        <v>104</v>
      </c>
      <c r="E278" s="3" t="s">
        <v>2675</v>
      </c>
      <c r="F278" s="3">
        <f>COUNTIF(C278,PickedPlayers!D:D)</f>
        <v>0</v>
      </c>
      <c r="G278" s="3" t="str">
        <f t="shared" si="4"/>
        <v>Yes</v>
      </c>
    </row>
    <row r="279" spans="1:7" hidden="1" x14ac:dyDescent="0.25">
      <c r="A279" s="3" t="s">
        <v>592</v>
      </c>
      <c r="B279" s="3" t="s">
        <v>1077</v>
      </c>
      <c r="C279" s="3" t="s">
        <v>1078</v>
      </c>
      <c r="D279" s="3" t="s">
        <v>104</v>
      </c>
      <c r="E279" s="3" t="s">
        <v>2677</v>
      </c>
      <c r="F279" s="3">
        <f>COUNTIF(C279,PickedPlayers!D:D)</f>
        <v>0</v>
      </c>
      <c r="G279" s="3" t="str">
        <f t="shared" si="4"/>
        <v>Yes</v>
      </c>
    </row>
    <row r="280" spans="1:7" hidden="1" x14ac:dyDescent="0.25">
      <c r="A280" s="3" t="s">
        <v>592</v>
      </c>
      <c r="B280" s="3" t="s">
        <v>1073</v>
      </c>
      <c r="C280" s="3" t="s">
        <v>1074</v>
      </c>
      <c r="D280" s="3" t="s">
        <v>104</v>
      </c>
      <c r="E280" s="3" t="s">
        <v>2677</v>
      </c>
      <c r="F280" s="3">
        <f>COUNTIF(C280,PickedPlayers!D:D)</f>
        <v>0</v>
      </c>
      <c r="G280" s="3" t="str">
        <f t="shared" si="4"/>
        <v>Yes</v>
      </c>
    </row>
    <row r="281" spans="1:7" hidden="1" x14ac:dyDescent="0.25">
      <c r="A281" s="3" t="s">
        <v>592</v>
      </c>
      <c r="B281" s="3" t="s">
        <v>1075</v>
      </c>
      <c r="C281" s="3" t="s">
        <v>1076</v>
      </c>
      <c r="D281" s="3" t="s">
        <v>104</v>
      </c>
      <c r="E281" s="3" t="s">
        <v>2677</v>
      </c>
      <c r="F281" s="3">
        <f>COUNTIF(C281,PickedPlayers!D:D)</f>
        <v>0</v>
      </c>
      <c r="G281" s="3" t="str">
        <f t="shared" si="4"/>
        <v>Yes</v>
      </c>
    </row>
    <row r="282" spans="1:7" hidden="1" x14ac:dyDescent="0.25">
      <c r="A282" s="3" t="s">
        <v>592</v>
      </c>
      <c r="B282" s="3" t="s">
        <v>1081</v>
      </c>
      <c r="C282" s="3" t="s">
        <v>1082</v>
      </c>
      <c r="D282" s="3" t="s">
        <v>104</v>
      </c>
      <c r="E282" s="3" t="s">
        <v>2677</v>
      </c>
      <c r="F282" s="3">
        <f>COUNTIF(C282,PickedPlayers!D:D)</f>
        <v>0</v>
      </c>
      <c r="G282" s="3" t="str">
        <f t="shared" si="4"/>
        <v>Yes</v>
      </c>
    </row>
    <row r="283" spans="1:7" hidden="1" x14ac:dyDescent="0.25">
      <c r="A283" s="3" t="s">
        <v>592</v>
      </c>
      <c r="B283" s="3" t="s">
        <v>1079</v>
      </c>
      <c r="C283" s="3" t="s">
        <v>1080</v>
      </c>
      <c r="D283" s="3" t="s">
        <v>104</v>
      </c>
      <c r="E283" s="3" t="s">
        <v>2677</v>
      </c>
      <c r="F283" s="3">
        <f>COUNTIF(C283,PickedPlayers!D:D)</f>
        <v>0</v>
      </c>
      <c r="G283" s="3" t="str">
        <f t="shared" si="4"/>
        <v>Yes</v>
      </c>
    </row>
    <row r="284" spans="1:7" hidden="1" x14ac:dyDescent="0.25">
      <c r="A284" s="3" t="s">
        <v>592</v>
      </c>
      <c r="B284" s="3" t="s">
        <v>1083</v>
      </c>
      <c r="C284" s="3" t="s">
        <v>1084</v>
      </c>
      <c r="D284" s="3" t="s">
        <v>104</v>
      </c>
      <c r="E284" s="3" t="s">
        <v>2677</v>
      </c>
      <c r="F284" s="3">
        <f>COUNTIF(C284,PickedPlayers!D:D)</f>
        <v>0</v>
      </c>
      <c r="G284" s="3" t="str">
        <f t="shared" si="4"/>
        <v>Yes</v>
      </c>
    </row>
    <row r="285" spans="1:7" hidden="1" x14ac:dyDescent="0.25">
      <c r="A285" s="3" t="s">
        <v>551</v>
      </c>
      <c r="B285" s="3" t="s">
        <v>1085</v>
      </c>
      <c r="C285" s="3" t="s">
        <v>1086</v>
      </c>
      <c r="D285" s="3" t="s">
        <v>2732</v>
      </c>
      <c r="E285" s="3" t="s">
        <v>2673</v>
      </c>
      <c r="F285" s="3">
        <f>COUNTIF(C285,PickedPlayers!D:D)</f>
        <v>0</v>
      </c>
      <c r="G285" s="3" t="str">
        <f t="shared" si="4"/>
        <v>Yes</v>
      </c>
    </row>
    <row r="286" spans="1:7" hidden="1" x14ac:dyDescent="0.25">
      <c r="A286" s="3" t="s">
        <v>551</v>
      </c>
      <c r="B286" s="3" t="s">
        <v>1090</v>
      </c>
      <c r="C286" s="3" t="s">
        <v>1091</v>
      </c>
      <c r="D286" s="3" t="s">
        <v>2732</v>
      </c>
      <c r="E286" s="3" t="s">
        <v>2673</v>
      </c>
      <c r="F286" s="3">
        <f>COUNTIF(C286,PickedPlayers!D:D)</f>
        <v>0</v>
      </c>
      <c r="G286" s="3" t="str">
        <f t="shared" si="4"/>
        <v>Yes</v>
      </c>
    </row>
    <row r="287" spans="1:7" hidden="1" x14ac:dyDescent="0.25">
      <c r="A287" s="3" t="s">
        <v>551</v>
      </c>
      <c r="B287" s="3" t="s">
        <v>1088</v>
      </c>
      <c r="C287" s="3" t="s">
        <v>1089</v>
      </c>
      <c r="D287" s="3" t="s">
        <v>2732</v>
      </c>
      <c r="E287" s="3" t="s">
        <v>2673</v>
      </c>
      <c r="F287" s="3">
        <f>COUNTIF(C287,PickedPlayers!D:D)</f>
        <v>0</v>
      </c>
      <c r="G287" s="3" t="str">
        <f t="shared" si="4"/>
        <v>Yes</v>
      </c>
    </row>
    <row r="288" spans="1:7" hidden="1" x14ac:dyDescent="0.25">
      <c r="A288" s="3" t="s">
        <v>558</v>
      </c>
      <c r="B288" s="3" t="s">
        <v>1094</v>
      </c>
      <c r="C288" s="3" t="s">
        <v>1095</v>
      </c>
      <c r="D288" s="3" t="s">
        <v>2732</v>
      </c>
      <c r="E288" s="3" t="s">
        <v>2674</v>
      </c>
      <c r="F288" s="3">
        <f>COUNTIF(C288,PickedPlayers!D:D)</f>
        <v>0</v>
      </c>
      <c r="G288" s="3" t="str">
        <f t="shared" si="4"/>
        <v>Yes</v>
      </c>
    </row>
    <row r="289" spans="1:7" hidden="1" x14ac:dyDescent="0.25">
      <c r="A289" s="3" t="s">
        <v>558</v>
      </c>
      <c r="B289" s="3" t="s">
        <v>1106</v>
      </c>
      <c r="C289" s="3" t="s">
        <v>1107</v>
      </c>
      <c r="D289" s="3" t="s">
        <v>2732</v>
      </c>
      <c r="E289" s="3" t="s">
        <v>2674</v>
      </c>
      <c r="F289" s="3">
        <f>COUNTIF(C289,PickedPlayers!D:D)</f>
        <v>0</v>
      </c>
      <c r="G289" s="3" t="str">
        <f t="shared" si="4"/>
        <v>Yes</v>
      </c>
    </row>
    <row r="290" spans="1:7" hidden="1" x14ac:dyDescent="0.25">
      <c r="A290" s="3" t="s">
        <v>558</v>
      </c>
      <c r="B290" s="3" t="s">
        <v>1098</v>
      </c>
      <c r="C290" s="3" t="s">
        <v>1099</v>
      </c>
      <c r="D290" s="3" t="s">
        <v>2732</v>
      </c>
      <c r="E290" s="3" t="s">
        <v>2674</v>
      </c>
      <c r="F290" s="3">
        <f>COUNTIF(C290,PickedPlayers!D:D)</f>
        <v>0</v>
      </c>
      <c r="G290" s="3" t="str">
        <f t="shared" si="4"/>
        <v>Yes</v>
      </c>
    </row>
    <row r="291" spans="1:7" hidden="1" x14ac:dyDescent="0.25">
      <c r="A291" s="3" t="s">
        <v>558</v>
      </c>
      <c r="B291" s="3" t="s">
        <v>1096</v>
      </c>
      <c r="C291" s="3" t="s">
        <v>1097</v>
      </c>
      <c r="D291" s="3" t="s">
        <v>2732</v>
      </c>
      <c r="E291" s="3" t="s">
        <v>2674</v>
      </c>
      <c r="F291" s="3">
        <f>COUNTIF(C291,PickedPlayers!D:D)</f>
        <v>0</v>
      </c>
      <c r="G291" s="3" t="str">
        <f t="shared" si="4"/>
        <v>Yes</v>
      </c>
    </row>
    <row r="292" spans="1:7" hidden="1" x14ac:dyDescent="0.25">
      <c r="A292" s="3" t="s">
        <v>558</v>
      </c>
      <c r="B292" s="3" t="s">
        <v>1108</v>
      </c>
      <c r="C292" s="3" t="s">
        <v>1109</v>
      </c>
      <c r="D292" s="3" t="s">
        <v>2732</v>
      </c>
      <c r="E292" s="3" t="s">
        <v>2674</v>
      </c>
      <c r="F292" s="3">
        <f>COUNTIF(C292,PickedPlayers!D:D)</f>
        <v>0</v>
      </c>
      <c r="G292" s="3" t="str">
        <f t="shared" si="4"/>
        <v>Yes</v>
      </c>
    </row>
    <row r="293" spans="1:7" hidden="1" x14ac:dyDescent="0.25">
      <c r="A293" s="3" t="s">
        <v>558</v>
      </c>
      <c r="B293" s="3" t="s">
        <v>1102</v>
      </c>
      <c r="C293" s="3" t="s">
        <v>1103</v>
      </c>
      <c r="D293" s="3" t="s">
        <v>2732</v>
      </c>
      <c r="E293" s="3" t="s">
        <v>2674</v>
      </c>
      <c r="F293" s="3">
        <f>COUNTIF(C293,PickedPlayers!D:D)</f>
        <v>0</v>
      </c>
      <c r="G293" s="3" t="str">
        <f t="shared" si="4"/>
        <v>Yes</v>
      </c>
    </row>
    <row r="294" spans="1:7" hidden="1" x14ac:dyDescent="0.25">
      <c r="A294" s="3" t="s">
        <v>558</v>
      </c>
      <c r="B294" s="3" t="s">
        <v>1100</v>
      </c>
      <c r="C294" s="3" t="s">
        <v>1101</v>
      </c>
      <c r="D294" s="3" t="s">
        <v>2732</v>
      </c>
      <c r="E294" s="3" t="s">
        <v>2674</v>
      </c>
      <c r="F294" s="3">
        <f>COUNTIF(C294,PickedPlayers!D:D)</f>
        <v>0</v>
      </c>
      <c r="G294" s="3" t="str">
        <f t="shared" si="4"/>
        <v>Yes</v>
      </c>
    </row>
    <row r="295" spans="1:7" hidden="1" x14ac:dyDescent="0.25">
      <c r="A295" s="3" t="s">
        <v>558</v>
      </c>
      <c r="B295" s="3" t="s">
        <v>1104</v>
      </c>
      <c r="C295" s="3" t="s">
        <v>1105</v>
      </c>
      <c r="D295" s="3" t="s">
        <v>2732</v>
      </c>
      <c r="E295" s="3" t="s">
        <v>2674</v>
      </c>
      <c r="F295" s="3">
        <f>COUNTIF(C295,PickedPlayers!D:D)</f>
        <v>0</v>
      </c>
      <c r="G295" s="3" t="str">
        <f t="shared" si="4"/>
        <v>Yes</v>
      </c>
    </row>
    <row r="296" spans="1:7" hidden="1" x14ac:dyDescent="0.25">
      <c r="A296" s="3" t="s">
        <v>558</v>
      </c>
      <c r="B296" s="3" t="s">
        <v>1092</v>
      </c>
      <c r="C296" s="3" t="s">
        <v>1093</v>
      </c>
      <c r="D296" s="3" t="s">
        <v>2732</v>
      </c>
      <c r="E296" s="3" t="s">
        <v>2674</v>
      </c>
      <c r="F296" s="3">
        <f>COUNTIF(C296,PickedPlayers!D:D)</f>
        <v>0</v>
      </c>
      <c r="G296" s="3" t="str">
        <f t="shared" si="4"/>
        <v>Yes</v>
      </c>
    </row>
    <row r="297" spans="1:7" hidden="1" x14ac:dyDescent="0.25">
      <c r="A297" s="3" t="s">
        <v>577</v>
      </c>
      <c r="B297" s="3" t="s">
        <v>1112</v>
      </c>
      <c r="C297" s="3" t="s">
        <v>1113</v>
      </c>
      <c r="D297" s="3" t="s">
        <v>2732</v>
      </c>
      <c r="E297" s="3" t="s">
        <v>2675</v>
      </c>
      <c r="F297" s="3">
        <f>COUNTIF(C297,PickedPlayers!D:D)</f>
        <v>0</v>
      </c>
      <c r="G297" s="3" t="str">
        <f t="shared" si="4"/>
        <v>Yes</v>
      </c>
    </row>
    <row r="298" spans="1:7" hidden="1" x14ac:dyDescent="0.25">
      <c r="A298" s="3" t="s">
        <v>577</v>
      </c>
      <c r="B298" s="3" t="s">
        <v>1110</v>
      </c>
      <c r="C298" s="3" t="s">
        <v>1111</v>
      </c>
      <c r="D298" s="3" t="s">
        <v>2732</v>
      </c>
      <c r="E298" s="3" t="s">
        <v>2675</v>
      </c>
      <c r="F298" s="3">
        <f>COUNTIF(C298,PickedPlayers!D:D)</f>
        <v>0</v>
      </c>
      <c r="G298" s="3" t="str">
        <f t="shared" si="4"/>
        <v>Yes</v>
      </c>
    </row>
    <row r="299" spans="1:7" hidden="1" x14ac:dyDescent="0.25">
      <c r="A299" s="3" t="s">
        <v>577</v>
      </c>
      <c r="B299" s="3" t="s">
        <v>1114</v>
      </c>
      <c r="C299" s="3" t="s">
        <v>1115</v>
      </c>
      <c r="D299" s="3" t="s">
        <v>2732</v>
      </c>
      <c r="E299" s="3" t="s">
        <v>2675</v>
      </c>
      <c r="F299" s="3">
        <f>COUNTIF(C299,PickedPlayers!D:D)</f>
        <v>0</v>
      </c>
      <c r="G299" s="3" t="str">
        <f t="shared" si="4"/>
        <v>Yes</v>
      </c>
    </row>
    <row r="300" spans="1:7" hidden="1" x14ac:dyDescent="0.25">
      <c r="A300" s="3" t="s">
        <v>577</v>
      </c>
      <c r="B300" s="3" t="s">
        <v>1120</v>
      </c>
      <c r="C300" s="3" t="s">
        <v>1121</v>
      </c>
      <c r="D300" s="3" t="s">
        <v>2732</v>
      </c>
      <c r="E300" s="3" t="s">
        <v>2675</v>
      </c>
      <c r="F300" s="3">
        <f>COUNTIF(C300,PickedPlayers!D:D)</f>
        <v>0</v>
      </c>
      <c r="G300" s="3" t="str">
        <f t="shared" si="4"/>
        <v>Yes</v>
      </c>
    </row>
    <row r="301" spans="1:7" hidden="1" x14ac:dyDescent="0.25">
      <c r="A301" s="3" t="s">
        <v>577</v>
      </c>
      <c r="B301" s="3" t="s">
        <v>1118</v>
      </c>
      <c r="C301" s="3" t="s">
        <v>1119</v>
      </c>
      <c r="D301" s="3" t="s">
        <v>2732</v>
      </c>
      <c r="E301" s="3" t="s">
        <v>2675</v>
      </c>
      <c r="F301" s="3">
        <f>COUNTIF(C301,PickedPlayers!D:D)</f>
        <v>0</v>
      </c>
      <c r="G301" s="3" t="str">
        <f t="shared" si="4"/>
        <v>Yes</v>
      </c>
    </row>
    <row r="302" spans="1:7" hidden="1" x14ac:dyDescent="0.25">
      <c r="A302" s="3" t="s">
        <v>577</v>
      </c>
      <c r="B302" s="3" t="s">
        <v>1116</v>
      </c>
      <c r="C302" s="3" t="s">
        <v>1117</v>
      </c>
      <c r="D302" s="3" t="s">
        <v>2732</v>
      </c>
      <c r="E302" s="3" t="s">
        <v>2675</v>
      </c>
      <c r="F302" s="3">
        <f>COUNTIF(C302,PickedPlayers!D:D)</f>
        <v>0</v>
      </c>
      <c r="G302" s="3" t="str">
        <f t="shared" si="4"/>
        <v>Yes</v>
      </c>
    </row>
    <row r="303" spans="1:7" hidden="1" x14ac:dyDescent="0.25">
      <c r="A303" s="3" t="s">
        <v>577</v>
      </c>
      <c r="B303" s="3" t="s">
        <v>1122</v>
      </c>
      <c r="C303" s="3" t="s">
        <v>1123</v>
      </c>
      <c r="D303" s="3" t="s">
        <v>2732</v>
      </c>
      <c r="E303" s="3" t="s">
        <v>2675</v>
      </c>
      <c r="F303" s="3">
        <f>COUNTIF(C303,PickedPlayers!D:D)</f>
        <v>0</v>
      </c>
      <c r="G303" s="3" t="str">
        <f t="shared" si="4"/>
        <v>Yes</v>
      </c>
    </row>
    <row r="304" spans="1:7" hidden="1" x14ac:dyDescent="0.25">
      <c r="A304" s="3" t="s">
        <v>592</v>
      </c>
      <c r="B304" s="3" t="s">
        <v>1130</v>
      </c>
      <c r="C304" s="3" t="s">
        <v>1131</v>
      </c>
      <c r="D304" s="3" t="s">
        <v>2732</v>
      </c>
      <c r="E304" s="3" t="s">
        <v>2677</v>
      </c>
      <c r="F304" s="3">
        <f>COUNTIF(C304,PickedPlayers!D:D)</f>
        <v>0</v>
      </c>
      <c r="G304" s="3" t="str">
        <f t="shared" si="4"/>
        <v>Yes</v>
      </c>
    </row>
    <row r="305" spans="1:7" hidden="1" x14ac:dyDescent="0.25">
      <c r="A305" s="3" t="s">
        <v>592</v>
      </c>
      <c r="B305" s="3" t="s">
        <v>1134</v>
      </c>
      <c r="C305" s="3" t="s">
        <v>1135</v>
      </c>
      <c r="D305" s="3" t="s">
        <v>2732</v>
      </c>
      <c r="E305" s="3" t="s">
        <v>2677</v>
      </c>
      <c r="F305" s="3">
        <f>COUNTIF(C305,PickedPlayers!D:D)</f>
        <v>0</v>
      </c>
      <c r="G305" s="3" t="str">
        <f t="shared" si="4"/>
        <v>Yes</v>
      </c>
    </row>
    <row r="306" spans="1:7" hidden="1" x14ac:dyDescent="0.25">
      <c r="A306" s="3" t="s">
        <v>592</v>
      </c>
      <c r="B306" s="3" t="s">
        <v>1128</v>
      </c>
      <c r="C306" s="3" t="s">
        <v>1129</v>
      </c>
      <c r="D306" s="3" t="s">
        <v>2732</v>
      </c>
      <c r="E306" s="3" t="s">
        <v>2677</v>
      </c>
      <c r="F306" s="3">
        <f>COUNTIF(C306,PickedPlayers!D:D)</f>
        <v>0</v>
      </c>
      <c r="G306" s="3" t="str">
        <f t="shared" si="4"/>
        <v>Yes</v>
      </c>
    </row>
    <row r="307" spans="1:7" hidden="1" x14ac:dyDescent="0.25">
      <c r="A307" s="3" t="s">
        <v>592</v>
      </c>
      <c r="B307" s="3" t="s">
        <v>1124</v>
      </c>
      <c r="C307" s="3" t="s">
        <v>1125</v>
      </c>
      <c r="D307" s="3" t="s">
        <v>2732</v>
      </c>
      <c r="E307" s="3" t="s">
        <v>2677</v>
      </c>
      <c r="F307" s="3">
        <f>COUNTIF(C307,PickedPlayers!D:D)</f>
        <v>0</v>
      </c>
      <c r="G307" s="3" t="str">
        <f t="shared" si="4"/>
        <v>Yes</v>
      </c>
    </row>
    <row r="308" spans="1:7" hidden="1" x14ac:dyDescent="0.25">
      <c r="A308" s="3" t="s">
        <v>592</v>
      </c>
      <c r="B308" s="3" t="s">
        <v>1126</v>
      </c>
      <c r="C308" s="3" t="s">
        <v>1127</v>
      </c>
      <c r="D308" s="3" t="s">
        <v>2732</v>
      </c>
      <c r="E308" s="3" t="s">
        <v>2677</v>
      </c>
      <c r="F308" s="3">
        <f>COUNTIF(C308,PickedPlayers!D:D)</f>
        <v>0</v>
      </c>
      <c r="G308" s="3" t="str">
        <f t="shared" si="4"/>
        <v>Yes</v>
      </c>
    </row>
    <row r="309" spans="1:7" hidden="1" x14ac:dyDescent="0.25">
      <c r="A309" s="3" t="s">
        <v>592</v>
      </c>
      <c r="B309" s="3" t="s">
        <v>1136</v>
      </c>
      <c r="C309" s="3" t="s">
        <v>1137</v>
      </c>
      <c r="D309" s="3" t="s">
        <v>2732</v>
      </c>
      <c r="E309" s="3" t="s">
        <v>2677</v>
      </c>
      <c r="F309" s="3">
        <f>COUNTIF(C309,PickedPlayers!D:D)</f>
        <v>0</v>
      </c>
      <c r="G309" s="3" t="str">
        <f t="shared" si="4"/>
        <v>Yes</v>
      </c>
    </row>
    <row r="310" spans="1:7" hidden="1" x14ac:dyDescent="0.25">
      <c r="A310" s="3" t="s">
        <v>592</v>
      </c>
      <c r="B310" s="3" t="s">
        <v>1132</v>
      </c>
      <c r="C310" s="3" t="s">
        <v>1133</v>
      </c>
      <c r="D310" s="3" t="s">
        <v>2732</v>
      </c>
      <c r="E310" s="3" t="s">
        <v>2677</v>
      </c>
      <c r="F310" s="3">
        <f>COUNTIF(C310,PickedPlayers!D:D)</f>
        <v>0</v>
      </c>
      <c r="G310" s="3" t="str">
        <f t="shared" si="4"/>
        <v>Yes</v>
      </c>
    </row>
    <row r="311" spans="1:7" hidden="1" x14ac:dyDescent="0.25">
      <c r="A311" s="3" t="s">
        <v>551</v>
      </c>
      <c r="B311" s="3" t="s">
        <v>1142</v>
      </c>
      <c r="C311" s="3" t="s">
        <v>1143</v>
      </c>
      <c r="D311" s="3" t="s">
        <v>152</v>
      </c>
      <c r="E311" s="3" t="s">
        <v>2673</v>
      </c>
      <c r="F311" s="3">
        <f>COUNTIF(C311,PickedPlayers!D:D)</f>
        <v>0</v>
      </c>
      <c r="G311" s="3" t="str">
        <f t="shared" si="4"/>
        <v>Yes</v>
      </c>
    </row>
    <row r="312" spans="1:7" hidden="1" x14ac:dyDescent="0.25">
      <c r="A312" s="3" t="s">
        <v>551</v>
      </c>
      <c r="B312" s="3" t="s">
        <v>1140</v>
      </c>
      <c r="C312" s="3" t="s">
        <v>1141</v>
      </c>
      <c r="D312" s="3" t="s">
        <v>152</v>
      </c>
      <c r="E312" s="3" t="s">
        <v>2673</v>
      </c>
      <c r="F312" s="3">
        <f>COUNTIF(C312,PickedPlayers!D:D)</f>
        <v>0</v>
      </c>
      <c r="G312" s="3" t="str">
        <f t="shared" si="4"/>
        <v>Yes</v>
      </c>
    </row>
    <row r="313" spans="1:7" hidden="1" x14ac:dyDescent="0.25">
      <c r="A313" s="3" t="s">
        <v>551</v>
      </c>
      <c r="B313" s="3" t="s">
        <v>1138</v>
      </c>
      <c r="C313" s="3" t="s">
        <v>1139</v>
      </c>
      <c r="D313" s="3" t="s">
        <v>152</v>
      </c>
      <c r="E313" s="3" t="s">
        <v>2673</v>
      </c>
      <c r="F313" s="3">
        <f>COUNTIF(C313,PickedPlayers!D:D)</f>
        <v>0</v>
      </c>
      <c r="G313" s="3" t="str">
        <f t="shared" si="4"/>
        <v>Yes</v>
      </c>
    </row>
    <row r="314" spans="1:7" hidden="1" x14ac:dyDescent="0.25">
      <c r="A314" s="3" t="s">
        <v>558</v>
      </c>
      <c r="B314" s="3" t="s">
        <v>1154</v>
      </c>
      <c r="C314" s="3" t="s">
        <v>1155</v>
      </c>
      <c r="D314" s="3" t="s">
        <v>152</v>
      </c>
      <c r="E314" s="3" t="s">
        <v>2674</v>
      </c>
      <c r="F314" s="3">
        <f>COUNTIF(C314,PickedPlayers!D:D)</f>
        <v>0</v>
      </c>
      <c r="G314" s="3" t="str">
        <f t="shared" si="4"/>
        <v>Yes</v>
      </c>
    </row>
    <row r="315" spans="1:7" hidden="1" x14ac:dyDescent="0.25">
      <c r="A315" s="3" t="s">
        <v>558</v>
      </c>
      <c r="B315" s="3" t="s">
        <v>1144</v>
      </c>
      <c r="C315" s="3" t="s">
        <v>1145</v>
      </c>
      <c r="D315" s="3" t="s">
        <v>152</v>
      </c>
      <c r="E315" s="3" t="s">
        <v>2674</v>
      </c>
      <c r="F315" s="3">
        <f>COUNTIF(C315,PickedPlayers!D:D)</f>
        <v>0</v>
      </c>
      <c r="G315" s="3" t="str">
        <f t="shared" si="4"/>
        <v>Yes</v>
      </c>
    </row>
    <row r="316" spans="1:7" hidden="1" x14ac:dyDescent="0.25">
      <c r="A316" s="3" t="s">
        <v>558</v>
      </c>
      <c r="B316" s="3" t="s">
        <v>1158</v>
      </c>
      <c r="C316" s="3" t="s">
        <v>1159</v>
      </c>
      <c r="D316" s="3" t="s">
        <v>152</v>
      </c>
      <c r="E316" s="3" t="s">
        <v>2674</v>
      </c>
      <c r="F316" s="3">
        <f>COUNTIF(C316,PickedPlayers!D:D)</f>
        <v>0</v>
      </c>
      <c r="G316" s="3" t="str">
        <f t="shared" si="4"/>
        <v>Yes</v>
      </c>
    </row>
    <row r="317" spans="1:7" hidden="1" x14ac:dyDescent="0.25">
      <c r="A317" s="3" t="s">
        <v>558</v>
      </c>
      <c r="B317" s="3" t="s">
        <v>1150</v>
      </c>
      <c r="C317" s="3" t="s">
        <v>1151</v>
      </c>
      <c r="D317" s="3" t="s">
        <v>152</v>
      </c>
      <c r="E317" s="3" t="s">
        <v>2674</v>
      </c>
      <c r="F317" s="3">
        <f>COUNTIF(C317,PickedPlayers!D:D)</f>
        <v>0</v>
      </c>
      <c r="G317" s="3" t="str">
        <f t="shared" si="4"/>
        <v>Yes</v>
      </c>
    </row>
    <row r="318" spans="1:7" hidden="1" x14ac:dyDescent="0.25">
      <c r="A318" s="3" t="s">
        <v>558</v>
      </c>
      <c r="B318" s="3" t="s">
        <v>1152</v>
      </c>
      <c r="C318" s="3" t="s">
        <v>1153</v>
      </c>
      <c r="D318" s="3" t="s">
        <v>152</v>
      </c>
      <c r="E318" s="3" t="s">
        <v>2674</v>
      </c>
      <c r="F318" s="3">
        <f>COUNTIF(C318,PickedPlayers!D:D)</f>
        <v>0</v>
      </c>
      <c r="G318" s="3" t="str">
        <f t="shared" si="4"/>
        <v>Yes</v>
      </c>
    </row>
    <row r="319" spans="1:7" hidden="1" x14ac:dyDescent="0.25">
      <c r="A319" s="3" t="s">
        <v>558</v>
      </c>
      <c r="B319" s="3" t="s">
        <v>1146</v>
      </c>
      <c r="C319" s="3" t="s">
        <v>1147</v>
      </c>
      <c r="D319" s="3" t="s">
        <v>152</v>
      </c>
      <c r="E319" s="3" t="s">
        <v>2674</v>
      </c>
      <c r="F319" s="3">
        <f>COUNTIF(C319,PickedPlayers!D:D)</f>
        <v>0</v>
      </c>
      <c r="G319" s="3" t="str">
        <f t="shared" si="4"/>
        <v>Yes</v>
      </c>
    </row>
    <row r="320" spans="1:7" hidden="1" x14ac:dyDescent="0.25">
      <c r="A320" s="3" t="s">
        <v>558</v>
      </c>
      <c r="B320" s="3" t="s">
        <v>1148</v>
      </c>
      <c r="C320" s="3" t="s">
        <v>1149</v>
      </c>
      <c r="D320" s="3" t="s">
        <v>152</v>
      </c>
      <c r="E320" s="3" t="s">
        <v>2674</v>
      </c>
      <c r="F320" s="3">
        <f>COUNTIF(C320,PickedPlayers!D:D)</f>
        <v>0</v>
      </c>
      <c r="G320" s="3" t="str">
        <f t="shared" si="4"/>
        <v>Yes</v>
      </c>
    </row>
    <row r="321" spans="1:7" hidden="1" x14ac:dyDescent="0.25">
      <c r="A321" s="3" t="s">
        <v>558</v>
      </c>
      <c r="B321" s="3" t="s">
        <v>1156</v>
      </c>
      <c r="C321" s="3" t="s">
        <v>1157</v>
      </c>
      <c r="D321" s="3" t="s">
        <v>152</v>
      </c>
      <c r="E321" s="3" t="s">
        <v>2674</v>
      </c>
      <c r="F321" s="3">
        <f>COUNTIF(C321,PickedPlayers!D:D)</f>
        <v>0</v>
      </c>
      <c r="G321" s="3" t="str">
        <f t="shared" si="4"/>
        <v>Yes</v>
      </c>
    </row>
    <row r="322" spans="1:7" hidden="1" x14ac:dyDescent="0.25">
      <c r="A322" s="3" t="s">
        <v>577</v>
      </c>
      <c r="B322" s="3" t="s">
        <v>1170</v>
      </c>
      <c r="C322" s="3" t="s">
        <v>1171</v>
      </c>
      <c r="D322" s="3" t="s">
        <v>152</v>
      </c>
      <c r="E322" s="3" t="s">
        <v>2675</v>
      </c>
      <c r="F322" s="3">
        <f>COUNTIF(C322,PickedPlayers!D:D)</f>
        <v>0</v>
      </c>
      <c r="G322" s="3" t="str">
        <f t="shared" si="4"/>
        <v>Yes</v>
      </c>
    </row>
    <row r="323" spans="1:7" hidden="1" x14ac:dyDescent="0.25">
      <c r="A323" s="3" t="s">
        <v>577</v>
      </c>
      <c r="B323" s="3" t="s">
        <v>1162</v>
      </c>
      <c r="C323" s="3" t="s">
        <v>1163</v>
      </c>
      <c r="D323" s="3" t="s">
        <v>152</v>
      </c>
      <c r="E323" s="3" t="s">
        <v>2675</v>
      </c>
      <c r="F323" s="3">
        <f>COUNTIF(C323,PickedPlayers!D:D)</f>
        <v>0</v>
      </c>
      <c r="G323" s="3" t="str">
        <f t="shared" ref="G323:G386" si="5">IF(F323&gt;0,"No","Yes")</f>
        <v>Yes</v>
      </c>
    </row>
    <row r="324" spans="1:7" hidden="1" x14ac:dyDescent="0.25">
      <c r="A324" s="3" t="s">
        <v>577</v>
      </c>
      <c r="B324" s="3" t="s">
        <v>1178</v>
      </c>
      <c r="C324" s="3" t="s">
        <v>1179</v>
      </c>
      <c r="D324" s="3" t="s">
        <v>152</v>
      </c>
      <c r="E324" s="3" t="s">
        <v>2675</v>
      </c>
      <c r="F324" s="3">
        <f>COUNTIF(C324,PickedPlayers!D:D)</f>
        <v>0</v>
      </c>
      <c r="G324" s="3" t="str">
        <f t="shared" si="5"/>
        <v>Yes</v>
      </c>
    </row>
    <row r="325" spans="1:7" hidden="1" x14ac:dyDescent="0.25">
      <c r="A325" s="3" t="s">
        <v>577</v>
      </c>
      <c r="B325" s="3" t="s">
        <v>1174</v>
      </c>
      <c r="C325" s="3" t="s">
        <v>1175</v>
      </c>
      <c r="D325" s="3" t="s">
        <v>152</v>
      </c>
      <c r="E325" s="3" t="s">
        <v>2675</v>
      </c>
      <c r="F325" s="3">
        <f>COUNTIF(C325,PickedPlayers!D:D)</f>
        <v>0</v>
      </c>
      <c r="G325" s="3" t="str">
        <f t="shared" si="5"/>
        <v>Yes</v>
      </c>
    </row>
    <row r="326" spans="1:7" hidden="1" x14ac:dyDescent="0.25">
      <c r="A326" s="3" t="s">
        <v>577</v>
      </c>
      <c r="B326" s="3" t="s">
        <v>1164</v>
      </c>
      <c r="C326" s="3" t="s">
        <v>1165</v>
      </c>
      <c r="D326" s="3" t="s">
        <v>152</v>
      </c>
      <c r="E326" s="3" t="s">
        <v>2675</v>
      </c>
      <c r="F326" s="3">
        <f>COUNTIF(C326,PickedPlayers!D:D)</f>
        <v>0</v>
      </c>
      <c r="G326" s="3" t="str">
        <f t="shared" si="5"/>
        <v>Yes</v>
      </c>
    </row>
    <row r="327" spans="1:7" hidden="1" x14ac:dyDescent="0.25">
      <c r="A327" s="3" t="s">
        <v>577</v>
      </c>
      <c r="B327" s="3" t="s">
        <v>1172</v>
      </c>
      <c r="C327" s="3" t="s">
        <v>1173</v>
      </c>
      <c r="D327" s="3" t="s">
        <v>152</v>
      </c>
      <c r="E327" s="3" t="s">
        <v>2675</v>
      </c>
      <c r="F327" s="3">
        <f>COUNTIF(C327,PickedPlayers!D:D)</f>
        <v>0</v>
      </c>
      <c r="G327" s="3" t="str">
        <f t="shared" si="5"/>
        <v>Yes</v>
      </c>
    </row>
    <row r="328" spans="1:7" hidden="1" x14ac:dyDescent="0.25">
      <c r="A328" s="3" t="s">
        <v>577</v>
      </c>
      <c r="B328" s="3" t="s">
        <v>1176</v>
      </c>
      <c r="C328" s="3" t="s">
        <v>1177</v>
      </c>
      <c r="D328" s="3" t="s">
        <v>152</v>
      </c>
      <c r="E328" s="3" t="s">
        <v>2675</v>
      </c>
      <c r="F328" s="3">
        <f>COUNTIF(C328,PickedPlayers!D:D)</f>
        <v>0</v>
      </c>
      <c r="G328" s="3" t="str">
        <f t="shared" si="5"/>
        <v>Yes</v>
      </c>
    </row>
    <row r="329" spans="1:7" hidden="1" x14ac:dyDescent="0.25">
      <c r="A329" s="3" t="s">
        <v>577</v>
      </c>
      <c r="B329" s="3" t="s">
        <v>1168</v>
      </c>
      <c r="C329" s="3" t="s">
        <v>1169</v>
      </c>
      <c r="D329" s="3" t="s">
        <v>152</v>
      </c>
      <c r="E329" s="3" t="s">
        <v>2675</v>
      </c>
      <c r="F329" s="3">
        <f>COUNTIF(C329,PickedPlayers!D:D)</f>
        <v>0</v>
      </c>
      <c r="G329" s="3" t="str">
        <f t="shared" si="5"/>
        <v>Yes</v>
      </c>
    </row>
    <row r="330" spans="1:7" hidden="1" x14ac:dyDescent="0.25">
      <c r="A330" s="3" t="s">
        <v>577</v>
      </c>
      <c r="B330" s="3" t="s">
        <v>1166</v>
      </c>
      <c r="C330" s="3" t="s">
        <v>1167</v>
      </c>
      <c r="D330" s="3" t="s">
        <v>152</v>
      </c>
      <c r="E330" s="3" t="s">
        <v>2675</v>
      </c>
      <c r="F330" s="3">
        <f>COUNTIF(C330,PickedPlayers!D:D)</f>
        <v>0</v>
      </c>
      <c r="G330" s="3" t="str">
        <f t="shared" si="5"/>
        <v>Yes</v>
      </c>
    </row>
    <row r="331" spans="1:7" hidden="1" x14ac:dyDescent="0.25">
      <c r="A331" s="3" t="s">
        <v>577</v>
      </c>
      <c r="B331" s="3" t="s">
        <v>1160</v>
      </c>
      <c r="C331" s="3" t="s">
        <v>1161</v>
      </c>
      <c r="D331" s="3" t="s">
        <v>152</v>
      </c>
      <c r="E331" s="3" t="s">
        <v>2675</v>
      </c>
      <c r="F331" s="3">
        <f>COUNTIF(C331,PickedPlayers!D:D)</f>
        <v>0</v>
      </c>
      <c r="G331" s="3" t="str">
        <f t="shared" si="5"/>
        <v>Yes</v>
      </c>
    </row>
    <row r="332" spans="1:7" hidden="1" x14ac:dyDescent="0.25">
      <c r="A332" s="3" t="s">
        <v>592</v>
      </c>
      <c r="B332" s="3" t="s">
        <v>1180</v>
      </c>
      <c r="C332" s="3" t="s">
        <v>1181</v>
      </c>
      <c r="D332" s="3" t="s">
        <v>152</v>
      </c>
      <c r="E332" s="3" t="s">
        <v>2677</v>
      </c>
      <c r="F332" s="3">
        <f>COUNTIF(C332,PickedPlayers!D:D)</f>
        <v>0</v>
      </c>
      <c r="G332" s="3" t="str">
        <f t="shared" si="5"/>
        <v>Yes</v>
      </c>
    </row>
    <row r="333" spans="1:7" hidden="1" x14ac:dyDescent="0.25">
      <c r="A333" s="3" t="s">
        <v>592</v>
      </c>
      <c r="B333" s="3" t="s">
        <v>1188</v>
      </c>
      <c r="C333" s="3" t="s">
        <v>1189</v>
      </c>
      <c r="D333" s="3" t="s">
        <v>152</v>
      </c>
      <c r="E333" s="3" t="s">
        <v>2677</v>
      </c>
      <c r="F333" s="3">
        <f>COUNTIF(C333,PickedPlayers!D:D)</f>
        <v>0</v>
      </c>
      <c r="G333" s="3" t="str">
        <f t="shared" si="5"/>
        <v>Yes</v>
      </c>
    </row>
    <row r="334" spans="1:7" hidden="1" x14ac:dyDescent="0.25">
      <c r="A334" s="3" t="s">
        <v>592</v>
      </c>
      <c r="B334" s="3" t="s">
        <v>1182</v>
      </c>
      <c r="C334" s="3" t="s">
        <v>1183</v>
      </c>
      <c r="D334" s="3" t="s">
        <v>152</v>
      </c>
      <c r="E334" s="3" t="s">
        <v>2677</v>
      </c>
      <c r="F334" s="3">
        <f>COUNTIF(C334,PickedPlayers!D:D)</f>
        <v>0</v>
      </c>
      <c r="G334" s="3" t="str">
        <f t="shared" si="5"/>
        <v>Yes</v>
      </c>
    </row>
    <row r="335" spans="1:7" hidden="1" x14ac:dyDescent="0.25">
      <c r="A335" s="3" t="s">
        <v>592</v>
      </c>
      <c r="B335" s="3" t="s">
        <v>1184</v>
      </c>
      <c r="C335" s="3" t="s">
        <v>1185</v>
      </c>
      <c r="D335" s="3" t="s">
        <v>152</v>
      </c>
      <c r="E335" s="3" t="s">
        <v>2677</v>
      </c>
      <c r="F335" s="3">
        <f>COUNTIF(C335,PickedPlayers!D:D)</f>
        <v>0</v>
      </c>
      <c r="G335" s="3" t="str">
        <f t="shared" si="5"/>
        <v>Yes</v>
      </c>
    </row>
    <row r="336" spans="1:7" hidden="1" x14ac:dyDescent="0.25">
      <c r="A336" s="3" t="s">
        <v>592</v>
      </c>
      <c r="B336" s="3" t="s">
        <v>1186</v>
      </c>
      <c r="C336" s="3" t="s">
        <v>1187</v>
      </c>
      <c r="D336" s="3" t="s">
        <v>152</v>
      </c>
      <c r="E336" s="3" t="s">
        <v>2677</v>
      </c>
      <c r="F336" s="3">
        <f>COUNTIF(C336,PickedPlayers!D:D)</f>
        <v>0</v>
      </c>
      <c r="G336" s="3" t="str">
        <f t="shared" si="5"/>
        <v>Yes</v>
      </c>
    </row>
    <row r="337" spans="1:7" hidden="1" x14ac:dyDescent="0.25">
      <c r="A337" s="3" t="s">
        <v>551</v>
      </c>
      <c r="B337" s="3" t="s">
        <v>984</v>
      </c>
      <c r="C337" s="3" t="s">
        <v>985</v>
      </c>
      <c r="D337" s="3" t="s">
        <v>2827</v>
      </c>
      <c r="E337" s="3" t="s">
        <v>2673</v>
      </c>
      <c r="F337" s="3">
        <f>COUNTIF(C337,PickedPlayers!D:D)</f>
        <v>0</v>
      </c>
      <c r="G337" s="3" t="str">
        <f t="shared" si="5"/>
        <v>Yes</v>
      </c>
    </row>
    <row r="338" spans="1:7" hidden="1" x14ac:dyDescent="0.25">
      <c r="A338" s="3" t="s">
        <v>551</v>
      </c>
      <c r="B338" s="3" t="s">
        <v>986</v>
      </c>
      <c r="C338" s="3" t="s">
        <v>987</v>
      </c>
      <c r="D338" s="3" t="s">
        <v>2827</v>
      </c>
      <c r="E338" s="3" t="s">
        <v>2673</v>
      </c>
      <c r="F338" s="3">
        <f>COUNTIF(C338,PickedPlayers!D:D)</f>
        <v>0</v>
      </c>
      <c r="G338" s="3" t="str">
        <f t="shared" si="5"/>
        <v>Yes</v>
      </c>
    </row>
    <row r="339" spans="1:7" hidden="1" x14ac:dyDescent="0.25">
      <c r="A339" s="3" t="s">
        <v>551</v>
      </c>
      <c r="B339" s="3" t="s">
        <v>988</v>
      </c>
      <c r="C339" s="3" t="s">
        <v>989</v>
      </c>
      <c r="D339" s="3" t="s">
        <v>2827</v>
      </c>
      <c r="E339" s="3" t="s">
        <v>2673</v>
      </c>
      <c r="F339" s="3">
        <f>COUNTIF(C339,PickedPlayers!D:D)</f>
        <v>0</v>
      </c>
      <c r="G339" s="3" t="str">
        <f t="shared" si="5"/>
        <v>Yes</v>
      </c>
    </row>
    <row r="340" spans="1:7" hidden="1" x14ac:dyDescent="0.25">
      <c r="A340" s="3" t="s">
        <v>558</v>
      </c>
      <c r="B340" s="3" t="s">
        <v>1004</v>
      </c>
      <c r="C340" s="3" t="s">
        <v>1005</v>
      </c>
      <c r="D340" s="3" t="s">
        <v>2827</v>
      </c>
      <c r="E340" s="3" t="s">
        <v>2674</v>
      </c>
      <c r="F340" s="3">
        <f>COUNTIF(C340,PickedPlayers!D:D)</f>
        <v>0</v>
      </c>
      <c r="G340" s="3" t="str">
        <f t="shared" si="5"/>
        <v>Yes</v>
      </c>
    </row>
    <row r="341" spans="1:7" hidden="1" x14ac:dyDescent="0.25">
      <c r="A341" s="3" t="s">
        <v>558</v>
      </c>
      <c r="B341" s="3" t="s">
        <v>998</v>
      </c>
      <c r="C341" s="3" t="s">
        <v>999</v>
      </c>
      <c r="D341" s="3" t="s">
        <v>2827</v>
      </c>
      <c r="E341" s="3" t="s">
        <v>2674</v>
      </c>
      <c r="F341" s="3">
        <f>COUNTIF(C341,PickedPlayers!D:D)</f>
        <v>0</v>
      </c>
      <c r="G341" s="3" t="str">
        <f t="shared" si="5"/>
        <v>Yes</v>
      </c>
    </row>
    <row r="342" spans="1:7" hidden="1" x14ac:dyDescent="0.25">
      <c r="A342" s="3" t="s">
        <v>558</v>
      </c>
      <c r="B342" s="3" t="s">
        <v>990</v>
      </c>
      <c r="C342" s="3" t="s">
        <v>991</v>
      </c>
      <c r="D342" s="3" t="s">
        <v>2827</v>
      </c>
      <c r="E342" s="3" t="s">
        <v>2674</v>
      </c>
      <c r="F342" s="3">
        <f>COUNTIF(C342,PickedPlayers!D:D)</f>
        <v>0</v>
      </c>
      <c r="G342" s="3" t="str">
        <f t="shared" si="5"/>
        <v>Yes</v>
      </c>
    </row>
    <row r="343" spans="1:7" hidden="1" x14ac:dyDescent="0.25">
      <c r="A343" s="3" t="s">
        <v>558</v>
      </c>
      <c r="B343" s="3" t="s">
        <v>996</v>
      </c>
      <c r="C343" s="3" t="s">
        <v>997</v>
      </c>
      <c r="D343" s="3" t="s">
        <v>2827</v>
      </c>
      <c r="E343" s="3" t="s">
        <v>2674</v>
      </c>
      <c r="F343" s="3">
        <f>COUNTIF(C343,PickedPlayers!D:D)</f>
        <v>0</v>
      </c>
      <c r="G343" s="3" t="str">
        <f t="shared" si="5"/>
        <v>Yes</v>
      </c>
    </row>
    <row r="344" spans="1:7" hidden="1" x14ac:dyDescent="0.25">
      <c r="A344" s="3" t="s">
        <v>558</v>
      </c>
      <c r="B344" s="3" t="s">
        <v>1002</v>
      </c>
      <c r="C344" s="3" t="s">
        <v>1003</v>
      </c>
      <c r="D344" s="3" t="s">
        <v>2827</v>
      </c>
      <c r="E344" s="3" t="s">
        <v>2674</v>
      </c>
      <c r="F344" s="3">
        <f>COUNTIF(C344,PickedPlayers!D:D)</f>
        <v>0</v>
      </c>
      <c r="G344" s="3" t="str">
        <f t="shared" si="5"/>
        <v>Yes</v>
      </c>
    </row>
    <row r="345" spans="1:7" hidden="1" x14ac:dyDescent="0.25">
      <c r="A345" s="3" t="s">
        <v>558</v>
      </c>
      <c r="B345" s="3" t="s">
        <v>1000</v>
      </c>
      <c r="C345" s="3" t="s">
        <v>1001</v>
      </c>
      <c r="D345" s="3" t="s">
        <v>2827</v>
      </c>
      <c r="E345" s="3" t="s">
        <v>2674</v>
      </c>
      <c r="F345" s="3">
        <f>COUNTIF(C345,PickedPlayers!D:D)</f>
        <v>0</v>
      </c>
      <c r="G345" s="3" t="str">
        <f t="shared" si="5"/>
        <v>Yes</v>
      </c>
    </row>
    <row r="346" spans="1:7" hidden="1" x14ac:dyDescent="0.25">
      <c r="A346" s="3" t="s">
        <v>558</v>
      </c>
      <c r="B346" s="3" t="s">
        <v>992</v>
      </c>
      <c r="C346" s="3" t="s">
        <v>993</v>
      </c>
      <c r="D346" s="3" t="s">
        <v>2827</v>
      </c>
      <c r="E346" s="3" t="s">
        <v>2674</v>
      </c>
      <c r="F346" s="3">
        <f>COUNTIF(C346,PickedPlayers!D:D)</f>
        <v>0</v>
      </c>
      <c r="G346" s="3" t="str">
        <f t="shared" si="5"/>
        <v>Yes</v>
      </c>
    </row>
    <row r="347" spans="1:7" hidden="1" x14ac:dyDescent="0.25">
      <c r="A347" s="3" t="s">
        <v>558</v>
      </c>
      <c r="B347" s="3" t="s">
        <v>994</v>
      </c>
      <c r="C347" s="3" t="s">
        <v>995</v>
      </c>
      <c r="D347" s="3" t="s">
        <v>2827</v>
      </c>
      <c r="E347" s="3" t="s">
        <v>2674</v>
      </c>
      <c r="F347" s="3">
        <f>COUNTIF(C347,PickedPlayers!D:D)</f>
        <v>0</v>
      </c>
      <c r="G347" s="3" t="str">
        <f t="shared" si="5"/>
        <v>Yes</v>
      </c>
    </row>
    <row r="348" spans="1:7" x14ac:dyDescent="0.25">
      <c r="A348" s="3" t="s">
        <v>577</v>
      </c>
      <c r="B348" s="3" t="s">
        <v>1012</v>
      </c>
      <c r="C348" s="3" t="s">
        <v>1013</v>
      </c>
      <c r="D348" s="3" t="s">
        <v>2827</v>
      </c>
      <c r="E348" s="3" t="s">
        <v>2675</v>
      </c>
      <c r="F348" s="3">
        <f>COUNTIF(C348,PickedPlayers!D:D)</f>
        <v>0</v>
      </c>
      <c r="G348" s="3" t="str">
        <f t="shared" si="5"/>
        <v>Yes</v>
      </c>
    </row>
    <row r="349" spans="1:7" x14ac:dyDescent="0.25">
      <c r="A349" s="3" t="s">
        <v>577</v>
      </c>
      <c r="B349" s="3" t="s">
        <v>1016</v>
      </c>
      <c r="C349" s="3" t="s">
        <v>1017</v>
      </c>
      <c r="D349" s="3" t="s">
        <v>2827</v>
      </c>
      <c r="E349" s="3" t="s">
        <v>2675</v>
      </c>
      <c r="F349" s="3">
        <f>COUNTIF(C349,PickedPlayers!D:D)</f>
        <v>0</v>
      </c>
      <c r="G349" s="3" t="str">
        <f t="shared" si="5"/>
        <v>Yes</v>
      </c>
    </row>
    <row r="350" spans="1:7" x14ac:dyDescent="0.25">
      <c r="A350" s="3" t="s">
        <v>577</v>
      </c>
      <c r="B350" s="3" t="s">
        <v>1020</v>
      </c>
      <c r="C350" s="3" t="s">
        <v>1021</v>
      </c>
      <c r="D350" s="3" t="s">
        <v>2827</v>
      </c>
      <c r="E350" s="3" t="s">
        <v>2675</v>
      </c>
      <c r="F350" s="3">
        <f>COUNTIF(C350,PickedPlayers!D:D)</f>
        <v>0</v>
      </c>
      <c r="G350" s="3" t="str">
        <f t="shared" si="5"/>
        <v>Yes</v>
      </c>
    </row>
    <row r="351" spans="1:7" x14ac:dyDescent="0.25">
      <c r="A351" s="3" t="s">
        <v>577</v>
      </c>
      <c r="B351" s="3" t="s">
        <v>1018</v>
      </c>
      <c r="C351" s="3" t="s">
        <v>1019</v>
      </c>
      <c r="D351" s="3" t="s">
        <v>2827</v>
      </c>
      <c r="E351" s="3" t="s">
        <v>2675</v>
      </c>
      <c r="F351" s="3">
        <f>COUNTIF(C351,PickedPlayers!D:D)</f>
        <v>0</v>
      </c>
      <c r="G351" s="3" t="str">
        <f t="shared" si="5"/>
        <v>Yes</v>
      </c>
    </row>
    <row r="352" spans="1:7" x14ac:dyDescent="0.25">
      <c r="A352" s="3" t="s">
        <v>577</v>
      </c>
      <c r="B352" s="3" t="s">
        <v>1006</v>
      </c>
      <c r="C352" s="3" t="s">
        <v>1007</v>
      </c>
      <c r="D352" s="3" t="s">
        <v>2827</v>
      </c>
      <c r="E352" s="3" t="s">
        <v>2675</v>
      </c>
      <c r="F352" s="3">
        <f>COUNTIF(C352,PickedPlayers!D:D)</f>
        <v>0</v>
      </c>
      <c r="G352" s="3" t="str">
        <f t="shared" si="5"/>
        <v>Yes</v>
      </c>
    </row>
    <row r="353" spans="1:7" x14ac:dyDescent="0.25">
      <c r="A353" s="3" t="s">
        <v>577</v>
      </c>
      <c r="B353" s="3" t="s">
        <v>1008</v>
      </c>
      <c r="C353" s="3" t="s">
        <v>1009</v>
      </c>
      <c r="D353" s="3" t="s">
        <v>2827</v>
      </c>
      <c r="E353" s="3" t="s">
        <v>2675</v>
      </c>
      <c r="F353" s="3">
        <f>COUNTIF(C353,PickedPlayers!D:D)</f>
        <v>0</v>
      </c>
      <c r="G353" s="3" t="str">
        <f t="shared" si="5"/>
        <v>Yes</v>
      </c>
    </row>
    <row r="354" spans="1:7" x14ac:dyDescent="0.25">
      <c r="A354" s="3" t="s">
        <v>577</v>
      </c>
      <c r="B354" s="3" t="s">
        <v>1010</v>
      </c>
      <c r="C354" s="3" t="s">
        <v>1011</v>
      </c>
      <c r="D354" s="3" t="s">
        <v>2827</v>
      </c>
      <c r="E354" s="3" t="s">
        <v>2675</v>
      </c>
      <c r="F354" s="3">
        <f>COUNTIF(C354,PickedPlayers!D:D)</f>
        <v>0</v>
      </c>
      <c r="G354" s="3" t="str">
        <f t="shared" si="5"/>
        <v>Yes</v>
      </c>
    </row>
    <row r="355" spans="1:7" x14ac:dyDescent="0.25">
      <c r="A355" s="3" t="s">
        <v>577</v>
      </c>
      <c r="B355" s="3" t="s">
        <v>1014</v>
      </c>
      <c r="C355" s="3" t="s">
        <v>1015</v>
      </c>
      <c r="D355" s="3" t="s">
        <v>2827</v>
      </c>
      <c r="E355" s="3" t="s">
        <v>2675</v>
      </c>
      <c r="F355" s="3">
        <f>COUNTIF(C355,PickedPlayers!D:D)</f>
        <v>0</v>
      </c>
      <c r="G355" s="3" t="str">
        <f t="shared" si="5"/>
        <v>Yes</v>
      </c>
    </row>
    <row r="356" spans="1:7" hidden="1" x14ac:dyDescent="0.25">
      <c r="A356" s="3" t="s">
        <v>592</v>
      </c>
      <c r="B356" s="3" t="s">
        <v>1026</v>
      </c>
      <c r="C356" s="3" t="s">
        <v>1027</v>
      </c>
      <c r="D356" s="3" t="s">
        <v>2827</v>
      </c>
      <c r="E356" s="3" t="s">
        <v>2677</v>
      </c>
      <c r="F356" s="3">
        <f>COUNTIF(C356,PickedPlayers!D:D)</f>
        <v>0</v>
      </c>
      <c r="G356" s="3" t="str">
        <f t="shared" si="5"/>
        <v>Yes</v>
      </c>
    </row>
    <row r="357" spans="1:7" hidden="1" x14ac:dyDescent="0.25">
      <c r="A357" s="3" t="s">
        <v>592</v>
      </c>
      <c r="B357" s="3" t="s">
        <v>1034</v>
      </c>
      <c r="C357" s="3" t="s">
        <v>1035</v>
      </c>
      <c r="D357" s="3" t="s">
        <v>2827</v>
      </c>
      <c r="E357" s="3" t="s">
        <v>2677</v>
      </c>
      <c r="F357" s="3">
        <f>COUNTIF(C357,PickedPlayers!D:D)</f>
        <v>0</v>
      </c>
      <c r="G357" s="3" t="str">
        <f t="shared" si="5"/>
        <v>Yes</v>
      </c>
    </row>
    <row r="358" spans="1:7" hidden="1" x14ac:dyDescent="0.25">
      <c r="A358" s="3" t="s">
        <v>592</v>
      </c>
      <c r="B358" s="3" t="s">
        <v>1024</v>
      </c>
      <c r="C358" s="3" t="s">
        <v>1025</v>
      </c>
      <c r="D358" s="3" t="s">
        <v>2827</v>
      </c>
      <c r="E358" s="3" t="s">
        <v>2677</v>
      </c>
      <c r="F358" s="3">
        <f>COUNTIF(C358,PickedPlayers!D:D)</f>
        <v>0</v>
      </c>
      <c r="G358" s="3" t="str">
        <f t="shared" si="5"/>
        <v>Yes</v>
      </c>
    </row>
    <row r="359" spans="1:7" hidden="1" x14ac:dyDescent="0.25">
      <c r="A359" s="3" t="s">
        <v>592</v>
      </c>
      <c r="B359" s="3" t="s">
        <v>1030</v>
      </c>
      <c r="C359" s="3" t="s">
        <v>1031</v>
      </c>
      <c r="D359" s="3" t="s">
        <v>2827</v>
      </c>
      <c r="E359" s="3" t="s">
        <v>2677</v>
      </c>
      <c r="F359" s="3">
        <f>COUNTIF(C359,PickedPlayers!D:D)</f>
        <v>0</v>
      </c>
      <c r="G359" s="3" t="str">
        <f t="shared" si="5"/>
        <v>Yes</v>
      </c>
    </row>
    <row r="360" spans="1:7" hidden="1" x14ac:dyDescent="0.25">
      <c r="A360" s="3" t="s">
        <v>592</v>
      </c>
      <c r="B360" s="3" t="s">
        <v>1022</v>
      </c>
      <c r="C360" s="3" t="s">
        <v>1023</v>
      </c>
      <c r="D360" s="3" t="s">
        <v>2827</v>
      </c>
      <c r="E360" s="3" t="s">
        <v>2677</v>
      </c>
      <c r="F360" s="3">
        <f>COUNTIF(C360,PickedPlayers!D:D)</f>
        <v>0</v>
      </c>
      <c r="G360" s="3" t="str">
        <f t="shared" si="5"/>
        <v>Yes</v>
      </c>
    </row>
    <row r="361" spans="1:7" hidden="1" x14ac:dyDescent="0.25">
      <c r="A361" s="3" t="s">
        <v>592</v>
      </c>
      <c r="B361" s="3" t="s">
        <v>1032</v>
      </c>
      <c r="C361" s="3" t="s">
        <v>1033</v>
      </c>
      <c r="D361" s="3" t="s">
        <v>2827</v>
      </c>
      <c r="E361" s="3" t="s">
        <v>2677</v>
      </c>
      <c r="F361" s="3">
        <f>COUNTIF(C361,PickedPlayers!D:D)</f>
        <v>0</v>
      </c>
      <c r="G361" s="3" t="str">
        <f t="shared" si="5"/>
        <v>Yes</v>
      </c>
    </row>
    <row r="362" spans="1:7" hidden="1" x14ac:dyDescent="0.25">
      <c r="A362" s="3" t="s">
        <v>592</v>
      </c>
      <c r="B362" s="3" t="s">
        <v>1028</v>
      </c>
      <c r="C362" s="3" t="s">
        <v>1029</v>
      </c>
      <c r="D362" s="3" t="s">
        <v>2827</v>
      </c>
      <c r="E362" s="3" t="s">
        <v>2677</v>
      </c>
      <c r="F362" s="3">
        <f>COUNTIF(C362,PickedPlayers!D:D)</f>
        <v>0</v>
      </c>
      <c r="G362" s="3" t="str">
        <f t="shared" si="5"/>
        <v>Yes</v>
      </c>
    </row>
    <row r="363" spans="1:7" hidden="1" x14ac:dyDescent="0.25">
      <c r="A363" s="3" t="s">
        <v>551</v>
      </c>
      <c r="B363" s="3" t="s">
        <v>1243</v>
      </c>
      <c r="C363" s="3" t="s">
        <v>1244</v>
      </c>
      <c r="D363" s="3" t="s">
        <v>146</v>
      </c>
      <c r="E363" s="3" t="s">
        <v>2673</v>
      </c>
      <c r="F363" s="3">
        <f>COUNTIF(C363,PickedPlayers!D:D)</f>
        <v>0</v>
      </c>
      <c r="G363" s="3" t="str">
        <f t="shared" si="5"/>
        <v>Yes</v>
      </c>
    </row>
    <row r="364" spans="1:7" hidden="1" x14ac:dyDescent="0.25">
      <c r="A364" s="3" t="s">
        <v>551</v>
      </c>
      <c r="B364" s="3" t="s">
        <v>1241</v>
      </c>
      <c r="C364" s="3" t="s">
        <v>1242</v>
      </c>
      <c r="D364" s="3" t="s">
        <v>146</v>
      </c>
      <c r="E364" s="3" t="s">
        <v>2673</v>
      </c>
      <c r="F364" s="3">
        <f>COUNTIF(C364,PickedPlayers!D:D)</f>
        <v>0</v>
      </c>
      <c r="G364" s="3" t="str">
        <f t="shared" si="5"/>
        <v>Yes</v>
      </c>
    </row>
    <row r="365" spans="1:7" hidden="1" x14ac:dyDescent="0.25">
      <c r="A365" s="3" t="s">
        <v>551</v>
      </c>
      <c r="B365" s="3" t="s">
        <v>1245</v>
      </c>
      <c r="C365" s="3" t="s">
        <v>1246</v>
      </c>
      <c r="D365" s="3" t="s">
        <v>146</v>
      </c>
      <c r="E365" s="3" t="s">
        <v>2673</v>
      </c>
      <c r="F365" s="3">
        <f>COUNTIF(C365,PickedPlayers!D:D)</f>
        <v>0</v>
      </c>
      <c r="G365" s="3" t="str">
        <f t="shared" si="5"/>
        <v>Yes</v>
      </c>
    </row>
    <row r="366" spans="1:7" hidden="1" x14ac:dyDescent="0.25">
      <c r="A366" s="3" t="s">
        <v>558</v>
      </c>
      <c r="B366" s="3" t="s">
        <v>1253</v>
      </c>
      <c r="C366" s="3" t="s">
        <v>1254</v>
      </c>
      <c r="D366" s="3" t="s">
        <v>146</v>
      </c>
      <c r="E366" s="3" t="s">
        <v>2674</v>
      </c>
      <c r="F366" s="3">
        <f>COUNTIF(C366,PickedPlayers!D:D)</f>
        <v>0</v>
      </c>
      <c r="G366" s="3" t="str">
        <f t="shared" si="5"/>
        <v>Yes</v>
      </c>
    </row>
    <row r="367" spans="1:7" hidden="1" x14ac:dyDescent="0.25">
      <c r="A367" s="3" t="s">
        <v>558</v>
      </c>
      <c r="B367" s="3" t="s">
        <v>1247</v>
      </c>
      <c r="C367" s="3" t="s">
        <v>1248</v>
      </c>
      <c r="D367" s="3" t="s">
        <v>146</v>
      </c>
      <c r="E367" s="3" t="s">
        <v>2674</v>
      </c>
      <c r="F367" s="3">
        <f>COUNTIF(C367,PickedPlayers!D:D)</f>
        <v>0</v>
      </c>
      <c r="G367" s="3" t="str">
        <f t="shared" si="5"/>
        <v>Yes</v>
      </c>
    </row>
    <row r="368" spans="1:7" hidden="1" x14ac:dyDescent="0.25">
      <c r="A368" s="3" t="s">
        <v>558</v>
      </c>
      <c r="B368" s="3" t="s">
        <v>1255</v>
      </c>
      <c r="C368" s="3" t="s">
        <v>1256</v>
      </c>
      <c r="D368" s="3" t="s">
        <v>146</v>
      </c>
      <c r="E368" s="3" t="s">
        <v>2674</v>
      </c>
      <c r="F368" s="3">
        <f>COUNTIF(C368,PickedPlayers!D:D)</f>
        <v>0</v>
      </c>
      <c r="G368" s="3" t="str">
        <f t="shared" si="5"/>
        <v>Yes</v>
      </c>
    </row>
    <row r="369" spans="1:7" hidden="1" x14ac:dyDescent="0.25">
      <c r="A369" s="3" t="s">
        <v>558</v>
      </c>
      <c r="B369" s="3" t="s">
        <v>1257</v>
      </c>
      <c r="C369" s="3" t="s">
        <v>1258</v>
      </c>
      <c r="D369" s="3" t="s">
        <v>146</v>
      </c>
      <c r="E369" s="3" t="s">
        <v>2674</v>
      </c>
      <c r="F369" s="3">
        <f>COUNTIF(C369,PickedPlayers!D:D)</f>
        <v>0</v>
      </c>
      <c r="G369" s="3" t="str">
        <f t="shared" si="5"/>
        <v>Yes</v>
      </c>
    </row>
    <row r="370" spans="1:7" hidden="1" x14ac:dyDescent="0.25">
      <c r="A370" s="3" t="s">
        <v>558</v>
      </c>
      <c r="B370" s="3" t="s">
        <v>1249</v>
      </c>
      <c r="C370" s="3" t="s">
        <v>1250</v>
      </c>
      <c r="D370" s="3" t="s">
        <v>146</v>
      </c>
      <c r="E370" s="3" t="s">
        <v>2674</v>
      </c>
      <c r="F370" s="3">
        <f>COUNTIF(C370,PickedPlayers!D:D)</f>
        <v>0</v>
      </c>
      <c r="G370" s="3" t="str">
        <f t="shared" si="5"/>
        <v>Yes</v>
      </c>
    </row>
    <row r="371" spans="1:7" hidden="1" x14ac:dyDescent="0.25">
      <c r="A371" s="3" t="s">
        <v>558</v>
      </c>
      <c r="B371" s="3" t="s">
        <v>1251</v>
      </c>
      <c r="C371" s="3" t="s">
        <v>1252</v>
      </c>
      <c r="D371" s="3" t="s">
        <v>146</v>
      </c>
      <c r="E371" s="3" t="s">
        <v>2674</v>
      </c>
      <c r="F371" s="3">
        <f>COUNTIF(C371,PickedPlayers!D:D)</f>
        <v>0</v>
      </c>
      <c r="G371" s="3" t="str">
        <f t="shared" si="5"/>
        <v>Yes</v>
      </c>
    </row>
    <row r="372" spans="1:7" hidden="1" x14ac:dyDescent="0.25">
      <c r="A372" s="3" t="s">
        <v>558</v>
      </c>
      <c r="B372" s="3" t="s">
        <v>1259</v>
      </c>
      <c r="C372" s="3" t="s">
        <v>1260</v>
      </c>
      <c r="D372" s="3" t="s">
        <v>146</v>
      </c>
      <c r="E372" s="3" t="s">
        <v>2674</v>
      </c>
      <c r="F372" s="3">
        <f>COUNTIF(C372,PickedPlayers!D:D)</f>
        <v>0</v>
      </c>
      <c r="G372" s="3" t="str">
        <f t="shared" si="5"/>
        <v>Yes</v>
      </c>
    </row>
    <row r="373" spans="1:7" hidden="1" x14ac:dyDescent="0.25">
      <c r="A373" s="3" t="s">
        <v>558</v>
      </c>
      <c r="B373" s="3" t="s">
        <v>1261</v>
      </c>
      <c r="C373" s="3" t="s">
        <v>1262</v>
      </c>
      <c r="D373" s="3" t="s">
        <v>146</v>
      </c>
      <c r="E373" s="3" t="s">
        <v>2674</v>
      </c>
      <c r="F373" s="3">
        <f>COUNTIF(C373,PickedPlayers!D:D)</f>
        <v>0</v>
      </c>
      <c r="G373" s="3" t="str">
        <f t="shared" si="5"/>
        <v>Yes</v>
      </c>
    </row>
    <row r="374" spans="1:7" x14ac:dyDescent="0.25">
      <c r="A374" s="3" t="s">
        <v>577</v>
      </c>
      <c r="B374" s="3" t="s">
        <v>1269</v>
      </c>
      <c r="C374" s="3" t="s">
        <v>1270</v>
      </c>
      <c r="D374" s="3" t="s">
        <v>146</v>
      </c>
      <c r="E374" s="3" t="s">
        <v>2675</v>
      </c>
      <c r="F374" s="3">
        <f>COUNTIF(C374,PickedPlayers!D:D)</f>
        <v>0</v>
      </c>
      <c r="G374" s="3" t="str">
        <f t="shared" si="5"/>
        <v>Yes</v>
      </c>
    </row>
    <row r="375" spans="1:7" x14ac:dyDescent="0.25">
      <c r="A375" s="3" t="s">
        <v>577</v>
      </c>
      <c r="B375" s="3" t="s">
        <v>1265</v>
      </c>
      <c r="C375" s="3" t="s">
        <v>1266</v>
      </c>
      <c r="D375" s="3" t="s">
        <v>146</v>
      </c>
      <c r="E375" s="3" t="s">
        <v>2675</v>
      </c>
      <c r="F375" s="3">
        <f>COUNTIF(C375,PickedPlayers!D:D)</f>
        <v>0</v>
      </c>
      <c r="G375" s="3" t="str">
        <f t="shared" si="5"/>
        <v>Yes</v>
      </c>
    </row>
    <row r="376" spans="1:7" x14ac:dyDescent="0.25">
      <c r="A376" s="3" t="s">
        <v>577</v>
      </c>
      <c r="B376" s="3" t="s">
        <v>1263</v>
      </c>
      <c r="C376" s="3" t="s">
        <v>1264</v>
      </c>
      <c r="D376" s="3" t="s">
        <v>146</v>
      </c>
      <c r="E376" s="3" t="s">
        <v>2675</v>
      </c>
      <c r="F376" s="3">
        <f>COUNTIF(C376,PickedPlayers!D:D)</f>
        <v>0</v>
      </c>
      <c r="G376" s="3" t="str">
        <f t="shared" si="5"/>
        <v>Yes</v>
      </c>
    </row>
    <row r="377" spans="1:7" x14ac:dyDescent="0.25">
      <c r="A377" s="3" t="s">
        <v>577</v>
      </c>
      <c r="B377" s="3" t="s">
        <v>1267</v>
      </c>
      <c r="C377" s="3" t="s">
        <v>1268</v>
      </c>
      <c r="D377" s="3" t="s">
        <v>146</v>
      </c>
      <c r="E377" s="3" t="s">
        <v>2675</v>
      </c>
      <c r="F377" s="3">
        <f>COUNTIF(C377,PickedPlayers!D:D)</f>
        <v>0</v>
      </c>
      <c r="G377" s="3" t="str">
        <f t="shared" si="5"/>
        <v>Yes</v>
      </c>
    </row>
    <row r="378" spans="1:7" x14ac:dyDescent="0.25">
      <c r="A378" s="3" t="s">
        <v>577</v>
      </c>
      <c r="B378" s="3" t="s">
        <v>1273</v>
      </c>
      <c r="C378" s="3" t="s">
        <v>1274</v>
      </c>
      <c r="D378" s="3" t="s">
        <v>146</v>
      </c>
      <c r="E378" s="3" t="s">
        <v>2675</v>
      </c>
      <c r="F378" s="3">
        <f>COUNTIF(C378,PickedPlayers!D:D)</f>
        <v>0</v>
      </c>
      <c r="G378" s="3" t="str">
        <f t="shared" si="5"/>
        <v>Yes</v>
      </c>
    </row>
    <row r="379" spans="1:7" x14ac:dyDescent="0.25">
      <c r="A379" s="3" t="s">
        <v>577</v>
      </c>
      <c r="B379" s="3" t="s">
        <v>1271</v>
      </c>
      <c r="C379" s="3" t="s">
        <v>1272</v>
      </c>
      <c r="D379" s="3" t="s">
        <v>146</v>
      </c>
      <c r="E379" s="3" t="s">
        <v>2675</v>
      </c>
      <c r="F379" s="3">
        <f>COUNTIF(C379,PickedPlayers!D:D)</f>
        <v>0</v>
      </c>
      <c r="G379" s="3" t="str">
        <f t="shared" si="5"/>
        <v>Yes</v>
      </c>
    </row>
    <row r="380" spans="1:7" hidden="1" x14ac:dyDescent="0.25">
      <c r="A380" s="3" t="s">
        <v>592</v>
      </c>
      <c r="B380" s="3" t="s">
        <v>1291</v>
      </c>
      <c r="C380" s="3" t="s">
        <v>1292</v>
      </c>
      <c r="D380" s="3" t="s">
        <v>146</v>
      </c>
      <c r="E380" s="3" t="s">
        <v>2677</v>
      </c>
      <c r="F380" s="3">
        <f>COUNTIF(C380,PickedPlayers!D:D)</f>
        <v>0</v>
      </c>
      <c r="G380" s="3" t="str">
        <f t="shared" si="5"/>
        <v>Yes</v>
      </c>
    </row>
    <row r="381" spans="1:7" hidden="1" x14ac:dyDescent="0.25">
      <c r="A381" s="3" t="s">
        <v>592</v>
      </c>
      <c r="B381" s="3" t="s">
        <v>1275</v>
      </c>
      <c r="C381" s="3" t="s">
        <v>1276</v>
      </c>
      <c r="D381" s="3" t="s">
        <v>146</v>
      </c>
      <c r="E381" s="3" t="s">
        <v>2677</v>
      </c>
      <c r="F381" s="3">
        <f>COUNTIF(C381,PickedPlayers!D:D)</f>
        <v>0</v>
      </c>
      <c r="G381" s="3" t="str">
        <f t="shared" si="5"/>
        <v>Yes</v>
      </c>
    </row>
    <row r="382" spans="1:7" hidden="1" x14ac:dyDescent="0.25">
      <c r="A382" s="3" t="s">
        <v>592</v>
      </c>
      <c r="B382" s="3" t="s">
        <v>1287</v>
      </c>
      <c r="C382" s="3" t="s">
        <v>1288</v>
      </c>
      <c r="D382" s="3" t="s">
        <v>146</v>
      </c>
      <c r="E382" s="3" t="s">
        <v>2677</v>
      </c>
      <c r="F382" s="3">
        <f>COUNTIF(C382,PickedPlayers!D:D)</f>
        <v>0</v>
      </c>
      <c r="G382" s="3" t="str">
        <f t="shared" si="5"/>
        <v>Yes</v>
      </c>
    </row>
    <row r="383" spans="1:7" hidden="1" x14ac:dyDescent="0.25">
      <c r="A383" s="3" t="s">
        <v>592</v>
      </c>
      <c r="B383" s="3" t="s">
        <v>1281</v>
      </c>
      <c r="C383" s="3" t="s">
        <v>1282</v>
      </c>
      <c r="D383" s="3" t="s">
        <v>146</v>
      </c>
      <c r="E383" s="3" t="s">
        <v>2677</v>
      </c>
      <c r="F383" s="3">
        <f>COUNTIF(C383,PickedPlayers!D:D)</f>
        <v>0</v>
      </c>
      <c r="G383" s="3" t="str">
        <f t="shared" si="5"/>
        <v>Yes</v>
      </c>
    </row>
    <row r="384" spans="1:7" hidden="1" x14ac:dyDescent="0.25">
      <c r="A384" s="3" t="s">
        <v>592</v>
      </c>
      <c r="B384" s="3" t="s">
        <v>1289</v>
      </c>
      <c r="C384" s="3" t="s">
        <v>1290</v>
      </c>
      <c r="D384" s="3" t="s">
        <v>146</v>
      </c>
      <c r="E384" s="3" t="s">
        <v>2677</v>
      </c>
      <c r="F384" s="3">
        <f>COUNTIF(C384,PickedPlayers!D:D)</f>
        <v>0</v>
      </c>
      <c r="G384" s="3" t="str">
        <f t="shared" si="5"/>
        <v>Yes</v>
      </c>
    </row>
    <row r="385" spans="1:7" hidden="1" x14ac:dyDescent="0.25">
      <c r="A385" s="3" t="s">
        <v>592</v>
      </c>
      <c r="B385" s="3" t="s">
        <v>1277</v>
      </c>
      <c r="C385" s="3" t="s">
        <v>1278</v>
      </c>
      <c r="D385" s="3" t="s">
        <v>146</v>
      </c>
      <c r="E385" s="3" t="s">
        <v>2677</v>
      </c>
      <c r="F385" s="3">
        <f>COUNTIF(C385,PickedPlayers!D:D)</f>
        <v>0</v>
      </c>
      <c r="G385" s="3" t="str">
        <f t="shared" si="5"/>
        <v>Yes</v>
      </c>
    </row>
    <row r="386" spans="1:7" hidden="1" x14ac:dyDescent="0.25">
      <c r="A386" s="3" t="s">
        <v>592</v>
      </c>
      <c r="B386" s="3" t="s">
        <v>1279</v>
      </c>
      <c r="C386" s="3" t="s">
        <v>1280</v>
      </c>
      <c r="D386" s="3" t="s">
        <v>146</v>
      </c>
      <c r="E386" s="3" t="s">
        <v>2677</v>
      </c>
      <c r="F386" s="3">
        <f>COUNTIF(C386,PickedPlayers!D:D)</f>
        <v>0</v>
      </c>
      <c r="G386" s="3" t="str">
        <f t="shared" si="5"/>
        <v>Yes</v>
      </c>
    </row>
    <row r="387" spans="1:7" hidden="1" x14ac:dyDescent="0.25">
      <c r="A387" s="3" t="s">
        <v>592</v>
      </c>
      <c r="B387" s="3" t="s">
        <v>1283</v>
      </c>
      <c r="C387" s="3" t="s">
        <v>1284</v>
      </c>
      <c r="D387" s="3" t="s">
        <v>146</v>
      </c>
      <c r="E387" s="3" t="s">
        <v>2677</v>
      </c>
      <c r="F387" s="3">
        <f>COUNTIF(C387,PickedPlayers!D:D)</f>
        <v>0</v>
      </c>
      <c r="G387" s="3" t="str">
        <f t="shared" ref="G387:G450" si="6">IF(F387&gt;0,"No","Yes")</f>
        <v>Yes</v>
      </c>
    </row>
    <row r="388" spans="1:7" hidden="1" x14ac:dyDescent="0.25">
      <c r="A388" s="3" t="s">
        <v>592</v>
      </c>
      <c r="B388" s="3" t="s">
        <v>1285</v>
      </c>
      <c r="C388" s="3" t="s">
        <v>1286</v>
      </c>
      <c r="D388" s="3" t="s">
        <v>146</v>
      </c>
      <c r="E388" s="3" t="s">
        <v>2677</v>
      </c>
      <c r="F388" s="3">
        <f>COUNTIF(C388,PickedPlayers!D:D)</f>
        <v>0</v>
      </c>
      <c r="G388" s="3" t="str">
        <f t="shared" si="6"/>
        <v>Yes</v>
      </c>
    </row>
    <row r="389" spans="1:7" hidden="1" x14ac:dyDescent="0.25">
      <c r="A389" s="3" t="s">
        <v>551</v>
      </c>
      <c r="B389" s="3" t="s">
        <v>1295</v>
      </c>
      <c r="C389" s="3" t="s">
        <v>1295</v>
      </c>
      <c r="D389" s="3" t="s">
        <v>46</v>
      </c>
      <c r="E389" s="3" t="s">
        <v>2673</v>
      </c>
      <c r="F389" s="3">
        <f>COUNTIF(C389,PickedPlayers!D:D)</f>
        <v>0</v>
      </c>
      <c r="G389" s="3" t="str">
        <f t="shared" si="6"/>
        <v>Yes</v>
      </c>
    </row>
    <row r="390" spans="1:7" hidden="1" x14ac:dyDescent="0.25">
      <c r="A390" s="3" t="s">
        <v>551</v>
      </c>
      <c r="B390" s="3" t="s">
        <v>1296</v>
      </c>
      <c r="C390" s="3" t="s">
        <v>1296</v>
      </c>
      <c r="D390" s="3" t="s">
        <v>46</v>
      </c>
      <c r="E390" s="3" t="s">
        <v>2673</v>
      </c>
      <c r="F390" s="3">
        <f>COUNTIF(C390,PickedPlayers!D:D)</f>
        <v>0</v>
      </c>
      <c r="G390" s="3" t="str">
        <f t="shared" si="6"/>
        <v>Yes</v>
      </c>
    </row>
    <row r="391" spans="1:7" hidden="1" x14ac:dyDescent="0.25">
      <c r="A391" s="3" t="s">
        <v>551</v>
      </c>
      <c r="B391" s="3" t="s">
        <v>1293</v>
      </c>
      <c r="C391" s="3" t="s">
        <v>1293</v>
      </c>
      <c r="D391" s="3" t="s">
        <v>46</v>
      </c>
      <c r="E391" s="3" t="s">
        <v>2673</v>
      </c>
      <c r="F391" s="3">
        <f>COUNTIF(C391,PickedPlayers!D:D)</f>
        <v>0</v>
      </c>
      <c r="G391" s="3" t="str">
        <f t="shared" si="6"/>
        <v>Yes</v>
      </c>
    </row>
    <row r="392" spans="1:7" hidden="1" x14ac:dyDescent="0.25">
      <c r="A392" s="3" t="s">
        <v>551</v>
      </c>
      <c r="B392" s="3" t="s">
        <v>1294</v>
      </c>
      <c r="C392" s="3" t="s">
        <v>1294</v>
      </c>
      <c r="D392" s="3" t="s">
        <v>46</v>
      </c>
      <c r="E392" s="3" t="s">
        <v>2673</v>
      </c>
      <c r="F392" s="3">
        <f>COUNTIF(C392,PickedPlayers!D:D)</f>
        <v>0</v>
      </c>
      <c r="G392" s="3" t="str">
        <f t="shared" si="6"/>
        <v>Yes</v>
      </c>
    </row>
    <row r="393" spans="1:7" hidden="1" x14ac:dyDescent="0.25">
      <c r="A393" s="3" t="s">
        <v>558</v>
      </c>
      <c r="B393" s="3" t="s">
        <v>1300</v>
      </c>
      <c r="C393" s="3" t="s">
        <v>1300</v>
      </c>
      <c r="D393" s="3" t="s">
        <v>46</v>
      </c>
      <c r="E393" s="3" t="s">
        <v>2674</v>
      </c>
      <c r="F393" s="3">
        <f>COUNTIF(C393,PickedPlayers!D:D)</f>
        <v>0</v>
      </c>
      <c r="G393" s="3" t="str">
        <f t="shared" si="6"/>
        <v>Yes</v>
      </c>
    </row>
    <row r="394" spans="1:7" hidden="1" x14ac:dyDescent="0.25">
      <c r="A394" s="3" t="s">
        <v>558</v>
      </c>
      <c r="B394" s="3" t="s">
        <v>1301</v>
      </c>
      <c r="C394" s="3" t="s">
        <v>1301</v>
      </c>
      <c r="D394" s="3" t="s">
        <v>46</v>
      </c>
      <c r="E394" s="3" t="s">
        <v>2674</v>
      </c>
      <c r="F394" s="3">
        <f>COUNTIF(C394,PickedPlayers!D:D)</f>
        <v>0</v>
      </c>
      <c r="G394" s="3" t="str">
        <f t="shared" si="6"/>
        <v>Yes</v>
      </c>
    </row>
    <row r="395" spans="1:7" hidden="1" x14ac:dyDescent="0.25">
      <c r="A395" s="3" t="s">
        <v>558</v>
      </c>
      <c r="B395" s="3" t="s">
        <v>1302</v>
      </c>
      <c r="C395" s="3" t="s">
        <v>1302</v>
      </c>
      <c r="D395" s="3" t="s">
        <v>46</v>
      </c>
      <c r="E395" s="3" t="s">
        <v>2674</v>
      </c>
      <c r="F395" s="3">
        <f>COUNTIF(C395,PickedPlayers!D:D)</f>
        <v>0</v>
      </c>
      <c r="G395" s="3" t="str">
        <f t="shared" si="6"/>
        <v>Yes</v>
      </c>
    </row>
    <row r="396" spans="1:7" hidden="1" x14ac:dyDescent="0.25">
      <c r="A396" s="3" t="s">
        <v>558</v>
      </c>
      <c r="B396" s="3" t="s">
        <v>1298</v>
      </c>
      <c r="C396" s="3" t="s">
        <v>1298</v>
      </c>
      <c r="D396" s="3" t="s">
        <v>46</v>
      </c>
      <c r="E396" s="3" t="s">
        <v>2674</v>
      </c>
      <c r="F396" s="3">
        <f>COUNTIF(C396,PickedPlayers!D:D)</f>
        <v>0</v>
      </c>
      <c r="G396" s="3" t="str">
        <f t="shared" si="6"/>
        <v>Yes</v>
      </c>
    </row>
    <row r="397" spans="1:7" hidden="1" x14ac:dyDescent="0.25">
      <c r="A397" s="3" t="s">
        <v>558</v>
      </c>
      <c r="B397" s="3" t="s">
        <v>1299</v>
      </c>
      <c r="C397" s="3" t="s">
        <v>1299</v>
      </c>
      <c r="D397" s="3" t="s">
        <v>46</v>
      </c>
      <c r="E397" s="3" t="s">
        <v>2674</v>
      </c>
      <c r="F397" s="3">
        <f>COUNTIF(C397,PickedPlayers!D:D)</f>
        <v>0</v>
      </c>
      <c r="G397" s="3" t="str">
        <f t="shared" si="6"/>
        <v>Yes</v>
      </c>
    </row>
    <row r="398" spans="1:7" hidden="1" x14ac:dyDescent="0.25">
      <c r="A398" s="3" t="s">
        <v>558</v>
      </c>
      <c r="B398" s="3" t="s">
        <v>1303</v>
      </c>
      <c r="C398" s="3" t="s">
        <v>1303</v>
      </c>
      <c r="D398" s="3" t="s">
        <v>46</v>
      </c>
      <c r="E398" s="3" t="s">
        <v>2674</v>
      </c>
      <c r="F398" s="3">
        <f>COUNTIF(C398,PickedPlayers!D:D)</f>
        <v>0</v>
      </c>
      <c r="G398" s="3" t="str">
        <f t="shared" si="6"/>
        <v>Yes</v>
      </c>
    </row>
    <row r="399" spans="1:7" hidden="1" x14ac:dyDescent="0.25">
      <c r="A399" s="3" t="s">
        <v>558</v>
      </c>
      <c r="B399" s="3" t="s">
        <v>1304</v>
      </c>
      <c r="C399" s="3" t="s">
        <v>1304</v>
      </c>
      <c r="D399" s="3" t="s">
        <v>46</v>
      </c>
      <c r="E399" s="3" t="s">
        <v>2674</v>
      </c>
      <c r="F399" s="3">
        <f>COUNTIF(C399,PickedPlayers!D:D)</f>
        <v>0</v>
      </c>
      <c r="G399" s="3" t="str">
        <f t="shared" si="6"/>
        <v>Yes</v>
      </c>
    </row>
    <row r="400" spans="1:7" hidden="1" x14ac:dyDescent="0.25">
      <c r="A400" s="3" t="s">
        <v>558</v>
      </c>
      <c r="B400" s="3" t="s">
        <v>1297</v>
      </c>
      <c r="C400" s="3" t="s">
        <v>1297</v>
      </c>
      <c r="D400" s="3" t="s">
        <v>46</v>
      </c>
      <c r="E400" s="3" t="s">
        <v>2674</v>
      </c>
      <c r="F400" s="3">
        <f>COUNTIF(C400,PickedPlayers!D:D)</f>
        <v>0</v>
      </c>
      <c r="G400" s="3" t="str">
        <f t="shared" si="6"/>
        <v>Yes</v>
      </c>
    </row>
    <row r="401" spans="1:7" x14ac:dyDescent="0.25">
      <c r="A401" s="3" t="s">
        <v>577</v>
      </c>
      <c r="B401" s="3" t="s">
        <v>1305</v>
      </c>
      <c r="C401" s="3" t="s">
        <v>1305</v>
      </c>
      <c r="D401" s="3" t="s">
        <v>46</v>
      </c>
      <c r="E401" s="3" t="s">
        <v>2675</v>
      </c>
      <c r="F401" s="3">
        <f>COUNTIF(C401,PickedPlayers!D:D)</f>
        <v>0</v>
      </c>
      <c r="G401" s="3" t="str">
        <f t="shared" si="6"/>
        <v>Yes</v>
      </c>
    </row>
    <row r="402" spans="1:7" x14ac:dyDescent="0.25">
      <c r="A402" s="3" t="s">
        <v>577</v>
      </c>
      <c r="B402" s="3" t="s">
        <v>1307</v>
      </c>
      <c r="C402" s="3" t="s">
        <v>1307</v>
      </c>
      <c r="D402" s="3" t="s">
        <v>46</v>
      </c>
      <c r="E402" s="3" t="s">
        <v>2675</v>
      </c>
      <c r="F402" s="3">
        <f>COUNTIF(C402,PickedPlayers!D:D)</f>
        <v>0</v>
      </c>
      <c r="G402" s="3" t="str">
        <f t="shared" si="6"/>
        <v>Yes</v>
      </c>
    </row>
    <row r="403" spans="1:7" x14ac:dyDescent="0.25">
      <c r="A403" s="3" t="s">
        <v>577</v>
      </c>
      <c r="B403" s="3" t="s">
        <v>1308</v>
      </c>
      <c r="C403" s="3" t="s">
        <v>1308</v>
      </c>
      <c r="D403" s="3" t="s">
        <v>46</v>
      </c>
      <c r="E403" s="3" t="s">
        <v>2675</v>
      </c>
      <c r="F403" s="3">
        <f>COUNTIF(C403,PickedPlayers!D:D)</f>
        <v>0</v>
      </c>
      <c r="G403" s="3" t="str">
        <f t="shared" si="6"/>
        <v>Yes</v>
      </c>
    </row>
    <row r="404" spans="1:7" x14ac:dyDescent="0.25">
      <c r="A404" s="3" t="s">
        <v>577</v>
      </c>
      <c r="B404" s="3" t="s">
        <v>1306</v>
      </c>
      <c r="C404" s="3" t="s">
        <v>1306</v>
      </c>
      <c r="D404" s="3" t="s">
        <v>46</v>
      </c>
      <c r="E404" s="3" t="s">
        <v>2675</v>
      </c>
      <c r="F404" s="3">
        <f>COUNTIF(C404,PickedPlayers!D:D)</f>
        <v>0</v>
      </c>
      <c r="G404" s="3" t="str">
        <f t="shared" si="6"/>
        <v>Yes</v>
      </c>
    </row>
    <row r="405" spans="1:7" x14ac:dyDescent="0.25">
      <c r="A405" s="3" t="s">
        <v>577</v>
      </c>
      <c r="B405" s="3" t="s">
        <v>1309</v>
      </c>
      <c r="C405" s="3" t="s">
        <v>1309</v>
      </c>
      <c r="D405" s="3" t="s">
        <v>46</v>
      </c>
      <c r="E405" s="3" t="s">
        <v>2675</v>
      </c>
      <c r="F405" s="3">
        <f>COUNTIF(C405,PickedPlayers!D:D)</f>
        <v>0</v>
      </c>
      <c r="G405" s="3" t="str">
        <f t="shared" si="6"/>
        <v>Yes</v>
      </c>
    </row>
    <row r="406" spans="1:7" x14ac:dyDescent="0.25">
      <c r="A406" s="3" t="s">
        <v>577</v>
      </c>
      <c r="B406" s="3" t="s">
        <v>1311</v>
      </c>
      <c r="C406" s="3" t="s">
        <v>1311</v>
      </c>
      <c r="D406" s="3" t="s">
        <v>46</v>
      </c>
      <c r="E406" s="3" t="s">
        <v>2675</v>
      </c>
      <c r="F406" s="3">
        <f>COUNTIF(C406,PickedPlayers!D:D)</f>
        <v>0</v>
      </c>
      <c r="G406" s="3" t="str">
        <f t="shared" si="6"/>
        <v>Yes</v>
      </c>
    </row>
    <row r="407" spans="1:7" x14ac:dyDescent="0.25">
      <c r="A407" s="3" t="s">
        <v>577</v>
      </c>
      <c r="B407" s="3" t="s">
        <v>1310</v>
      </c>
      <c r="C407" s="3" t="s">
        <v>1310</v>
      </c>
      <c r="D407" s="3" t="s">
        <v>46</v>
      </c>
      <c r="E407" s="3" t="s">
        <v>2675</v>
      </c>
      <c r="F407" s="3">
        <f>COUNTIF(C407,PickedPlayers!D:D)</f>
        <v>0</v>
      </c>
      <c r="G407" s="3" t="str">
        <f t="shared" si="6"/>
        <v>Yes</v>
      </c>
    </row>
    <row r="408" spans="1:7" hidden="1" x14ac:dyDescent="0.25">
      <c r="A408" s="3" t="s">
        <v>592</v>
      </c>
      <c r="B408" s="3" t="s">
        <v>1313</v>
      </c>
      <c r="C408" s="3" t="s">
        <v>1313</v>
      </c>
      <c r="D408" s="3" t="s">
        <v>46</v>
      </c>
      <c r="E408" s="3" t="s">
        <v>2677</v>
      </c>
      <c r="F408" s="3">
        <f>COUNTIF(C408,PickedPlayers!D:D)</f>
        <v>0</v>
      </c>
      <c r="G408" s="3" t="str">
        <f t="shared" si="6"/>
        <v>Yes</v>
      </c>
    </row>
    <row r="409" spans="1:7" hidden="1" x14ac:dyDescent="0.25">
      <c r="A409" s="3" t="s">
        <v>592</v>
      </c>
      <c r="B409" s="3" t="s">
        <v>1314</v>
      </c>
      <c r="C409" s="3" t="s">
        <v>1314</v>
      </c>
      <c r="D409" s="3" t="s">
        <v>46</v>
      </c>
      <c r="E409" s="3" t="s">
        <v>2677</v>
      </c>
      <c r="F409" s="3">
        <f>COUNTIF(C409,PickedPlayers!D:D)</f>
        <v>0</v>
      </c>
      <c r="G409" s="3" t="str">
        <f t="shared" si="6"/>
        <v>Yes</v>
      </c>
    </row>
    <row r="410" spans="1:7" hidden="1" x14ac:dyDescent="0.25">
      <c r="A410" s="3" t="s">
        <v>592</v>
      </c>
      <c r="B410" s="3" t="s">
        <v>1315</v>
      </c>
      <c r="C410" s="3" t="s">
        <v>1315</v>
      </c>
      <c r="D410" s="3" t="s">
        <v>46</v>
      </c>
      <c r="E410" s="3" t="s">
        <v>2677</v>
      </c>
      <c r="F410" s="3">
        <f>COUNTIF(C410,PickedPlayers!D:D)</f>
        <v>0</v>
      </c>
      <c r="G410" s="3" t="str">
        <f t="shared" si="6"/>
        <v>Yes</v>
      </c>
    </row>
    <row r="411" spans="1:7" hidden="1" x14ac:dyDescent="0.25">
      <c r="A411" s="3" t="s">
        <v>592</v>
      </c>
      <c r="B411" s="3" t="s">
        <v>418</v>
      </c>
      <c r="C411" s="3" t="s">
        <v>418</v>
      </c>
      <c r="D411" s="3" t="s">
        <v>46</v>
      </c>
      <c r="E411" s="3" t="s">
        <v>2677</v>
      </c>
      <c r="F411" s="3">
        <f>COUNTIF(C411,PickedPlayers!D:D)</f>
        <v>0</v>
      </c>
      <c r="G411" s="3" t="str">
        <f t="shared" si="6"/>
        <v>Yes</v>
      </c>
    </row>
    <row r="412" spans="1:7" hidden="1" x14ac:dyDescent="0.25">
      <c r="A412" s="3" t="s">
        <v>592</v>
      </c>
      <c r="B412" s="3" t="s">
        <v>1317</v>
      </c>
      <c r="C412" s="3" t="s">
        <v>1317</v>
      </c>
      <c r="D412" s="3" t="s">
        <v>46</v>
      </c>
      <c r="E412" s="3" t="s">
        <v>2677</v>
      </c>
      <c r="F412" s="3">
        <f>COUNTIF(C412,PickedPlayers!D:D)</f>
        <v>0</v>
      </c>
      <c r="G412" s="3" t="str">
        <f t="shared" si="6"/>
        <v>Yes</v>
      </c>
    </row>
    <row r="413" spans="1:7" hidden="1" x14ac:dyDescent="0.25">
      <c r="A413" s="3" t="s">
        <v>592</v>
      </c>
      <c r="B413" s="3" t="s">
        <v>1316</v>
      </c>
      <c r="C413" s="3" t="s">
        <v>1316</v>
      </c>
      <c r="D413" s="3" t="s">
        <v>46</v>
      </c>
      <c r="E413" s="3" t="s">
        <v>2677</v>
      </c>
      <c r="F413" s="3">
        <f>COUNTIF(C413,PickedPlayers!D:D)</f>
        <v>0</v>
      </c>
      <c r="G413" s="3" t="str">
        <f t="shared" si="6"/>
        <v>Yes</v>
      </c>
    </row>
    <row r="414" spans="1:7" hidden="1" x14ac:dyDescent="0.25">
      <c r="A414" s="3" t="s">
        <v>592</v>
      </c>
      <c r="B414" s="3" t="s">
        <v>1312</v>
      </c>
      <c r="C414" s="3" t="s">
        <v>1312</v>
      </c>
      <c r="D414" s="3" t="s">
        <v>46</v>
      </c>
      <c r="E414" s="3" t="s">
        <v>2677</v>
      </c>
      <c r="F414" s="3">
        <f>COUNTIF(C414,PickedPlayers!D:D)</f>
        <v>0</v>
      </c>
      <c r="G414" s="3" t="str">
        <f t="shared" si="6"/>
        <v>Yes</v>
      </c>
    </row>
    <row r="415" spans="1:7" hidden="1" x14ac:dyDescent="0.25">
      <c r="A415" s="3" t="s">
        <v>551</v>
      </c>
      <c r="B415" s="3" t="s">
        <v>1321</v>
      </c>
      <c r="C415" s="3" t="s">
        <v>1322</v>
      </c>
      <c r="D415" s="3" t="s">
        <v>109</v>
      </c>
      <c r="E415" s="3" t="s">
        <v>2673</v>
      </c>
      <c r="F415" s="3">
        <f>COUNTIF(C415,PickedPlayers!D:D)</f>
        <v>0</v>
      </c>
      <c r="G415" s="3" t="str">
        <f t="shared" si="6"/>
        <v>Yes</v>
      </c>
    </row>
    <row r="416" spans="1:7" hidden="1" x14ac:dyDescent="0.25">
      <c r="A416" s="3" t="s">
        <v>551</v>
      </c>
      <c r="B416" s="3" t="s">
        <v>1318</v>
      </c>
      <c r="C416" s="3" t="s">
        <v>334</v>
      </c>
      <c r="D416" s="3" t="s">
        <v>109</v>
      </c>
      <c r="E416" s="3" t="s">
        <v>2673</v>
      </c>
      <c r="F416" s="3">
        <f>COUNTIF(C416,PickedPlayers!D:D)</f>
        <v>0</v>
      </c>
      <c r="G416" s="3" t="str">
        <f t="shared" si="6"/>
        <v>Yes</v>
      </c>
    </row>
    <row r="417" spans="1:7" hidden="1" x14ac:dyDescent="0.25">
      <c r="A417" s="3" t="s">
        <v>551</v>
      </c>
      <c r="B417" s="3" t="s">
        <v>1319</v>
      </c>
      <c r="C417" s="3" t="s">
        <v>1320</v>
      </c>
      <c r="D417" s="3" t="s">
        <v>109</v>
      </c>
      <c r="E417" s="3" t="s">
        <v>2673</v>
      </c>
      <c r="F417" s="3">
        <f>COUNTIF(C417,PickedPlayers!D:D)</f>
        <v>0</v>
      </c>
      <c r="G417" s="3" t="str">
        <f t="shared" si="6"/>
        <v>Yes</v>
      </c>
    </row>
    <row r="418" spans="1:7" hidden="1" x14ac:dyDescent="0.25">
      <c r="A418" s="3" t="s">
        <v>558</v>
      </c>
      <c r="B418" s="3" t="s">
        <v>1324</v>
      </c>
      <c r="C418" s="3" t="s">
        <v>1325</v>
      </c>
      <c r="D418" s="3" t="s">
        <v>109</v>
      </c>
      <c r="E418" s="3" t="s">
        <v>2674</v>
      </c>
      <c r="F418" s="3">
        <f>COUNTIF(C418,PickedPlayers!D:D)</f>
        <v>0</v>
      </c>
      <c r="G418" s="3" t="str">
        <f t="shared" si="6"/>
        <v>Yes</v>
      </c>
    </row>
    <row r="419" spans="1:7" hidden="1" x14ac:dyDescent="0.25">
      <c r="A419" s="3" t="s">
        <v>558</v>
      </c>
      <c r="B419" s="3" t="s">
        <v>1329</v>
      </c>
      <c r="C419" s="3" t="s">
        <v>1330</v>
      </c>
      <c r="D419" s="3" t="s">
        <v>109</v>
      </c>
      <c r="E419" s="3" t="s">
        <v>2674</v>
      </c>
      <c r="F419" s="3">
        <f>COUNTIF(C419,PickedPlayers!D:D)</f>
        <v>0</v>
      </c>
      <c r="G419" s="3" t="str">
        <f t="shared" si="6"/>
        <v>Yes</v>
      </c>
    </row>
    <row r="420" spans="1:7" hidden="1" x14ac:dyDescent="0.25">
      <c r="A420" s="3" t="s">
        <v>558</v>
      </c>
      <c r="B420" s="3" t="s">
        <v>1323</v>
      </c>
      <c r="C420" s="3" t="s">
        <v>442</v>
      </c>
      <c r="D420" s="3" t="s">
        <v>109</v>
      </c>
      <c r="E420" s="3" t="s">
        <v>2674</v>
      </c>
      <c r="F420" s="3">
        <f>COUNTIF(C420,PickedPlayers!D:D)</f>
        <v>0</v>
      </c>
      <c r="G420" s="3" t="str">
        <f t="shared" si="6"/>
        <v>Yes</v>
      </c>
    </row>
    <row r="421" spans="1:7" hidden="1" x14ac:dyDescent="0.25">
      <c r="A421" s="3" t="s">
        <v>558</v>
      </c>
      <c r="B421" s="3" t="s">
        <v>1332</v>
      </c>
      <c r="C421" s="3" t="s">
        <v>1333</v>
      </c>
      <c r="D421" s="3" t="s">
        <v>109</v>
      </c>
      <c r="E421" s="3" t="s">
        <v>2674</v>
      </c>
      <c r="F421" s="3">
        <f>COUNTIF(C421,PickedPlayers!D:D)</f>
        <v>0</v>
      </c>
      <c r="G421" s="3" t="str">
        <f t="shared" si="6"/>
        <v>Yes</v>
      </c>
    </row>
    <row r="422" spans="1:7" hidden="1" x14ac:dyDescent="0.25">
      <c r="A422" s="3" t="s">
        <v>558</v>
      </c>
      <c r="B422" s="3" t="s">
        <v>1328</v>
      </c>
      <c r="C422" s="3" t="s">
        <v>454</v>
      </c>
      <c r="D422" s="3" t="s">
        <v>109</v>
      </c>
      <c r="E422" s="3" t="s">
        <v>2674</v>
      </c>
      <c r="F422" s="3">
        <f>COUNTIF(C422,PickedPlayers!D:D)</f>
        <v>0</v>
      </c>
      <c r="G422" s="3" t="str">
        <f t="shared" si="6"/>
        <v>Yes</v>
      </c>
    </row>
    <row r="423" spans="1:7" hidden="1" x14ac:dyDescent="0.25">
      <c r="A423" s="3" t="s">
        <v>558</v>
      </c>
      <c r="B423" s="3" t="s">
        <v>1331</v>
      </c>
      <c r="C423" s="3" t="s">
        <v>356</v>
      </c>
      <c r="D423" s="3" t="s">
        <v>109</v>
      </c>
      <c r="E423" s="3" t="s">
        <v>2674</v>
      </c>
      <c r="F423" s="3">
        <f>COUNTIF(C423,PickedPlayers!D:D)</f>
        <v>0</v>
      </c>
      <c r="G423" s="3" t="str">
        <f t="shared" si="6"/>
        <v>Yes</v>
      </c>
    </row>
    <row r="424" spans="1:7" hidden="1" x14ac:dyDescent="0.25">
      <c r="A424" s="3" t="s">
        <v>558</v>
      </c>
      <c r="B424" s="3" t="s">
        <v>1326</v>
      </c>
      <c r="C424" s="3" t="s">
        <v>350</v>
      </c>
      <c r="D424" s="3" t="s">
        <v>109</v>
      </c>
      <c r="E424" s="3" t="s">
        <v>2674</v>
      </c>
      <c r="F424" s="3">
        <f>COUNTIF(C424,PickedPlayers!D:D)</f>
        <v>0</v>
      </c>
      <c r="G424" s="3" t="str">
        <f t="shared" si="6"/>
        <v>Yes</v>
      </c>
    </row>
    <row r="425" spans="1:7" hidden="1" x14ac:dyDescent="0.25">
      <c r="A425" s="3" t="s">
        <v>558</v>
      </c>
      <c r="B425" s="3" t="s">
        <v>1327</v>
      </c>
      <c r="C425" s="3" t="s">
        <v>450</v>
      </c>
      <c r="D425" s="3" t="s">
        <v>109</v>
      </c>
      <c r="E425" s="3" t="s">
        <v>2674</v>
      </c>
      <c r="F425" s="3">
        <f>COUNTIF(C425,PickedPlayers!D:D)</f>
        <v>0</v>
      </c>
      <c r="G425" s="3" t="str">
        <f t="shared" si="6"/>
        <v>Yes</v>
      </c>
    </row>
    <row r="426" spans="1:7" hidden="1" x14ac:dyDescent="0.25">
      <c r="A426" s="3" t="s">
        <v>558</v>
      </c>
      <c r="B426" s="3" t="s">
        <v>1334</v>
      </c>
      <c r="C426" s="3" t="s">
        <v>1335</v>
      </c>
      <c r="D426" s="3" t="s">
        <v>109</v>
      </c>
      <c r="E426" s="3" t="s">
        <v>2674</v>
      </c>
      <c r="F426" s="3">
        <f>COUNTIF(C426,PickedPlayers!D:D)</f>
        <v>0</v>
      </c>
      <c r="G426" s="3" t="str">
        <f t="shared" si="6"/>
        <v>Yes</v>
      </c>
    </row>
    <row r="427" spans="1:7" x14ac:dyDescent="0.25">
      <c r="A427" s="3" t="s">
        <v>577</v>
      </c>
      <c r="B427" s="3" t="s">
        <v>1336</v>
      </c>
      <c r="C427" s="3" t="s">
        <v>380</v>
      </c>
      <c r="D427" s="3" t="s">
        <v>109</v>
      </c>
      <c r="E427" s="3" t="s">
        <v>2675</v>
      </c>
      <c r="F427" s="3">
        <f>COUNTIF(C427,PickedPlayers!D:D)</f>
        <v>0</v>
      </c>
      <c r="G427" s="3" t="str">
        <f t="shared" si="6"/>
        <v>Yes</v>
      </c>
    </row>
    <row r="428" spans="1:7" x14ac:dyDescent="0.25">
      <c r="A428" s="3" t="s">
        <v>577</v>
      </c>
      <c r="B428" s="3" t="s">
        <v>1339</v>
      </c>
      <c r="C428" s="3" t="s">
        <v>396</v>
      </c>
      <c r="D428" s="3" t="s">
        <v>109</v>
      </c>
      <c r="E428" s="3" t="s">
        <v>2675</v>
      </c>
      <c r="F428" s="3">
        <f>COUNTIF(C428,PickedPlayers!D:D)</f>
        <v>0</v>
      </c>
      <c r="G428" s="3" t="str">
        <f t="shared" si="6"/>
        <v>Yes</v>
      </c>
    </row>
    <row r="429" spans="1:7" x14ac:dyDescent="0.25">
      <c r="A429" s="3" t="s">
        <v>577</v>
      </c>
      <c r="B429" s="3" t="s">
        <v>1343</v>
      </c>
      <c r="C429" s="3" t="s">
        <v>1344</v>
      </c>
      <c r="D429" s="3" t="s">
        <v>109</v>
      </c>
      <c r="E429" s="3" t="s">
        <v>2675</v>
      </c>
      <c r="F429" s="3">
        <f>COUNTIF(C429,PickedPlayers!D:D)</f>
        <v>0</v>
      </c>
      <c r="G429" s="3" t="str">
        <f t="shared" si="6"/>
        <v>Yes</v>
      </c>
    </row>
    <row r="430" spans="1:7" x14ac:dyDescent="0.25">
      <c r="A430" s="3" t="s">
        <v>577</v>
      </c>
      <c r="B430" s="3" t="s">
        <v>1342</v>
      </c>
      <c r="C430" s="3" t="s">
        <v>312</v>
      </c>
      <c r="D430" s="3" t="s">
        <v>109</v>
      </c>
      <c r="E430" s="3" t="s">
        <v>2675</v>
      </c>
      <c r="F430" s="3">
        <f>COUNTIF(C430,PickedPlayers!D:D)</f>
        <v>0</v>
      </c>
      <c r="G430" s="3" t="str">
        <f t="shared" si="6"/>
        <v>Yes</v>
      </c>
    </row>
    <row r="431" spans="1:7" x14ac:dyDescent="0.25">
      <c r="A431" s="3" t="s">
        <v>577</v>
      </c>
      <c r="B431" s="3" t="s">
        <v>1337</v>
      </c>
      <c r="C431" s="3" t="s">
        <v>1338</v>
      </c>
      <c r="D431" s="3" t="s">
        <v>109</v>
      </c>
      <c r="E431" s="3" t="s">
        <v>2675</v>
      </c>
      <c r="F431" s="3">
        <f>COUNTIF(C431,PickedPlayers!D:D)</f>
        <v>0</v>
      </c>
      <c r="G431" s="3" t="str">
        <f t="shared" si="6"/>
        <v>Yes</v>
      </c>
    </row>
    <row r="432" spans="1:7" x14ac:dyDescent="0.25">
      <c r="A432" s="3" t="s">
        <v>577</v>
      </c>
      <c r="B432" s="3" t="s">
        <v>1340</v>
      </c>
      <c r="C432" s="3" t="s">
        <v>1341</v>
      </c>
      <c r="D432" s="3" t="s">
        <v>109</v>
      </c>
      <c r="E432" s="3" t="s">
        <v>2675</v>
      </c>
      <c r="F432" s="3">
        <f>COUNTIF(C432,PickedPlayers!D:D)</f>
        <v>0</v>
      </c>
      <c r="G432" s="3" t="str">
        <f t="shared" si="6"/>
        <v>Yes</v>
      </c>
    </row>
    <row r="433" spans="1:7" hidden="1" x14ac:dyDescent="0.25">
      <c r="A433" s="3" t="s">
        <v>592</v>
      </c>
      <c r="B433" s="3" t="s">
        <v>1346</v>
      </c>
      <c r="C433" s="3" t="s">
        <v>1347</v>
      </c>
      <c r="D433" s="3" t="s">
        <v>109</v>
      </c>
      <c r="E433" s="3" t="s">
        <v>2677</v>
      </c>
      <c r="F433" s="3">
        <f>COUNTIF(C433,PickedPlayers!D:D)</f>
        <v>0</v>
      </c>
      <c r="G433" s="3" t="str">
        <f t="shared" si="6"/>
        <v>Yes</v>
      </c>
    </row>
    <row r="434" spans="1:7" hidden="1" x14ac:dyDescent="0.25">
      <c r="A434" s="3" t="s">
        <v>592</v>
      </c>
      <c r="B434" s="3" t="s">
        <v>1345</v>
      </c>
      <c r="C434" s="3" t="s">
        <v>318</v>
      </c>
      <c r="D434" s="3" t="s">
        <v>109</v>
      </c>
      <c r="E434" s="3" t="s">
        <v>2677</v>
      </c>
      <c r="F434" s="3">
        <f>COUNTIF(C434,PickedPlayers!D:D)</f>
        <v>0</v>
      </c>
      <c r="G434" s="3" t="str">
        <f t="shared" si="6"/>
        <v>Yes</v>
      </c>
    </row>
    <row r="435" spans="1:7" hidden="1" x14ac:dyDescent="0.25">
      <c r="A435" s="3" t="s">
        <v>592</v>
      </c>
      <c r="B435" s="3" t="s">
        <v>1348</v>
      </c>
      <c r="C435" s="3" t="s">
        <v>278</v>
      </c>
      <c r="D435" s="3" t="s">
        <v>109</v>
      </c>
      <c r="E435" s="3" t="s">
        <v>2677</v>
      </c>
      <c r="F435" s="3">
        <f>COUNTIF(C435,PickedPlayers!D:D)</f>
        <v>0</v>
      </c>
      <c r="G435" s="3" t="str">
        <f t="shared" si="6"/>
        <v>Yes</v>
      </c>
    </row>
    <row r="436" spans="1:7" hidden="1" x14ac:dyDescent="0.25">
      <c r="A436" s="3" t="s">
        <v>592</v>
      </c>
      <c r="B436" s="3" t="s">
        <v>1354</v>
      </c>
      <c r="C436" s="3" t="s">
        <v>1355</v>
      </c>
      <c r="D436" s="3" t="s">
        <v>109</v>
      </c>
      <c r="E436" s="3" t="s">
        <v>2677</v>
      </c>
      <c r="F436" s="3">
        <f>COUNTIF(C436,PickedPlayers!D:D)</f>
        <v>0</v>
      </c>
      <c r="G436" s="3" t="str">
        <f t="shared" si="6"/>
        <v>Yes</v>
      </c>
    </row>
    <row r="437" spans="1:7" hidden="1" x14ac:dyDescent="0.25">
      <c r="A437" s="3" t="s">
        <v>592</v>
      </c>
      <c r="B437" s="3" t="s">
        <v>1350</v>
      </c>
      <c r="C437" s="3" t="s">
        <v>499</v>
      </c>
      <c r="D437" s="3" t="s">
        <v>109</v>
      </c>
      <c r="E437" s="3" t="s">
        <v>2677</v>
      </c>
      <c r="F437" s="3">
        <f>COUNTIF(C437,PickedPlayers!D:D)</f>
        <v>0</v>
      </c>
      <c r="G437" s="3" t="str">
        <f t="shared" si="6"/>
        <v>Yes</v>
      </c>
    </row>
    <row r="438" spans="1:7" hidden="1" x14ac:dyDescent="0.25">
      <c r="A438" s="3" t="s">
        <v>592</v>
      </c>
      <c r="B438" s="3" t="s">
        <v>1353</v>
      </c>
      <c r="C438" s="3" t="s">
        <v>495</v>
      </c>
      <c r="D438" s="3" t="s">
        <v>109</v>
      </c>
      <c r="E438" s="3" t="s">
        <v>2677</v>
      </c>
      <c r="F438" s="3">
        <f>COUNTIF(C438,PickedPlayers!D:D)</f>
        <v>0</v>
      </c>
      <c r="G438" s="3" t="str">
        <f t="shared" si="6"/>
        <v>Yes</v>
      </c>
    </row>
    <row r="439" spans="1:7" hidden="1" x14ac:dyDescent="0.25">
      <c r="A439" s="3" t="s">
        <v>592</v>
      </c>
      <c r="B439" s="3" t="s">
        <v>1351</v>
      </c>
      <c r="C439" s="3" t="s">
        <v>1352</v>
      </c>
      <c r="D439" s="3" t="s">
        <v>109</v>
      </c>
      <c r="E439" s="3" t="s">
        <v>2677</v>
      </c>
      <c r="F439" s="3">
        <f>COUNTIF(C439,PickedPlayers!D:D)</f>
        <v>0</v>
      </c>
      <c r="G439" s="3" t="str">
        <f t="shared" si="6"/>
        <v>Yes</v>
      </c>
    </row>
    <row r="440" spans="1:7" hidden="1" x14ac:dyDescent="0.25">
      <c r="A440" s="3" t="s">
        <v>592</v>
      </c>
      <c r="B440" s="3" t="s">
        <v>1349</v>
      </c>
      <c r="C440" s="3" t="s">
        <v>515</v>
      </c>
      <c r="D440" s="3" t="s">
        <v>109</v>
      </c>
      <c r="E440" s="3" t="s">
        <v>2677</v>
      </c>
      <c r="F440" s="3">
        <f>COUNTIF(C440,PickedPlayers!D:D)</f>
        <v>0</v>
      </c>
      <c r="G440" s="3" t="str">
        <f t="shared" si="6"/>
        <v>Yes</v>
      </c>
    </row>
    <row r="441" spans="1:7" hidden="1" x14ac:dyDescent="0.25">
      <c r="A441" s="3" t="s">
        <v>551</v>
      </c>
      <c r="B441" s="3" t="s">
        <v>1356</v>
      </c>
      <c r="C441" s="3" t="s">
        <v>1357</v>
      </c>
      <c r="D441" s="3" t="s">
        <v>61</v>
      </c>
      <c r="E441" s="3" t="s">
        <v>2673</v>
      </c>
      <c r="F441" s="3">
        <f>COUNTIF(C441,PickedPlayers!D:D)</f>
        <v>0</v>
      </c>
      <c r="G441" s="3" t="str">
        <f t="shared" si="6"/>
        <v>Yes</v>
      </c>
    </row>
    <row r="442" spans="1:7" hidden="1" x14ac:dyDescent="0.25">
      <c r="A442" s="3" t="s">
        <v>551</v>
      </c>
      <c r="B442" s="3" t="s">
        <v>1360</v>
      </c>
      <c r="C442" s="3" t="s">
        <v>368</v>
      </c>
      <c r="D442" s="3" t="s">
        <v>61</v>
      </c>
      <c r="E442" s="3" t="s">
        <v>2673</v>
      </c>
      <c r="F442" s="3">
        <f>COUNTIF(C442,PickedPlayers!D:D)</f>
        <v>0</v>
      </c>
      <c r="G442" s="3" t="str">
        <f t="shared" si="6"/>
        <v>Yes</v>
      </c>
    </row>
    <row r="443" spans="1:7" hidden="1" x14ac:dyDescent="0.25">
      <c r="A443" s="3" t="s">
        <v>551</v>
      </c>
      <c r="B443" s="3" t="s">
        <v>1358</v>
      </c>
      <c r="C443" s="3" t="s">
        <v>1359</v>
      </c>
      <c r="D443" s="3" t="s">
        <v>61</v>
      </c>
      <c r="E443" s="3" t="s">
        <v>2673</v>
      </c>
      <c r="F443" s="3">
        <f>COUNTIF(C443,PickedPlayers!D:D)</f>
        <v>0</v>
      </c>
      <c r="G443" s="3" t="str">
        <f t="shared" si="6"/>
        <v>Yes</v>
      </c>
    </row>
    <row r="444" spans="1:7" hidden="1" x14ac:dyDescent="0.25">
      <c r="A444" s="3" t="s">
        <v>558</v>
      </c>
      <c r="B444" s="3" t="s">
        <v>1367</v>
      </c>
      <c r="C444" s="3" t="s">
        <v>467</v>
      </c>
      <c r="D444" s="3" t="s">
        <v>61</v>
      </c>
      <c r="E444" s="3" t="s">
        <v>2674</v>
      </c>
      <c r="F444" s="3">
        <f>COUNTIF(C444,PickedPlayers!D:D)</f>
        <v>0</v>
      </c>
      <c r="G444" s="3" t="str">
        <f t="shared" si="6"/>
        <v>Yes</v>
      </c>
    </row>
    <row r="445" spans="1:7" hidden="1" x14ac:dyDescent="0.25">
      <c r="A445" s="3" t="s">
        <v>558</v>
      </c>
      <c r="B445" s="3" t="s">
        <v>1373</v>
      </c>
      <c r="C445" s="3" t="s">
        <v>1374</v>
      </c>
      <c r="D445" s="3" t="s">
        <v>61</v>
      </c>
      <c r="E445" s="3" t="s">
        <v>2674</v>
      </c>
      <c r="F445" s="3">
        <f>COUNTIF(C445,PickedPlayers!D:D)</f>
        <v>0</v>
      </c>
      <c r="G445" s="3" t="str">
        <f t="shared" si="6"/>
        <v>Yes</v>
      </c>
    </row>
    <row r="446" spans="1:7" hidden="1" x14ac:dyDescent="0.25">
      <c r="A446" s="3" t="s">
        <v>558</v>
      </c>
      <c r="B446" s="3" t="s">
        <v>1370</v>
      </c>
      <c r="C446" s="3" t="s">
        <v>358</v>
      </c>
      <c r="D446" s="3" t="s">
        <v>61</v>
      </c>
      <c r="E446" s="3" t="s">
        <v>2674</v>
      </c>
      <c r="F446" s="3">
        <f>COUNTIF(C446,PickedPlayers!D:D)</f>
        <v>0</v>
      </c>
      <c r="G446" s="3" t="str">
        <f t="shared" si="6"/>
        <v>Yes</v>
      </c>
    </row>
    <row r="447" spans="1:7" hidden="1" x14ac:dyDescent="0.25">
      <c r="A447" s="3" t="s">
        <v>558</v>
      </c>
      <c r="B447" s="3" t="s">
        <v>1364</v>
      </c>
      <c r="C447" s="3" t="s">
        <v>1365</v>
      </c>
      <c r="D447" s="3" t="s">
        <v>61</v>
      </c>
      <c r="E447" s="3" t="s">
        <v>2674</v>
      </c>
      <c r="F447" s="3">
        <f>COUNTIF(C447,PickedPlayers!D:D)</f>
        <v>0</v>
      </c>
      <c r="G447" s="3" t="str">
        <f t="shared" si="6"/>
        <v>Yes</v>
      </c>
    </row>
    <row r="448" spans="1:7" hidden="1" x14ac:dyDescent="0.25">
      <c r="A448" s="3" t="s">
        <v>558</v>
      </c>
      <c r="B448" s="3" t="s">
        <v>1368</v>
      </c>
      <c r="C448" s="3" t="s">
        <v>1369</v>
      </c>
      <c r="D448" s="3" t="s">
        <v>61</v>
      </c>
      <c r="E448" s="3" t="s">
        <v>2674</v>
      </c>
      <c r="F448" s="3">
        <f>COUNTIF(C448,PickedPlayers!D:D)</f>
        <v>0</v>
      </c>
      <c r="G448" s="3" t="str">
        <f t="shared" si="6"/>
        <v>Yes</v>
      </c>
    </row>
    <row r="449" spans="1:7" hidden="1" x14ac:dyDescent="0.25">
      <c r="A449" s="3" t="s">
        <v>558</v>
      </c>
      <c r="B449" s="3" t="s">
        <v>1361</v>
      </c>
      <c r="C449" s="3" t="s">
        <v>1362</v>
      </c>
      <c r="D449" s="3" t="s">
        <v>61</v>
      </c>
      <c r="E449" s="3" t="s">
        <v>2674</v>
      </c>
      <c r="F449" s="3">
        <f>COUNTIF(C449,PickedPlayers!D:D)</f>
        <v>0</v>
      </c>
      <c r="G449" s="3" t="str">
        <f t="shared" si="6"/>
        <v>Yes</v>
      </c>
    </row>
    <row r="450" spans="1:7" hidden="1" x14ac:dyDescent="0.25">
      <c r="A450" s="3" t="s">
        <v>558</v>
      </c>
      <c r="B450" s="3" t="s">
        <v>1371</v>
      </c>
      <c r="C450" s="3" t="s">
        <v>1372</v>
      </c>
      <c r="D450" s="3" t="s">
        <v>61</v>
      </c>
      <c r="E450" s="3" t="s">
        <v>2674</v>
      </c>
      <c r="F450" s="3">
        <f>COUNTIF(C450,PickedPlayers!D:D)</f>
        <v>0</v>
      </c>
      <c r="G450" s="3" t="str">
        <f t="shared" si="6"/>
        <v>Yes</v>
      </c>
    </row>
    <row r="451" spans="1:7" hidden="1" x14ac:dyDescent="0.25">
      <c r="A451" s="3" t="s">
        <v>558</v>
      </c>
      <c r="B451" s="3" t="s">
        <v>1366</v>
      </c>
      <c r="C451" s="3" t="s">
        <v>336</v>
      </c>
      <c r="D451" s="3" t="s">
        <v>61</v>
      </c>
      <c r="E451" s="3" t="s">
        <v>2674</v>
      </c>
      <c r="F451" s="3">
        <f>COUNTIF(C451,PickedPlayers!D:D)</f>
        <v>0</v>
      </c>
      <c r="G451" s="3" t="str">
        <f t="shared" ref="G451:G514" si="7">IF(F451&gt;0,"No","Yes")</f>
        <v>Yes</v>
      </c>
    </row>
    <row r="452" spans="1:7" hidden="1" x14ac:dyDescent="0.25">
      <c r="A452" s="3" t="s">
        <v>558</v>
      </c>
      <c r="B452" s="3" t="s">
        <v>1363</v>
      </c>
      <c r="C452" s="3" t="s">
        <v>376</v>
      </c>
      <c r="D452" s="3" t="s">
        <v>61</v>
      </c>
      <c r="E452" s="3" t="s">
        <v>2674</v>
      </c>
      <c r="F452" s="3">
        <f>COUNTIF(C452,PickedPlayers!D:D)</f>
        <v>0</v>
      </c>
      <c r="G452" s="3" t="str">
        <f t="shared" si="7"/>
        <v>Yes</v>
      </c>
    </row>
    <row r="453" spans="1:7" x14ac:dyDescent="0.25">
      <c r="A453" s="3" t="s">
        <v>577</v>
      </c>
      <c r="B453" s="3" t="s">
        <v>1376</v>
      </c>
      <c r="C453" s="3" t="s">
        <v>1377</v>
      </c>
      <c r="D453" s="3" t="s">
        <v>61</v>
      </c>
      <c r="E453" s="3" t="s">
        <v>2675</v>
      </c>
      <c r="F453" s="3">
        <f>COUNTIF(C453,PickedPlayers!D:D)</f>
        <v>0</v>
      </c>
      <c r="G453" s="3" t="str">
        <f t="shared" si="7"/>
        <v>Yes</v>
      </c>
    </row>
    <row r="454" spans="1:7" x14ac:dyDescent="0.25">
      <c r="A454" s="3" t="s">
        <v>577</v>
      </c>
      <c r="B454" s="3" t="s">
        <v>1378</v>
      </c>
      <c r="C454" s="3" t="s">
        <v>412</v>
      </c>
      <c r="D454" s="3" t="s">
        <v>61</v>
      </c>
      <c r="E454" s="3" t="s">
        <v>2675</v>
      </c>
      <c r="F454" s="3">
        <f>COUNTIF(C454,PickedPlayers!D:D)</f>
        <v>0</v>
      </c>
      <c r="G454" s="3" t="str">
        <f t="shared" si="7"/>
        <v>Yes</v>
      </c>
    </row>
    <row r="455" spans="1:7" x14ac:dyDescent="0.25">
      <c r="A455" s="3" t="s">
        <v>577</v>
      </c>
      <c r="B455" s="3" t="s">
        <v>1385</v>
      </c>
      <c r="C455" s="3" t="s">
        <v>1386</v>
      </c>
      <c r="D455" s="3" t="s">
        <v>61</v>
      </c>
      <c r="E455" s="3" t="s">
        <v>2675</v>
      </c>
      <c r="F455" s="3">
        <f>COUNTIF(C455,PickedPlayers!D:D)</f>
        <v>0</v>
      </c>
      <c r="G455" s="3" t="str">
        <f t="shared" si="7"/>
        <v>Yes</v>
      </c>
    </row>
    <row r="456" spans="1:7" x14ac:dyDescent="0.25">
      <c r="A456" s="3" t="s">
        <v>577</v>
      </c>
      <c r="B456" s="3" t="s">
        <v>1375</v>
      </c>
      <c r="C456" s="3" t="s">
        <v>1195</v>
      </c>
      <c r="D456" s="3" t="s">
        <v>61</v>
      </c>
      <c r="E456" s="3" t="s">
        <v>2675</v>
      </c>
      <c r="F456" s="3">
        <f>COUNTIF(C456,PickedPlayers!D:D)</f>
        <v>0</v>
      </c>
      <c r="G456" s="3" t="str">
        <f t="shared" si="7"/>
        <v>Yes</v>
      </c>
    </row>
    <row r="457" spans="1:7" x14ac:dyDescent="0.25">
      <c r="A457" s="3" t="s">
        <v>577</v>
      </c>
      <c r="B457" s="3" t="s">
        <v>1381</v>
      </c>
      <c r="C457" s="3" t="s">
        <v>308</v>
      </c>
      <c r="D457" s="3" t="s">
        <v>61</v>
      </c>
      <c r="E457" s="3" t="s">
        <v>2675</v>
      </c>
      <c r="F457" s="3">
        <f>COUNTIF(C457,PickedPlayers!D:D)</f>
        <v>0</v>
      </c>
      <c r="G457" s="3" t="str">
        <f t="shared" si="7"/>
        <v>Yes</v>
      </c>
    </row>
    <row r="458" spans="1:7" x14ac:dyDescent="0.25">
      <c r="A458" s="3" t="s">
        <v>577</v>
      </c>
      <c r="B458" s="3" t="s">
        <v>1383</v>
      </c>
      <c r="C458" s="3" t="s">
        <v>1384</v>
      </c>
      <c r="D458" s="3" t="s">
        <v>61</v>
      </c>
      <c r="E458" s="3" t="s">
        <v>2675</v>
      </c>
      <c r="F458" s="3">
        <f>COUNTIF(C458,PickedPlayers!D:D)</f>
        <v>0</v>
      </c>
      <c r="G458" s="3" t="str">
        <f t="shared" si="7"/>
        <v>Yes</v>
      </c>
    </row>
    <row r="459" spans="1:7" x14ac:dyDescent="0.25">
      <c r="A459" s="3" t="s">
        <v>577</v>
      </c>
      <c r="B459" s="3" t="s">
        <v>1382</v>
      </c>
      <c r="C459" s="3" t="s">
        <v>338</v>
      </c>
      <c r="D459" s="3" t="s">
        <v>61</v>
      </c>
      <c r="E459" s="3" t="s">
        <v>2675</v>
      </c>
      <c r="F459" s="3">
        <f>COUNTIF(C459,PickedPlayers!D:D)</f>
        <v>0</v>
      </c>
      <c r="G459" s="3" t="str">
        <f t="shared" si="7"/>
        <v>Yes</v>
      </c>
    </row>
    <row r="460" spans="1:7" x14ac:dyDescent="0.25">
      <c r="A460" s="3" t="s">
        <v>577</v>
      </c>
      <c r="B460" s="3" t="s">
        <v>1379</v>
      </c>
      <c r="C460" s="3" t="s">
        <v>1380</v>
      </c>
      <c r="D460" s="3" t="s">
        <v>61</v>
      </c>
      <c r="E460" s="3" t="s">
        <v>2675</v>
      </c>
      <c r="F460" s="3">
        <f>COUNTIF(C460,PickedPlayers!D:D)</f>
        <v>0</v>
      </c>
      <c r="G460" s="3" t="str">
        <f t="shared" si="7"/>
        <v>Yes</v>
      </c>
    </row>
    <row r="461" spans="1:7" hidden="1" x14ac:dyDescent="0.25">
      <c r="A461" s="3" t="s">
        <v>592</v>
      </c>
      <c r="B461" s="3" t="s">
        <v>1388</v>
      </c>
      <c r="C461" s="3" t="s">
        <v>479</v>
      </c>
      <c r="D461" s="3" t="s">
        <v>61</v>
      </c>
      <c r="E461" s="3" t="s">
        <v>2677</v>
      </c>
      <c r="F461" s="3">
        <f>COUNTIF(C461,PickedPlayers!D:D)</f>
        <v>0</v>
      </c>
      <c r="G461" s="3" t="str">
        <f t="shared" si="7"/>
        <v>Yes</v>
      </c>
    </row>
    <row r="462" spans="1:7" hidden="1" x14ac:dyDescent="0.25">
      <c r="A462" s="3" t="s">
        <v>592</v>
      </c>
      <c r="B462" s="3" t="s">
        <v>1391</v>
      </c>
      <c r="C462" s="3" t="s">
        <v>354</v>
      </c>
      <c r="D462" s="3" t="s">
        <v>61</v>
      </c>
      <c r="E462" s="3" t="s">
        <v>2677</v>
      </c>
      <c r="F462" s="3">
        <f>COUNTIF(C462,PickedPlayers!D:D)</f>
        <v>0</v>
      </c>
      <c r="G462" s="3" t="str">
        <f t="shared" si="7"/>
        <v>Yes</v>
      </c>
    </row>
    <row r="463" spans="1:7" hidden="1" x14ac:dyDescent="0.25">
      <c r="A463" s="3" t="s">
        <v>592</v>
      </c>
      <c r="B463" s="3" t="s">
        <v>1393</v>
      </c>
      <c r="C463" s="3" t="s">
        <v>1394</v>
      </c>
      <c r="D463" s="3" t="s">
        <v>61</v>
      </c>
      <c r="E463" s="3" t="s">
        <v>2677</v>
      </c>
      <c r="F463" s="3">
        <f>COUNTIF(C463,PickedPlayers!D:D)</f>
        <v>0</v>
      </c>
      <c r="G463" s="3" t="str">
        <f t="shared" si="7"/>
        <v>Yes</v>
      </c>
    </row>
    <row r="464" spans="1:7" hidden="1" x14ac:dyDescent="0.25">
      <c r="A464" s="3" t="s">
        <v>592</v>
      </c>
      <c r="B464" s="3" t="s">
        <v>1392</v>
      </c>
      <c r="C464" s="3" t="s">
        <v>275</v>
      </c>
      <c r="D464" s="3" t="s">
        <v>61</v>
      </c>
      <c r="E464" s="3" t="s">
        <v>2677</v>
      </c>
      <c r="F464" s="3">
        <f>COUNTIF(C464,PickedPlayers!D:D)</f>
        <v>0</v>
      </c>
      <c r="G464" s="3" t="str">
        <f t="shared" si="7"/>
        <v>Yes</v>
      </c>
    </row>
    <row r="465" spans="1:7" hidden="1" x14ac:dyDescent="0.25">
      <c r="A465" s="3" t="s">
        <v>592</v>
      </c>
      <c r="B465" s="3" t="s">
        <v>1389</v>
      </c>
      <c r="C465" s="3" t="s">
        <v>1390</v>
      </c>
      <c r="D465" s="3" t="s">
        <v>61</v>
      </c>
      <c r="E465" s="3" t="s">
        <v>2677</v>
      </c>
      <c r="F465" s="3">
        <f>COUNTIF(C465,PickedPlayers!D:D)</f>
        <v>0</v>
      </c>
      <c r="G465" s="3" t="str">
        <f t="shared" si="7"/>
        <v>Yes</v>
      </c>
    </row>
    <row r="466" spans="1:7" hidden="1" x14ac:dyDescent="0.25">
      <c r="A466" s="3" t="s">
        <v>592</v>
      </c>
      <c r="B466" s="3" t="s">
        <v>1387</v>
      </c>
      <c r="C466" s="3" t="s">
        <v>287</v>
      </c>
      <c r="D466" s="3" t="s">
        <v>61</v>
      </c>
      <c r="E466" s="3" t="s">
        <v>2677</v>
      </c>
      <c r="F466" s="3">
        <f>COUNTIF(C466,PickedPlayers!D:D)</f>
        <v>0</v>
      </c>
      <c r="G466" s="3" t="str">
        <f t="shared" si="7"/>
        <v>Yes</v>
      </c>
    </row>
    <row r="467" spans="1:7" hidden="1" x14ac:dyDescent="0.25">
      <c r="A467" s="3" t="s">
        <v>551</v>
      </c>
      <c r="B467" s="3" t="s">
        <v>1396</v>
      </c>
      <c r="C467" s="3" t="s">
        <v>1397</v>
      </c>
      <c r="D467" s="3" t="s">
        <v>74</v>
      </c>
      <c r="E467" s="3" t="s">
        <v>2673</v>
      </c>
      <c r="F467" s="3">
        <f>COUNTIF(C467,PickedPlayers!D:D)</f>
        <v>0</v>
      </c>
      <c r="G467" s="3" t="str">
        <f t="shared" si="7"/>
        <v>Yes</v>
      </c>
    </row>
    <row r="468" spans="1:7" hidden="1" x14ac:dyDescent="0.25">
      <c r="A468" s="3" t="s">
        <v>551</v>
      </c>
      <c r="B468" s="3" t="s">
        <v>1395</v>
      </c>
      <c r="C468" s="3" t="s">
        <v>382</v>
      </c>
      <c r="D468" s="3" t="s">
        <v>74</v>
      </c>
      <c r="E468" s="3" t="s">
        <v>2673</v>
      </c>
      <c r="F468" s="3">
        <f>COUNTIF(C468,PickedPlayers!D:D)</f>
        <v>0</v>
      </c>
      <c r="G468" s="3" t="str">
        <f t="shared" si="7"/>
        <v>Yes</v>
      </c>
    </row>
    <row r="469" spans="1:7" hidden="1" x14ac:dyDescent="0.25">
      <c r="A469" s="3" t="s">
        <v>551</v>
      </c>
      <c r="B469" s="3" t="s">
        <v>1398</v>
      </c>
      <c r="C469" s="3" t="s">
        <v>1399</v>
      </c>
      <c r="D469" s="3" t="s">
        <v>74</v>
      </c>
      <c r="E469" s="3" t="s">
        <v>2673</v>
      </c>
      <c r="F469" s="3">
        <f>COUNTIF(C469,PickedPlayers!D:D)</f>
        <v>0</v>
      </c>
      <c r="G469" s="3" t="str">
        <f t="shared" si="7"/>
        <v>Yes</v>
      </c>
    </row>
    <row r="470" spans="1:7" hidden="1" x14ac:dyDescent="0.25">
      <c r="A470" s="3" t="s">
        <v>558</v>
      </c>
      <c r="B470" s="3" t="s">
        <v>1400</v>
      </c>
      <c r="C470" s="3" t="s">
        <v>436</v>
      </c>
      <c r="D470" s="3" t="s">
        <v>74</v>
      </c>
      <c r="E470" s="3" t="s">
        <v>2674</v>
      </c>
      <c r="F470" s="3">
        <f>COUNTIF(C470,PickedPlayers!D:D)</f>
        <v>0</v>
      </c>
      <c r="G470" s="3" t="str">
        <f t="shared" si="7"/>
        <v>Yes</v>
      </c>
    </row>
    <row r="471" spans="1:7" hidden="1" x14ac:dyDescent="0.25">
      <c r="A471" s="3" t="s">
        <v>558</v>
      </c>
      <c r="B471" s="3" t="s">
        <v>1404</v>
      </c>
      <c r="C471" s="3" t="s">
        <v>390</v>
      </c>
      <c r="D471" s="3" t="s">
        <v>74</v>
      </c>
      <c r="E471" s="3" t="s">
        <v>2674</v>
      </c>
      <c r="F471" s="3">
        <f>COUNTIF(C471,PickedPlayers!D:D)</f>
        <v>0</v>
      </c>
      <c r="G471" s="3" t="str">
        <f t="shared" si="7"/>
        <v>Yes</v>
      </c>
    </row>
    <row r="472" spans="1:7" hidden="1" x14ac:dyDescent="0.25">
      <c r="A472" s="3" t="s">
        <v>558</v>
      </c>
      <c r="B472" s="3" t="s">
        <v>1405</v>
      </c>
      <c r="C472" s="3" t="s">
        <v>485</v>
      </c>
      <c r="D472" s="3" t="s">
        <v>74</v>
      </c>
      <c r="E472" s="3" t="s">
        <v>2674</v>
      </c>
      <c r="F472" s="3">
        <f>COUNTIF(C472,PickedPlayers!D:D)</f>
        <v>0</v>
      </c>
      <c r="G472" s="3" t="str">
        <f t="shared" si="7"/>
        <v>Yes</v>
      </c>
    </row>
    <row r="473" spans="1:7" hidden="1" x14ac:dyDescent="0.25">
      <c r="A473" s="3" t="s">
        <v>558</v>
      </c>
      <c r="B473" s="3" t="s">
        <v>1406</v>
      </c>
      <c r="C473" s="3" t="s">
        <v>1407</v>
      </c>
      <c r="D473" s="3" t="s">
        <v>74</v>
      </c>
      <c r="E473" s="3" t="s">
        <v>2674</v>
      </c>
      <c r="F473" s="3">
        <f>COUNTIF(C473,PickedPlayers!D:D)</f>
        <v>0</v>
      </c>
      <c r="G473" s="3" t="str">
        <f t="shared" si="7"/>
        <v>Yes</v>
      </c>
    </row>
    <row r="474" spans="1:7" hidden="1" x14ac:dyDescent="0.25">
      <c r="A474" s="3" t="s">
        <v>558</v>
      </c>
      <c r="B474" s="3" t="s">
        <v>1401</v>
      </c>
      <c r="C474" s="3" t="s">
        <v>539</v>
      </c>
      <c r="D474" s="3" t="s">
        <v>74</v>
      </c>
      <c r="E474" s="3" t="s">
        <v>2674</v>
      </c>
      <c r="F474" s="3">
        <f>COUNTIF(C474,PickedPlayers!D:D)</f>
        <v>0</v>
      </c>
      <c r="G474" s="3" t="str">
        <f t="shared" si="7"/>
        <v>Yes</v>
      </c>
    </row>
    <row r="475" spans="1:7" hidden="1" x14ac:dyDescent="0.25">
      <c r="A475" s="3" t="s">
        <v>558</v>
      </c>
      <c r="B475" s="3" t="s">
        <v>1408</v>
      </c>
      <c r="C475" s="3" t="s">
        <v>493</v>
      </c>
      <c r="D475" s="3" t="s">
        <v>74</v>
      </c>
      <c r="E475" s="3" t="s">
        <v>2674</v>
      </c>
      <c r="F475" s="3">
        <f>COUNTIF(C475,PickedPlayers!D:D)</f>
        <v>0</v>
      </c>
      <c r="G475" s="3" t="str">
        <f t="shared" si="7"/>
        <v>Yes</v>
      </c>
    </row>
    <row r="476" spans="1:7" hidden="1" x14ac:dyDescent="0.25">
      <c r="A476" s="3" t="s">
        <v>558</v>
      </c>
      <c r="B476" s="3" t="s">
        <v>1402</v>
      </c>
      <c r="C476" s="3" t="s">
        <v>1403</v>
      </c>
      <c r="D476" s="3" t="s">
        <v>74</v>
      </c>
      <c r="E476" s="3" t="s">
        <v>2674</v>
      </c>
      <c r="F476" s="3">
        <f>COUNTIF(C476,PickedPlayers!D:D)</f>
        <v>0</v>
      </c>
      <c r="G476" s="3" t="str">
        <f t="shared" si="7"/>
        <v>Yes</v>
      </c>
    </row>
    <row r="477" spans="1:7" x14ac:dyDescent="0.25">
      <c r="A477" s="3" t="s">
        <v>577</v>
      </c>
      <c r="B477" s="3" t="s">
        <v>1422</v>
      </c>
      <c r="C477" s="3" t="s">
        <v>1423</v>
      </c>
      <c r="D477" s="3" t="s">
        <v>74</v>
      </c>
      <c r="E477" s="3" t="s">
        <v>2675</v>
      </c>
      <c r="F477" s="3">
        <f>COUNTIF(C477,PickedPlayers!D:D)</f>
        <v>0</v>
      </c>
      <c r="G477" s="3" t="str">
        <f t="shared" si="7"/>
        <v>Yes</v>
      </c>
    </row>
    <row r="478" spans="1:7" x14ac:dyDescent="0.25">
      <c r="A478" s="3" t="s">
        <v>577</v>
      </c>
      <c r="B478" s="3" t="s">
        <v>1409</v>
      </c>
      <c r="C478" s="3" t="s">
        <v>1410</v>
      </c>
      <c r="D478" s="3" t="s">
        <v>74</v>
      </c>
      <c r="E478" s="3" t="s">
        <v>2675</v>
      </c>
      <c r="F478" s="3">
        <f>COUNTIF(C478,PickedPlayers!D:D)</f>
        <v>0</v>
      </c>
      <c r="G478" s="3" t="str">
        <f t="shared" si="7"/>
        <v>Yes</v>
      </c>
    </row>
    <row r="479" spans="1:7" x14ac:dyDescent="0.25">
      <c r="A479" s="3" t="s">
        <v>577</v>
      </c>
      <c r="B479" s="3" t="s">
        <v>1411</v>
      </c>
      <c r="C479" s="3" t="s">
        <v>1412</v>
      </c>
      <c r="D479" s="3" t="s">
        <v>74</v>
      </c>
      <c r="E479" s="3" t="s">
        <v>2675</v>
      </c>
      <c r="F479" s="3">
        <f>COUNTIF(C479,PickedPlayers!D:D)</f>
        <v>0</v>
      </c>
      <c r="G479" s="3" t="str">
        <f t="shared" si="7"/>
        <v>Yes</v>
      </c>
    </row>
    <row r="480" spans="1:7" x14ac:dyDescent="0.25">
      <c r="A480" s="3" t="s">
        <v>577</v>
      </c>
      <c r="B480" s="3" t="s">
        <v>1419</v>
      </c>
      <c r="C480" s="3" t="s">
        <v>537</v>
      </c>
      <c r="D480" s="3" t="s">
        <v>74</v>
      </c>
      <c r="E480" s="3" t="s">
        <v>2675</v>
      </c>
      <c r="F480" s="3">
        <f>COUNTIF(C480,PickedPlayers!D:D)</f>
        <v>0</v>
      </c>
      <c r="G480" s="3" t="str">
        <f t="shared" si="7"/>
        <v>Yes</v>
      </c>
    </row>
    <row r="481" spans="1:7" x14ac:dyDescent="0.25">
      <c r="A481" s="3" t="s">
        <v>577</v>
      </c>
      <c r="B481" s="3" t="s">
        <v>1414</v>
      </c>
      <c r="C481" s="3" t="s">
        <v>326</v>
      </c>
      <c r="D481" s="3" t="s">
        <v>74</v>
      </c>
      <c r="E481" s="3" t="s">
        <v>2675</v>
      </c>
      <c r="F481" s="3">
        <f>COUNTIF(C481,PickedPlayers!D:D)</f>
        <v>0</v>
      </c>
      <c r="G481" s="3" t="str">
        <f t="shared" si="7"/>
        <v>Yes</v>
      </c>
    </row>
    <row r="482" spans="1:7" x14ac:dyDescent="0.25">
      <c r="A482" s="3" t="s">
        <v>577</v>
      </c>
      <c r="B482" s="3" t="s">
        <v>1413</v>
      </c>
      <c r="C482" s="3" t="s">
        <v>342</v>
      </c>
      <c r="D482" s="3" t="s">
        <v>74</v>
      </c>
      <c r="E482" s="3" t="s">
        <v>2675</v>
      </c>
      <c r="F482" s="3">
        <f>COUNTIF(C482,PickedPlayers!D:D)</f>
        <v>0</v>
      </c>
      <c r="G482" s="3" t="str">
        <f t="shared" si="7"/>
        <v>Yes</v>
      </c>
    </row>
    <row r="483" spans="1:7" x14ac:dyDescent="0.25">
      <c r="A483" s="3" t="s">
        <v>577</v>
      </c>
      <c r="B483" s="3" t="s">
        <v>1418</v>
      </c>
      <c r="C483" s="3" t="s">
        <v>320</v>
      </c>
      <c r="D483" s="3" t="s">
        <v>74</v>
      </c>
      <c r="E483" s="3" t="s">
        <v>2675</v>
      </c>
      <c r="F483" s="3">
        <f>COUNTIF(C483,PickedPlayers!D:D)</f>
        <v>0</v>
      </c>
      <c r="G483" s="3" t="str">
        <f t="shared" si="7"/>
        <v>Yes</v>
      </c>
    </row>
    <row r="484" spans="1:7" x14ac:dyDescent="0.25">
      <c r="A484" s="3" t="s">
        <v>577</v>
      </c>
      <c r="B484" s="3" t="s">
        <v>1415</v>
      </c>
      <c r="C484" s="3" t="s">
        <v>511</v>
      </c>
      <c r="D484" s="3" t="s">
        <v>74</v>
      </c>
      <c r="E484" s="3" t="s">
        <v>2675</v>
      </c>
      <c r="F484" s="3">
        <f>COUNTIF(C484,PickedPlayers!D:D)</f>
        <v>0</v>
      </c>
      <c r="G484" s="3" t="str">
        <f t="shared" si="7"/>
        <v>Yes</v>
      </c>
    </row>
    <row r="485" spans="1:7" x14ac:dyDescent="0.25">
      <c r="A485" s="3" t="s">
        <v>577</v>
      </c>
      <c r="B485" s="3" t="s">
        <v>1416</v>
      </c>
      <c r="C485" s="3" t="s">
        <v>1417</v>
      </c>
      <c r="D485" s="3" t="s">
        <v>74</v>
      </c>
      <c r="E485" s="3" t="s">
        <v>2675</v>
      </c>
      <c r="F485" s="3">
        <f>COUNTIF(C485,PickedPlayers!D:D)</f>
        <v>0</v>
      </c>
      <c r="G485" s="3" t="str">
        <f t="shared" si="7"/>
        <v>Yes</v>
      </c>
    </row>
    <row r="486" spans="1:7" x14ac:dyDescent="0.25">
      <c r="A486" s="3" t="s">
        <v>577</v>
      </c>
      <c r="B486" s="3" t="s">
        <v>1420</v>
      </c>
      <c r="C486" s="3" t="s">
        <v>1421</v>
      </c>
      <c r="D486" s="3" t="s">
        <v>74</v>
      </c>
      <c r="E486" s="3" t="s">
        <v>2675</v>
      </c>
      <c r="F486" s="3">
        <f>COUNTIF(C486,PickedPlayers!D:D)</f>
        <v>0</v>
      </c>
      <c r="G486" s="3" t="str">
        <f t="shared" si="7"/>
        <v>Yes</v>
      </c>
    </row>
    <row r="487" spans="1:7" hidden="1" x14ac:dyDescent="0.25">
      <c r="A487" s="3" t="s">
        <v>592</v>
      </c>
      <c r="B487" s="3" t="s">
        <v>1432</v>
      </c>
      <c r="C487" s="3" t="s">
        <v>1433</v>
      </c>
      <c r="D487" s="3" t="s">
        <v>74</v>
      </c>
      <c r="E487" s="3" t="s">
        <v>2677</v>
      </c>
      <c r="F487" s="3">
        <f>COUNTIF(C487,PickedPlayers!D:D)</f>
        <v>0</v>
      </c>
      <c r="G487" s="3" t="str">
        <f t="shared" si="7"/>
        <v>Yes</v>
      </c>
    </row>
    <row r="488" spans="1:7" hidden="1" x14ac:dyDescent="0.25">
      <c r="A488" s="3" t="s">
        <v>592</v>
      </c>
      <c r="B488" s="3" t="s">
        <v>1427</v>
      </c>
      <c r="C488" s="3" t="s">
        <v>1428</v>
      </c>
      <c r="D488" s="3" t="s">
        <v>74</v>
      </c>
      <c r="E488" s="3" t="s">
        <v>2677</v>
      </c>
      <c r="F488" s="3">
        <f>COUNTIF(C488,PickedPlayers!D:D)</f>
        <v>0</v>
      </c>
      <c r="G488" s="3" t="str">
        <f t="shared" si="7"/>
        <v>Yes</v>
      </c>
    </row>
    <row r="489" spans="1:7" hidden="1" x14ac:dyDescent="0.25">
      <c r="A489" s="3" t="s">
        <v>592</v>
      </c>
      <c r="B489" s="3" t="s">
        <v>1424</v>
      </c>
      <c r="C489" s="3" t="s">
        <v>298</v>
      </c>
      <c r="D489" s="3" t="s">
        <v>74</v>
      </c>
      <c r="E489" s="3" t="s">
        <v>2677</v>
      </c>
      <c r="F489" s="3">
        <f>COUNTIF(C489,PickedPlayers!D:D)</f>
        <v>0</v>
      </c>
      <c r="G489" s="3" t="str">
        <f t="shared" si="7"/>
        <v>Yes</v>
      </c>
    </row>
    <row r="490" spans="1:7" hidden="1" x14ac:dyDescent="0.25">
      <c r="A490" s="3" t="s">
        <v>592</v>
      </c>
      <c r="B490" s="3" t="s">
        <v>1429</v>
      </c>
      <c r="C490" s="3" t="s">
        <v>316</v>
      </c>
      <c r="D490" s="3" t="s">
        <v>74</v>
      </c>
      <c r="E490" s="3" t="s">
        <v>2677</v>
      </c>
      <c r="F490" s="3">
        <f>COUNTIF(C490,PickedPlayers!D:D)</f>
        <v>0</v>
      </c>
      <c r="G490" s="3" t="str">
        <f t="shared" si="7"/>
        <v>Yes</v>
      </c>
    </row>
    <row r="491" spans="1:7" hidden="1" x14ac:dyDescent="0.25">
      <c r="A491" s="3" t="s">
        <v>592</v>
      </c>
      <c r="B491" s="3" t="s">
        <v>1425</v>
      </c>
      <c r="C491" s="3" t="s">
        <v>1426</v>
      </c>
      <c r="D491" s="3" t="s">
        <v>74</v>
      </c>
      <c r="E491" s="3" t="s">
        <v>2677</v>
      </c>
      <c r="F491" s="3">
        <f>COUNTIF(C491,PickedPlayers!D:D)</f>
        <v>0</v>
      </c>
      <c r="G491" s="3" t="str">
        <f t="shared" si="7"/>
        <v>Yes</v>
      </c>
    </row>
    <row r="492" spans="1:7" hidden="1" x14ac:dyDescent="0.25">
      <c r="A492" s="3" t="s">
        <v>592</v>
      </c>
      <c r="B492" s="3" t="s">
        <v>1430</v>
      </c>
      <c r="C492" s="3" t="s">
        <v>1431</v>
      </c>
      <c r="D492" s="3" t="s">
        <v>74</v>
      </c>
      <c r="E492" s="3" t="s">
        <v>2677</v>
      </c>
      <c r="F492" s="3">
        <f>COUNTIF(C492,PickedPlayers!D:D)</f>
        <v>0</v>
      </c>
      <c r="G492" s="3" t="str">
        <f t="shared" si="7"/>
        <v>Yes</v>
      </c>
    </row>
    <row r="493" spans="1:7" hidden="1" x14ac:dyDescent="0.25">
      <c r="A493" s="3" t="s">
        <v>551</v>
      </c>
      <c r="B493" s="3" t="s">
        <v>1436</v>
      </c>
      <c r="C493" s="3" t="s">
        <v>1437</v>
      </c>
      <c r="D493" s="3" t="s">
        <v>105</v>
      </c>
      <c r="E493" s="3" t="s">
        <v>2673</v>
      </c>
      <c r="F493" s="3">
        <f>COUNTIF(C493,PickedPlayers!D:D)</f>
        <v>0</v>
      </c>
      <c r="G493" s="3" t="str">
        <f t="shared" si="7"/>
        <v>Yes</v>
      </c>
    </row>
    <row r="494" spans="1:7" hidden="1" x14ac:dyDescent="0.25">
      <c r="A494" s="3" t="s">
        <v>551</v>
      </c>
      <c r="B494" s="3" t="s">
        <v>1438</v>
      </c>
      <c r="C494" s="3" t="s">
        <v>1439</v>
      </c>
      <c r="D494" s="3" t="s">
        <v>105</v>
      </c>
      <c r="E494" s="3" t="s">
        <v>2673</v>
      </c>
      <c r="F494" s="3">
        <f>COUNTIF(C494,PickedPlayers!D:D)</f>
        <v>0</v>
      </c>
      <c r="G494" s="3" t="str">
        <f t="shared" si="7"/>
        <v>Yes</v>
      </c>
    </row>
    <row r="495" spans="1:7" hidden="1" x14ac:dyDescent="0.25">
      <c r="A495" s="3" t="s">
        <v>551</v>
      </c>
      <c r="B495" s="3" t="s">
        <v>1434</v>
      </c>
      <c r="C495" s="3" t="s">
        <v>1435</v>
      </c>
      <c r="D495" s="3" t="s">
        <v>105</v>
      </c>
      <c r="E495" s="3" t="s">
        <v>2673</v>
      </c>
      <c r="F495" s="3">
        <f>COUNTIF(C495,PickedPlayers!D:D)</f>
        <v>0</v>
      </c>
      <c r="G495" s="3" t="str">
        <f t="shared" si="7"/>
        <v>Yes</v>
      </c>
    </row>
    <row r="496" spans="1:7" hidden="1" x14ac:dyDescent="0.25">
      <c r="A496" s="3" t="s">
        <v>558</v>
      </c>
      <c r="B496" s="3" t="s">
        <v>1456</v>
      </c>
      <c r="C496" s="3" t="s">
        <v>1457</v>
      </c>
      <c r="D496" s="3" t="s">
        <v>105</v>
      </c>
      <c r="E496" s="3" t="s">
        <v>2674</v>
      </c>
      <c r="F496" s="3">
        <f>COUNTIF(C496,PickedPlayers!D:D)</f>
        <v>0</v>
      </c>
      <c r="G496" s="3" t="str">
        <f t="shared" si="7"/>
        <v>Yes</v>
      </c>
    </row>
    <row r="497" spans="1:7" hidden="1" x14ac:dyDescent="0.25">
      <c r="A497" s="3" t="s">
        <v>558</v>
      </c>
      <c r="B497" s="3" t="s">
        <v>1448</v>
      </c>
      <c r="C497" s="3" t="s">
        <v>1449</v>
      </c>
      <c r="D497" s="3" t="s">
        <v>105</v>
      </c>
      <c r="E497" s="3" t="s">
        <v>2674</v>
      </c>
      <c r="F497" s="3">
        <f>COUNTIF(C497,PickedPlayers!D:D)</f>
        <v>0</v>
      </c>
      <c r="G497" s="3" t="str">
        <f t="shared" si="7"/>
        <v>Yes</v>
      </c>
    </row>
    <row r="498" spans="1:7" hidden="1" x14ac:dyDescent="0.25">
      <c r="A498" s="3" t="s">
        <v>558</v>
      </c>
      <c r="B498" s="3" t="s">
        <v>1440</v>
      </c>
      <c r="C498" s="3" t="s">
        <v>1441</v>
      </c>
      <c r="D498" s="3" t="s">
        <v>105</v>
      </c>
      <c r="E498" s="3" t="s">
        <v>2674</v>
      </c>
      <c r="F498" s="3">
        <f>COUNTIF(C498,PickedPlayers!D:D)</f>
        <v>0</v>
      </c>
      <c r="G498" s="3" t="str">
        <f t="shared" si="7"/>
        <v>Yes</v>
      </c>
    </row>
    <row r="499" spans="1:7" hidden="1" x14ac:dyDescent="0.25">
      <c r="A499" s="3" t="s">
        <v>558</v>
      </c>
      <c r="B499" s="3" t="s">
        <v>1450</v>
      </c>
      <c r="C499" s="3" t="s">
        <v>1451</v>
      </c>
      <c r="D499" s="3" t="s">
        <v>105</v>
      </c>
      <c r="E499" s="3" t="s">
        <v>2674</v>
      </c>
      <c r="F499" s="3">
        <f>COUNTIF(C499,PickedPlayers!D:D)</f>
        <v>0</v>
      </c>
      <c r="G499" s="3" t="str">
        <f t="shared" si="7"/>
        <v>Yes</v>
      </c>
    </row>
    <row r="500" spans="1:7" hidden="1" x14ac:dyDescent="0.25">
      <c r="A500" s="3" t="s">
        <v>558</v>
      </c>
      <c r="B500" s="3" t="s">
        <v>1452</v>
      </c>
      <c r="C500" s="3" t="s">
        <v>1453</v>
      </c>
      <c r="D500" s="3" t="s">
        <v>105</v>
      </c>
      <c r="E500" s="3" t="s">
        <v>2674</v>
      </c>
      <c r="F500" s="3">
        <f>COUNTIF(C500,PickedPlayers!D:D)</f>
        <v>0</v>
      </c>
      <c r="G500" s="3" t="str">
        <f t="shared" si="7"/>
        <v>Yes</v>
      </c>
    </row>
    <row r="501" spans="1:7" hidden="1" x14ac:dyDescent="0.25">
      <c r="A501" s="3" t="s">
        <v>558</v>
      </c>
      <c r="B501" s="3" t="s">
        <v>1444</v>
      </c>
      <c r="C501" s="3" t="s">
        <v>1445</v>
      </c>
      <c r="D501" s="3" t="s">
        <v>105</v>
      </c>
      <c r="E501" s="3" t="s">
        <v>2674</v>
      </c>
      <c r="F501" s="3">
        <f>COUNTIF(C501,PickedPlayers!D:D)</f>
        <v>0</v>
      </c>
      <c r="G501" s="3" t="str">
        <f t="shared" si="7"/>
        <v>Yes</v>
      </c>
    </row>
    <row r="502" spans="1:7" hidden="1" x14ac:dyDescent="0.25">
      <c r="A502" s="3" t="s">
        <v>558</v>
      </c>
      <c r="B502" s="3" t="s">
        <v>1442</v>
      </c>
      <c r="C502" s="3" t="s">
        <v>1443</v>
      </c>
      <c r="D502" s="3" t="s">
        <v>105</v>
      </c>
      <c r="E502" s="3" t="s">
        <v>2674</v>
      </c>
      <c r="F502" s="3">
        <f>COUNTIF(C502,PickedPlayers!D:D)</f>
        <v>0</v>
      </c>
      <c r="G502" s="3" t="str">
        <f t="shared" si="7"/>
        <v>Yes</v>
      </c>
    </row>
    <row r="503" spans="1:7" hidden="1" x14ac:dyDescent="0.25">
      <c r="A503" s="3" t="s">
        <v>558</v>
      </c>
      <c r="B503" s="3" t="s">
        <v>1446</v>
      </c>
      <c r="C503" s="3" t="s">
        <v>1447</v>
      </c>
      <c r="D503" s="3" t="s">
        <v>105</v>
      </c>
      <c r="E503" s="3" t="s">
        <v>2674</v>
      </c>
      <c r="F503" s="3">
        <f>COUNTIF(C503,PickedPlayers!D:D)</f>
        <v>0</v>
      </c>
      <c r="G503" s="3" t="str">
        <f t="shared" si="7"/>
        <v>Yes</v>
      </c>
    </row>
    <row r="504" spans="1:7" hidden="1" x14ac:dyDescent="0.25">
      <c r="A504" s="3" t="s">
        <v>558</v>
      </c>
      <c r="B504" s="3" t="s">
        <v>1454</v>
      </c>
      <c r="C504" s="3" t="s">
        <v>1455</v>
      </c>
      <c r="D504" s="3" t="s">
        <v>105</v>
      </c>
      <c r="E504" s="3" t="s">
        <v>2674</v>
      </c>
      <c r="F504" s="3">
        <f>COUNTIF(C504,PickedPlayers!D:D)</f>
        <v>0</v>
      </c>
      <c r="G504" s="3" t="str">
        <f t="shared" si="7"/>
        <v>Yes</v>
      </c>
    </row>
    <row r="505" spans="1:7" x14ac:dyDescent="0.25">
      <c r="A505" s="3" t="s">
        <v>577</v>
      </c>
      <c r="B505" s="3" t="s">
        <v>1458</v>
      </c>
      <c r="C505" s="3" t="s">
        <v>1459</v>
      </c>
      <c r="D505" s="3" t="s">
        <v>105</v>
      </c>
      <c r="E505" s="3" t="s">
        <v>2675</v>
      </c>
      <c r="F505" s="3">
        <f>COUNTIF(C505,PickedPlayers!D:D)</f>
        <v>0</v>
      </c>
      <c r="G505" s="3" t="str">
        <f t="shared" si="7"/>
        <v>Yes</v>
      </c>
    </row>
    <row r="506" spans="1:7" x14ac:dyDescent="0.25">
      <c r="A506" s="3" t="s">
        <v>577</v>
      </c>
      <c r="B506" s="3" t="s">
        <v>1464</v>
      </c>
      <c r="C506" s="3" t="s">
        <v>1465</v>
      </c>
      <c r="D506" s="3" t="s">
        <v>105</v>
      </c>
      <c r="E506" s="3" t="s">
        <v>2675</v>
      </c>
      <c r="F506" s="3">
        <f>COUNTIF(C506,PickedPlayers!D:D)</f>
        <v>0</v>
      </c>
      <c r="G506" s="3" t="str">
        <f t="shared" si="7"/>
        <v>Yes</v>
      </c>
    </row>
    <row r="507" spans="1:7" x14ac:dyDescent="0.25">
      <c r="A507" s="3" t="s">
        <v>577</v>
      </c>
      <c r="B507" s="3" t="s">
        <v>1460</v>
      </c>
      <c r="C507" s="3" t="s">
        <v>1461</v>
      </c>
      <c r="D507" s="3" t="s">
        <v>105</v>
      </c>
      <c r="E507" s="3" t="s">
        <v>2675</v>
      </c>
      <c r="F507" s="3">
        <f>COUNTIF(C507,PickedPlayers!D:D)</f>
        <v>0</v>
      </c>
      <c r="G507" s="3" t="str">
        <f t="shared" si="7"/>
        <v>Yes</v>
      </c>
    </row>
    <row r="508" spans="1:7" x14ac:dyDescent="0.25">
      <c r="A508" s="3" t="s">
        <v>577</v>
      </c>
      <c r="B508" s="3" t="s">
        <v>1462</v>
      </c>
      <c r="C508" s="3" t="s">
        <v>1463</v>
      </c>
      <c r="D508" s="3" t="s">
        <v>105</v>
      </c>
      <c r="E508" s="3" t="s">
        <v>2675</v>
      </c>
      <c r="F508" s="3">
        <f>COUNTIF(C508,PickedPlayers!D:D)</f>
        <v>0</v>
      </c>
      <c r="G508" s="3" t="str">
        <f t="shared" si="7"/>
        <v>Yes</v>
      </c>
    </row>
    <row r="509" spans="1:7" hidden="1" x14ac:dyDescent="0.25">
      <c r="A509" s="3" t="s">
        <v>592</v>
      </c>
      <c r="B509" s="3" t="s">
        <v>1472</v>
      </c>
      <c r="C509" s="3" t="s">
        <v>1473</v>
      </c>
      <c r="D509" s="3" t="s">
        <v>105</v>
      </c>
      <c r="E509" s="3" t="s">
        <v>2677</v>
      </c>
      <c r="F509" s="3">
        <f>COUNTIF(C509,PickedPlayers!D:D)</f>
        <v>0</v>
      </c>
      <c r="G509" s="3" t="str">
        <f t="shared" si="7"/>
        <v>Yes</v>
      </c>
    </row>
    <row r="510" spans="1:7" hidden="1" x14ac:dyDescent="0.25">
      <c r="A510" s="3" t="s">
        <v>592</v>
      </c>
      <c r="B510" s="3" t="s">
        <v>1466</v>
      </c>
      <c r="C510" s="3" t="s">
        <v>1467</v>
      </c>
      <c r="D510" s="3" t="s">
        <v>105</v>
      </c>
      <c r="E510" s="3" t="s">
        <v>2677</v>
      </c>
      <c r="F510" s="3">
        <f>COUNTIF(C510,PickedPlayers!D:D)</f>
        <v>0</v>
      </c>
      <c r="G510" s="3" t="str">
        <f t="shared" si="7"/>
        <v>Yes</v>
      </c>
    </row>
    <row r="511" spans="1:7" hidden="1" x14ac:dyDescent="0.25">
      <c r="A511" s="3" t="s">
        <v>592</v>
      </c>
      <c r="B511" s="3" t="s">
        <v>1478</v>
      </c>
      <c r="C511" s="3" t="s">
        <v>1479</v>
      </c>
      <c r="D511" s="3" t="s">
        <v>105</v>
      </c>
      <c r="E511" s="3" t="s">
        <v>2677</v>
      </c>
      <c r="F511" s="3">
        <f>COUNTIF(C511,PickedPlayers!D:D)</f>
        <v>0</v>
      </c>
      <c r="G511" s="3" t="str">
        <f t="shared" si="7"/>
        <v>Yes</v>
      </c>
    </row>
    <row r="512" spans="1:7" hidden="1" x14ac:dyDescent="0.25">
      <c r="A512" s="3" t="s">
        <v>592</v>
      </c>
      <c r="B512" s="3" t="s">
        <v>1474</v>
      </c>
      <c r="C512" s="3" t="s">
        <v>1475</v>
      </c>
      <c r="D512" s="3" t="s">
        <v>105</v>
      </c>
      <c r="E512" s="3" t="s">
        <v>2677</v>
      </c>
      <c r="F512" s="3">
        <f>COUNTIF(C512,PickedPlayers!D:D)</f>
        <v>0</v>
      </c>
      <c r="G512" s="3" t="str">
        <f t="shared" si="7"/>
        <v>Yes</v>
      </c>
    </row>
    <row r="513" spans="1:7" hidden="1" x14ac:dyDescent="0.25">
      <c r="A513" s="3" t="s">
        <v>592</v>
      </c>
      <c r="B513" s="3" t="s">
        <v>1482</v>
      </c>
      <c r="C513" s="3" t="s">
        <v>1483</v>
      </c>
      <c r="D513" s="3" t="s">
        <v>105</v>
      </c>
      <c r="E513" s="3" t="s">
        <v>2677</v>
      </c>
      <c r="F513" s="3">
        <f>COUNTIF(C513,PickedPlayers!D:D)</f>
        <v>0</v>
      </c>
      <c r="G513" s="3" t="str">
        <f t="shared" si="7"/>
        <v>Yes</v>
      </c>
    </row>
    <row r="514" spans="1:7" hidden="1" x14ac:dyDescent="0.25">
      <c r="A514" s="3" t="s">
        <v>592</v>
      </c>
      <c r="B514" s="3" t="s">
        <v>1480</v>
      </c>
      <c r="C514" s="3" t="s">
        <v>1481</v>
      </c>
      <c r="D514" s="3" t="s">
        <v>105</v>
      </c>
      <c r="E514" s="3" t="s">
        <v>2677</v>
      </c>
      <c r="F514" s="3">
        <f>COUNTIF(C514,PickedPlayers!D:D)</f>
        <v>0</v>
      </c>
      <c r="G514" s="3" t="str">
        <f t="shared" si="7"/>
        <v>Yes</v>
      </c>
    </row>
    <row r="515" spans="1:7" hidden="1" x14ac:dyDescent="0.25">
      <c r="A515" s="3" t="s">
        <v>592</v>
      </c>
      <c r="B515" s="3" t="s">
        <v>1468</v>
      </c>
      <c r="C515" s="3" t="s">
        <v>1469</v>
      </c>
      <c r="D515" s="3" t="s">
        <v>105</v>
      </c>
      <c r="E515" s="3" t="s">
        <v>2677</v>
      </c>
      <c r="F515" s="3">
        <f>COUNTIF(C515,PickedPlayers!D:D)</f>
        <v>0</v>
      </c>
      <c r="G515" s="3" t="str">
        <f t="shared" ref="G515:G578" si="8">IF(F515&gt;0,"No","Yes")</f>
        <v>Yes</v>
      </c>
    </row>
    <row r="516" spans="1:7" hidden="1" x14ac:dyDescent="0.25">
      <c r="A516" s="3" t="s">
        <v>592</v>
      </c>
      <c r="B516" s="3" t="s">
        <v>1470</v>
      </c>
      <c r="C516" s="3" t="s">
        <v>1471</v>
      </c>
      <c r="D516" s="3" t="s">
        <v>105</v>
      </c>
      <c r="E516" s="3" t="s">
        <v>2677</v>
      </c>
      <c r="F516" s="3">
        <f>COUNTIF(C516,PickedPlayers!D:D)</f>
        <v>0</v>
      </c>
      <c r="G516" s="3" t="str">
        <f t="shared" si="8"/>
        <v>Yes</v>
      </c>
    </row>
    <row r="517" spans="1:7" hidden="1" x14ac:dyDescent="0.25">
      <c r="A517" s="3" t="s">
        <v>592</v>
      </c>
      <c r="B517" s="3" t="s">
        <v>1476</v>
      </c>
      <c r="C517" s="3" t="s">
        <v>1477</v>
      </c>
      <c r="D517" s="3" t="s">
        <v>105</v>
      </c>
      <c r="E517" s="3" t="s">
        <v>2677</v>
      </c>
      <c r="F517" s="3">
        <f>COUNTIF(C517,PickedPlayers!D:D)</f>
        <v>0</v>
      </c>
      <c r="G517" s="3" t="str">
        <f t="shared" si="8"/>
        <v>Yes</v>
      </c>
    </row>
    <row r="518" spans="1:7" hidden="1" x14ac:dyDescent="0.25">
      <c r="A518" s="3" t="s">
        <v>592</v>
      </c>
      <c r="B518" s="3" t="s">
        <v>1484</v>
      </c>
      <c r="C518" s="3" t="s">
        <v>1485</v>
      </c>
      <c r="D518" s="3" t="s">
        <v>105</v>
      </c>
      <c r="E518" s="3" t="s">
        <v>2677</v>
      </c>
      <c r="F518" s="3">
        <f>COUNTIF(C518,PickedPlayers!D:D)</f>
        <v>0</v>
      </c>
      <c r="G518" s="3" t="str">
        <f t="shared" si="8"/>
        <v>Yes</v>
      </c>
    </row>
    <row r="519" spans="1:7" hidden="1" x14ac:dyDescent="0.25">
      <c r="A519" s="3" t="s">
        <v>551</v>
      </c>
      <c r="B519" s="3" t="s">
        <v>1490</v>
      </c>
      <c r="C519" s="3" t="s">
        <v>1491</v>
      </c>
      <c r="D519" s="3" t="s">
        <v>159</v>
      </c>
      <c r="E519" s="3" t="s">
        <v>2673</v>
      </c>
      <c r="F519" s="3">
        <f>COUNTIF(C519,PickedPlayers!D:D)</f>
        <v>0</v>
      </c>
      <c r="G519" s="3" t="str">
        <f t="shared" si="8"/>
        <v>Yes</v>
      </c>
    </row>
    <row r="520" spans="1:7" hidden="1" x14ac:dyDescent="0.25">
      <c r="A520" s="3" t="s">
        <v>551</v>
      </c>
      <c r="B520" s="3" t="s">
        <v>1488</v>
      </c>
      <c r="C520" s="3" t="s">
        <v>1489</v>
      </c>
      <c r="D520" s="3" t="s">
        <v>159</v>
      </c>
      <c r="E520" s="3" t="s">
        <v>2673</v>
      </c>
      <c r="F520" s="3">
        <f>COUNTIF(C520,PickedPlayers!D:D)</f>
        <v>0</v>
      </c>
      <c r="G520" s="3" t="str">
        <f t="shared" si="8"/>
        <v>Yes</v>
      </c>
    </row>
    <row r="521" spans="1:7" hidden="1" x14ac:dyDescent="0.25">
      <c r="A521" s="3" t="s">
        <v>551</v>
      </c>
      <c r="B521" s="3" t="s">
        <v>1486</v>
      </c>
      <c r="C521" s="3" t="s">
        <v>1487</v>
      </c>
      <c r="D521" s="3" t="s">
        <v>159</v>
      </c>
      <c r="E521" s="3" t="s">
        <v>2673</v>
      </c>
      <c r="F521" s="3">
        <f>COUNTIF(C521,PickedPlayers!D:D)</f>
        <v>0</v>
      </c>
      <c r="G521" s="3" t="str">
        <f t="shared" si="8"/>
        <v>Yes</v>
      </c>
    </row>
    <row r="522" spans="1:7" hidden="1" x14ac:dyDescent="0.25">
      <c r="A522" s="3" t="s">
        <v>558</v>
      </c>
      <c r="B522" s="3" t="s">
        <v>1492</v>
      </c>
      <c r="C522" s="3" t="s">
        <v>1493</v>
      </c>
      <c r="D522" s="3" t="s">
        <v>159</v>
      </c>
      <c r="E522" s="3" t="s">
        <v>2674</v>
      </c>
      <c r="F522" s="3">
        <f>COUNTIF(C522,PickedPlayers!D:D)</f>
        <v>0</v>
      </c>
      <c r="G522" s="3" t="str">
        <f t="shared" si="8"/>
        <v>Yes</v>
      </c>
    </row>
    <row r="523" spans="1:7" hidden="1" x14ac:dyDescent="0.25">
      <c r="A523" s="3" t="s">
        <v>558</v>
      </c>
      <c r="B523" s="3" t="s">
        <v>1498</v>
      </c>
      <c r="C523" s="3" t="s">
        <v>1499</v>
      </c>
      <c r="D523" s="3" t="s">
        <v>159</v>
      </c>
      <c r="E523" s="3" t="s">
        <v>2674</v>
      </c>
      <c r="F523" s="3">
        <f>COUNTIF(C523,PickedPlayers!D:D)</f>
        <v>0</v>
      </c>
      <c r="G523" s="3" t="str">
        <f t="shared" si="8"/>
        <v>Yes</v>
      </c>
    </row>
    <row r="524" spans="1:7" hidden="1" x14ac:dyDescent="0.25">
      <c r="A524" s="3" t="s">
        <v>558</v>
      </c>
      <c r="B524" s="3" t="s">
        <v>1504</v>
      </c>
      <c r="C524" s="3" t="s">
        <v>1505</v>
      </c>
      <c r="D524" s="3" t="s">
        <v>159</v>
      </c>
      <c r="E524" s="3" t="s">
        <v>2674</v>
      </c>
      <c r="F524" s="3">
        <f>COUNTIF(C524,PickedPlayers!D:D)</f>
        <v>0</v>
      </c>
      <c r="G524" s="3" t="str">
        <f t="shared" si="8"/>
        <v>Yes</v>
      </c>
    </row>
    <row r="525" spans="1:7" hidden="1" x14ac:dyDescent="0.25">
      <c r="A525" s="3" t="s">
        <v>558</v>
      </c>
      <c r="B525" s="3" t="s">
        <v>1502</v>
      </c>
      <c r="C525" s="3" t="s">
        <v>1503</v>
      </c>
      <c r="D525" s="3" t="s">
        <v>159</v>
      </c>
      <c r="E525" s="3" t="s">
        <v>2674</v>
      </c>
      <c r="F525" s="3">
        <f>COUNTIF(C525,PickedPlayers!D:D)</f>
        <v>0</v>
      </c>
      <c r="G525" s="3" t="str">
        <f t="shared" si="8"/>
        <v>Yes</v>
      </c>
    </row>
    <row r="526" spans="1:7" hidden="1" x14ac:dyDescent="0.25">
      <c r="A526" s="3" t="s">
        <v>558</v>
      </c>
      <c r="B526" s="3" t="s">
        <v>1496</v>
      </c>
      <c r="C526" s="3" t="s">
        <v>1497</v>
      </c>
      <c r="D526" s="3" t="s">
        <v>159</v>
      </c>
      <c r="E526" s="3" t="s">
        <v>2674</v>
      </c>
      <c r="F526" s="3">
        <f>COUNTIF(C526,PickedPlayers!D:D)</f>
        <v>0</v>
      </c>
      <c r="G526" s="3" t="str">
        <f t="shared" si="8"/>
        <v>Yes</v>
      </c>
    </row>
    <row r="527" spans="1:7" hidden="1" x14ac:dyDescent="0.25">
      <c r="A527" s="3" t="s">
        <v>558</v>
      </c>
      <c r="B527" s="3" t="s">
        <v>1494</v>
      </c>
      <c r="C527" s="3" t="s">
        <v>1495</v>
      </c>
      <c r="D527" s="3" t="s">
        <v>159</v>
      </c>
      <c r="E527" s="3" t="s">
        <v>2674</v>
      </c>
      <c r="F527" s="3">
        <f>COUNTIF(C527,PickedPlayers!D:D)</f>
        <v>0</v>
      </c>
      <c r="G527" s="3" t="str">
        <f t="shared" si="8"/>
        <v>Yes</v>
      </c>
    </row>
    <row r="528" spans="1:7" hidden="1" x14ac:dyDescent="0.25">
      <c r="A528" s="3" t="s">
        <v>558</v>
      </c>
      <c r="B528" s="3" t="s">
        <v>1500</v>
      </c>
      <c r="C528" s="3" t="s">
        <v>1501</v>
      </c>
      <c r="D528" s="3" t="s">
        <v>159</v>
      </c>
      <c r="E528" s="3" t="s">
        <v>2674</v>
      </c>
      <c r="F528" s="3">
        <f>COUNTIF(C528,PickedPlayers!D:D)</f>
        <v>0</v>
      </c>
      <c r="G528" s="3" t="str">
        <f t="shared" si="8"/>
        <v>Yes</v>
      </c>
    </row>
    <row r="529" spans="1:7" hidden="1" x14ac:dyDescent="0.25">
      <c r="A529" s="3" t="s">
        <v>558</v>
      </c>
      <c r="B529" s="3" t="s">
        <v>1506</v>
      </c>
      <c r="C529" s="3" t="s">
        <v>1507</v>
      </c>
      <c r="D529" s="3" t="s">
        <v>159</v>
      </c>
      <c r="E529" s="3" t="s">
        <v>2674</v>
      </c>
      <c r="F529" s="3">
        <f>COUNTIF(C529,PickedPlayers!D:D)</f>
        <v>0</v>
      </c>
      <c r="G529" s="3" t="str">
        <f t="shared" si="8"/>
        <v>Yes</v>
      </c>
    </row>
    <row r="530" spans="1:7" hidden="1" x14ac:dyDescent="0.25">
      <c r="A530" s="3" t="s">
        <v>577</v>
      </c>
      <c r="B530" s="3" t="s">
        <v>1508</v>
      </c>
      <c r="C530" s="3" t="s">
        <v>1509</v>
      </c>
      <c r="D530" s="3" t="s">
        <v>159</v>
      </c>
      <c r="E530" s="3" t="s">
        <v>2675</v>
      </c>
      <c r="F530" s="3">
        <f>COUNTIF(C530,PickedPlayers!D:D)</f>
        <v>0</v>
      </c>
      <c r="G530" s="3" t="str">
        <f t="shared" si="8"/>
        <v>Yes</v>
      </c>
    </row>
    <row r="531" spans="1:7" hidden="1" x14ac:dyDescent="0.25">
      <c r="A531" s="3" t="s">
        <v>577</v>
      </c>
      <c r="B531" s="3" t="s">
        <v>1510</v>
      </c>
      <c r="C531" s="3" t="s">
        <v>1511</v>
      </c>
      <c r="D531" s="3" t="s">
        <v>159</v>
      </c>
      <c r="E531" s="3" t="s">
        <v>2675</v>
      </c>
      <c r="F531" s="3">
        <f>COUNTIF(C531,PickedPlayers!D:D)</f>
        <v>0</v>
      </c>
      <c r="G531" s="3" t="str">
        <f t="shared" si="8"/>
        <v>Yes</v>
      </c>
    </row>
    <row r="532" spans="1:7" hidden="1" x14ac:dyDescent="0.25">
      <c r="A532" s="3" t="s">
        <v>577</v>
      </c>
      <c r="B532" s="3" t="s">
        <v>1514</v>
      </c>
      <c r="C532" s="3" t="s">
        <v>1515</v>
      </c>
      <c r="D532" s="3" t="s">
        <v>159</v>
      </c>
      <c r="E532" s="3" t="s">
        <v>2675</v>
      </c>
      <c r="F532" s="3">
        <f>COUNTIF(C532,PickedPlayers!D:D)</f>
        <v>0</v>
      </c>
      <c r="G532" s="3" t="str">
        <f t="shared" si="8"/>
        <v>Yes</v>
      </c>
    </row>
    <row r="533" spans="1:7" hidden="1" x14ac:dyDescent="0.25">
      <c r="A533" s="3" t="s">
        <v>577</v>
      </c>
      <c r="B533" s="3" t="s">
        <v>1512</v>
      </c>
      <c r="C533" s="3" t="s">
        <v>1513</v>
      </c>
      <c r="D533" s="3" t="s">
        <v>159</v>
      </c>
      <c r="E533" s="3" t="s">
        <v>2675</v>
      </c>
      <c r="F533" s="3">
        <f>COUNTIF(C533,PickedPlayers!D:D)</f>
        <v>0</v>
      </c>
      <c r="G533" s="3" t="str">
        <f t="shared" si="8"/>
        <v>Yes</v>
      </c>
    </row>
    <row r="534" spans="1:7" hidden="1" x14ac:dyDescent="0.25">
      <c r="A534" s="3" t="s">
        <v>577</v>
      </c>
      <c r="B534" s="3" t="s">
        <v>1516</v>
      </c>
      <c r="C534" s="3" t="s">
        <v>1517</v>
      </c>
      <c r="D534" s="3" t="s">
        <v>159</v>
      </c>
      <c r="E534" s="3" t="s">
        <v>2675</v>
      </c>
      <c r="F534" s="3">
        <f>COUNTIF(C534,PickedPlayers!D:D)</f>
        <v>0</v>
      </c>
      <c r="G534" s="3" t="str">
        <f t="shared" si="8"/>
        <v>Yes</v>
      </c>
    </row>
    <row r="535" spans="1:7" hidden="1" x14ac:dyDescent="0.25">
      <c r="A535" s="3" t="s">
        <v>577</v>
      </c>
      <c r="B535" s="3" t="s">
        <v>1518</v>
      </c>
      <c r="C535" s="3" t="s">
        <v>1519</v>
      </c>
      <c r="D535" s="3" t="s">
        <v>159</v>
      </c>
      <c r="E535" s="3" t="s">
        <v>2675</v>
      </c>
      <c r="F535" s="3">
        <f>COUNTIF(C535,PickedPlayers!D:D)</f>
        <v>0</v>
      </c>
      <c r="G535" s="3" t="str">
        <f t="shared" si="8"/>
        <v>Yes</v>
      </c>
    </row>
    <row r="536" spans="1:7" hidden="1" x14ac:dyDescent="0.25">
      <c r="A536" s="3" t="s">
        <v>592</v>
      </c>
      <c r="B536" s="3" t="s">
        <v>1520</v>
      </c>
      <c r="C536" s="3" t="s">
        <v>1521</v>
      </c>
      <c r="D536" s="3" t="s">
        <v>159</v>
      </c>
      <c r="E536" s="3" t="s">
        <v>2677</v>
      </c>
      <c r="F536" s="3">
        <f>COUNTIF(C536,PickedPlayers!D:D)</f>
        <v>0</v>
      </c>
      <c r="G536" s="3" t="str">
        <f t="shared" si="8"/>
        <v>Yes</v>
      </c>
    </row>
    <row r="537" spans="1:7" hidden="1" x14ac:dyDescent="0.25">
      <c r="A537" s="3" t="s">
        <v>592</v>
      </c>
      <c r="B537" s="3" t="s">
        <v>1524</v>
      </c>
      <c r="C537" s="3" t="s">
        <v>1525</v>
      </c>
      <c r="D537" s="3" t="s">
        <v>159</v>
      </c>
      <c r="E537" s="3" t="s">
        <v>2677</v>
      </c>
      <c r="F537" s="3">
        <f>COUNTIF(C537,PickedPlayers!D:D)</f>
        <v>0</v>
      </c>
      <c r="G537" s="3" t="str">
        <f t="shared" si="8"/>
        <v>Yes</v>
      </c>
    </row>
    <row r="538" spans="1:7" hidden="1" x14ac:dyDescent="0.25">
      <c r="A538" s="3" t="s">
        <v>592</v>
      </c>
      <c r="B538" s="3" t="s">
        <v>1530</v>
      </c>
      <c r="C538" s="3" t="s">
        <v>1531</v>
      </c>
      <c r="D538" s="3" t="s">
        <v>159</v>
      </c>
      <c r="E538" s="3" t="s">
        <v>2677</v>
      </c>
      <c r="F538" s="3">
        <f>COUNTIF(C538,PickedPlayers!D:D)</f>
        <v>0</v>
      </c>
      <c r="G538" s="3" t="str">
        <f t="shared" si="8"/>
        <v>Yes</v>
      </c>
    </row>
    <row r="539" spans="1:7" hidden="1" x14ac:dyDescent="0.25">
      <c r="A539" s="3" t="s">
        <v>592</v>
      </c>
      <c r="B539" s="3" t="s">
        <v>1534</v>
      </c>
      <c r="C539" s="3" t="s">
        <v>1535</v>
      </c>
      <c r="D539" s="3" t="s">
        <v>159</v>
      </c>
      <c r="E539" s="3" t="s">
        <v>2677</v>
      </c>
      <c r="F539" s="3">
        <f>COUNTIF(C539,PickedPlayers!D:D)</f>
        <v>0</v>
      </c>
      <c r="G539" s="3" t="str">
        <f t="shared" si="8"/>
        <v>Yes</v>
      </c>
    </row>
    <row r="540" spans="1:7" hidden="1" x14ac:dyDescent="0.25">
      <c r="A540" s="3" t="s">
        <v>592</v>
      </c>
      <c r="B540" s="3" t="s">
        <v>1528</v>
      </c>
      <c r="C540" s="3" t="s">
        <v>1529</v>
      </c>
      <c r="D540" s="3" t="s">
        <v>159</v>
      </c>
      <c r="E540" s="3" t="s">
        <v>2677</v>
      </c>
      <c r="F540" s="3">
        <f>COUNTIF(C540,PickedPlayers!D:D)</f>
        <v>0</v>
      </c>
      <c r="G540" s="3" t="str">
        <f t="shared" si="8"/>
        <v>Yes</v>
      </c>
    </row>
    <row r="541" spans="1:7" hidden="1" x14ac:dyDescent="0.25">
      <c r="A541" s="3" t="s">
        <v>592</v>
      </c>
      <c r="B541" s="3" t="s">
        <v>1536</v>
      </c>
      <c r="C541" s="3" t="s">
        <v>1537</v>
      </c>
      <c r="D541" s="3" t="s">
        <v>159</v>
      </c>
      <c r="E541" s="3" t="s">
        <v>2677</v>
      </c>
      <c r="F541" s="3">
        <f>COUNTIF(C541,PickedPlayers!D:D)</f>
        <v>0</v>
      </c>
      <c r="G541" s="3" t="str">
        <f t="shared" si="8"/>
        <v>Yes</v>
      </c>
    </row>
    <row r="542" spans="1:7" hidden="1" x14ac:dyDescent="0.25">
      <c r="A542" s="3" t="s">
        <v>592</v>
      </c>
      <c r="B542" s="3" t="s">
        <v>1532</v>
      </c>
      <c r="C542" s="3" t="s">
        <v>1533</v>
      </c>
      <c r="D542" s="3" t="s">
        <v>159</v>
      </c>
      <c r="E542" s="3" t="s">
        <v>2677</v>
      </c>
      <c r="F542" s="3">
        <f>COUNTIF(C542,PickedPlayers!D:D)</f>
        <v>0</v>
      </c>
      <c r="G542" s="3" t="str">
        <f t="shared" si="8"/>
        <v>Yes</v>
      </c>
    </row>
    <row r="543" spans="1:7" hidden="1" x14ac:dyDescent="0.25">
      <c r="A543" s="3" t="s">
        <v>592</v>
      </c>
      <c r="B543" s="3" t="s">
        <v>1522</v>
      </c>
      <c r="C543" s="3" t="s">
        <v>1523</v>
      </c>
      <c r="D543" s="3" t="s">
        <v>159</v>
      </c>
      <c r="E543" s="3" t="s">
        <v>2677</v>
      </c>
      <c r="F543" s="3">
        <f>COUNTIF(C543,PickedPlayers!D:D)</f>
        <v>0</v>
      </c>
      <c r="G543" s="3" t="str">
        <f t="shared" si="8"/>
        <v>Yes</v>
      </c>
    </row>
    <row r="544" spans="1:7" hidden="1" x14ac:dyDescent="0.25">
      <c r="A544" s="3" t="s">
        <v>592</v>
      </c>
      <c r="B544" s="3" t="s">
        <v>1526</v>
      </c>
      <c r="C544" s="3" t="s">
        <v>1527</v>
      </c>
      <c r="D544" s="3" t="s">
        <v>159</v>
      </c>
      <c r="E544" s="3" t="s">
        <v>2677</v>
      </c>
      <c r="F544" s="3">
        <f>COUNTIF(C544,PickedPlayers!D:D)</f>
        <v>0</v>
      </c>
      <c r="G544" s="3" t="str">
        <f t="shared" si="8"/>
        <v>Yes</v>
      </c>
    </row>
    <row r="545" spans="1:7" hidden="1" x14ac:dyDescent="0.25">
      <c r="A545" s="3" t="s">
        <v>551</v>
      </c>
      <c r="B545" s="3" t="s">
        <v>1538</v>
      </c>
      <c r="C545" s="3" t="s">
        <v>1539</v>
      </c>
      <c r="D545" s="3" t="s">
        <v>1540</v>
      </c>
      <c r="E545" s="3" t="s">
        <v>2673</v>
      </c>
      <c r="F545" s="3">
        <f>COUNTIF(C545,PickedPlayers!D:D)</f>
        <v>0</v>
      </c>
      <c r="G545" s="3" t="str">
        <f t="shared" si="8"/>
        <v>Yes</v>
      </c>
    </row>
    <row r="546" spans="1:7" hidden="1" x14ac:dyDescent="0.25">
      <c r="A546" s="3" t="s">
        <v>551</v>
      </c>
      <c r="B546" s="3" t="s">
        <v>1541</v>
      </c>
      <c r="C546" s="3" t="s">
        <v>1542</v>
      </c>
      <c r="D546" s="3" t="s">
        <v>1540</v>
      </c>
      <c r="E546" s="3" t="s">
        <v>2673</v>
      </c>
      <c r="F546" s="3">
        <f>COUNTIF(C546,PickedPlayers!D:D)</f>
        <v>0</v>
      </c>
      <c r="G546" s="3" t="str">
        <f t="shared" si="8"/>
        <v>Yes</v>
      </c>
    </row>
    <row r="547" spans="1:7" hidden="1" x14ac:dyDescent="0.25">
      <c r="A547" s="3" t="s">
        <v>551</v>
      </c>
      <c r="B547" s="3" t="s">
        <v>1543</v>
      </c>
      <c r="C547" s="3" t="s">
        <v>1544</v>
      </c>
      <c r="D547" s="3" t="s">
        <v>1540</v>
      </c>
      <c r="E547" s="3" t="s">
        <v>2673</v>
      </c>
      <c r="F547" s="3">
        <f>COUNTIF(C547,PickedPlayers!D:D)</f>
        <v>0</v>
      </c>
      <c r="G547" s="3" t="str">
        <f t="shared" si="8"/>
        <v>Yes</v>
      </c>
    </row>
    <row r="548" spans="1:7" hidden="1" x14ac:dyDescent="0.25">
      <c r="A548" s="3" t="s">
        <v>558</v>
      </c>
      <c r="B548" s="3" t="s">
        <v>1551</v>
      </c>
      <c r="C548" s="3" t="s">
        <v>1552</v>
      </c>
      <c r="D548" s="3" t="s">
        <v>1540</v>
      </c>
      <c r="E548" s="3" t="s">
        <v>2674</v>
      </c>
      <c r="F548" s="3">
        <f>COUNTIF(C548,PickedPlayers!D:D)</f>
        <v>0</v>
      </c>
      <c r="G548" s="3" t="str">
        <f t="shared" si="8"/>
        <v>Yes</v>
      </c>
    </row>
    <row r="549" spans="1:7" hidden="1" x14ac:dyDescent="0.25">
      <c r="A549" s="3" t="s">
        <v>558</v>
      </c>
      <c r="B549" s="3" t="s">
        <v>1547</v>
      </c>
      <c r="C549" s="3" t="s">
        <v>1548</v>
      </c>
      <c r="D549" s="3" t="s">
        <v>1540</v>
      </c>
      <c r="E549" s="3" t="s">
        <v>2674</v>
      </c>
      <c r="F549" s="3">
        <f>COUNTIF(C549,PickedPlayers!D:D)</f>
        <v>0</v>
      </c>
      <c r="G549" s="3" t="str">
        <f t="shared" si="8"/>
        <v>Yes</v>
      </c>
    </row>
    <row r="550" spans="1:7" hidden="1" x14ac:dyDescent="0.25">
      <c r="A550" s="3" t="s">
        <v>558</v>
      </c>
      <c r="B550" s="3" t="s">
        <v>1559</v>
      </c>
      <c r="C550" s="3" t="s">
        <v>1560</v>
      </c>
      <c r="D550" s="3" t="s">
        <v>1540</v>
      </c>
      <c r="E550" s="3" t="s">
        <v>2674</v>
      </c>
      <c r="F550" s="3">
        <f>COUNTIF(C550,PickedPlayers!D:D)</f>
        <v>0</v>
      </c>
      <c r="G550" s="3" t="str">
        <f t="shared" si="8"/>
        <v>Yes</v>
      </c>
    </row>
    <row r="551" spans="1:7" hidden="1" x14ac:dyDescent="0.25">
      <c r="A551" s="3" t="s">
        <v>558</v>
      </c>
      <c r="B551" s="3" t="s">
        <v>1549</v>
      </c>
      <c r="C551" s="3" t="s">
        <v>1550</v>
      </c>
      <c r="D551" s="3" t="s">
        <v>1540</v>
      </c>
      <c r="E551" s="3" t="s">
        <v>2674</v>
      </c>
      <c r="F551" s="3">
        <f>COUNTIF(C551,PickedPlayers!D:D)</f>
        <v>0</v>
      </c>
      <c r="G551" s="3" t="str">
        <f t="shared" si="8"/>
        <v>Yes</v>
      </c>
    </row>
    <row r="552" spans="1:7" hidden="1" x14ac:dyDescent="0.25">
      <c r="A552" s="3" t="s">
        <v>558</v>
      </c>
      <c r="B552" s="3" t="s">
        <v>1561</v>
      </c>
      <c r="C552" s="3" t="s">
        <v>1562</v>
      </c>
      <c r="D552" s="3" t="s">
        <v>1540</v>
      </c>
      <c r="E552" s="3" t="s">
        <v>2674</v>
      </c>
      <c r="F552" s="3">
        <f>COUNTIF(C552,PickedPlayers!D:D)</f>
        <v>0</v>
      </c>
      <c r="G552" s="3" t="str">
        <f t="shared" si="8"/>
        <v>Yes</v>
      </c>
    </row>
    <row r="553" spans="1:7" hidden="1" x14ac:dyDescent="0.25">
      <c r="A553" s="3" t="s">
        <v>558</v>
      </c>
      <c r="B553" s="3" t="s">
        <v>1557</v>
      </c>
      <c r="C553" s="3" t="s">
        <v>1558</v>
      </c>
      <c r="D553" s="3" t="s">
        <v>1540</v>
      </c>
      <c r="E553" s="3" t="s">
        <v>2674</v>
      </c>
      <c r="F553" s="3">
        <f>COUNTIF(C553,PickedPlayers!D:D)</f>
        <v>0</v>
      </c>
      <c r="G553" s="3" t="str">
        <f t="shared" si="8"/>
        <v>Yes</v>
      </c>
    </row>
    <row r="554" spans="1:7" hidden="1" x14ac:dyDescent="0.25">
      <c r="A554" s="3" t="s">
        <v>558</v>
      </c>
      <c r="B554" s="3" t="s">
        <v>1555</v>
      </c>
      <c r="C554" s="3" t="s">
        <v>1556</v>
      </c>
      <c r="D554" s="3" t="s">
        <v>1540</v>
      </c>
      <c r="E554" s="3" t="s">
        <v>2674</v>
      </c>
      <c r="F554" s="3">
        <f>COUNTIF(C554,PickedPlayers!D:D)</f>
        <v>0</v>
      </c>
      <c r="G554" s="3" t="str">
        <f t="shared" si="8"/>
        <v>Yes</v>
      </c>
    </row>
    <row r="555" spans="1:7" hidden="1" x14ac:dyDescent="0.25">
      <c r="A555" s="3" t="s">
        <v>558</v>
      </c>
      <c r="B555" s="3" t="s">
        <v>1545</v>
      </c>
      <c r="C555" s="3" t="s">
        <v>1546</v>
      </c>
      <c r="D555" s="3" t="s">
        <v>1540</v>
      </c>
      <c r="E555" s="3" t="s">
        <v>2674</v>
      </c>
      <c r="F555" s="3">
        <f>COUNTIF(C555,PickedPlayers!D:D)</f>
        <v>0</v>
      </c>
      <c r="G555" s="3" t="str">
        <f t="shared" si="8"/>
        <v>Yes</v>
      </c>
    </row>
    <row r="556" spans="1:7" hidden="1" x14ac:dyDescent="0.25">
      <c r="A556" s="3" t="s">
        <v>558</v>
      </c>
      <c r="B556" s="3" t="s">
        <v>1553</v>
      </c>
      <c r="C556" s="3" t="s">
        <v>1554</v>
      </c>
      <c r="D556" s="3" t="s">
        <v>1540</v>
      </c>
      <c r="E556" s="3" t="s">
        <v>2674</v>
      </c>
      <c r="F556" s="3">
        <f>COUNTIF(C556,PickedPlayers!D:D)</f>
        <v>0</v>
      </c>
      <c r="G556" s="3" t="str">
        <f t="shared" si="8"/>
        <v>Yes</v>
      </c>
    </row>
    <row r="557" spans="1:7" hidden="1" x14ac:dyDescent="0.25">
      <c r="A557" s="3" t="s">
        <v>577</v>
      </c>
      <c r="B557" s="3" t="s">
        <v>1573</v>
      </c>
      <c r="C557" s="3" t="s">
        <v>1574</v>
      </c>
      <c r="D557" s="3" t="s">
        <v>1540</v>
      </c>
      <c r="E557" s="3" t="s">
        <v>2675</v>
      </c>
      <c r="F557" s="3">
        <f>COUNTIF(C557,PickedPlayers!D:D)</f>
        <v>0</v>
      </c>
      <c r="G557" s="3" t="str">
        <f t="shared" si="8"/>
        <v>Yes</v>
      </c>
    </row>
    <row r="558" spans="1:7" hidden="1" x14ac:dyDescent="0.25">
      <c r="A558" s="3" t="s">
        <v>577</v>
      </c>
      <c r="B558" s="3" t="s">
        <v>1569</v>
      </c>
      <c r="C558" s="3" t="s">
        <v>1570</v>
      </c>
      <c r="D558" s="3" t="s">
        <v>1540</v>
      </c>
      <c r="E558" s="3" t="s">
        <v>2675</v>
      </c>
      <c r="F558" s="3">
        <f>COUNTIF(C558,PickedPlayers!D:D)</f>
        <v>0</v>
      </c>
      <c r="G558" s="3" t="str">
        <f t="shared" si="8"/>
        <v>Yes</v>
      </c>
    </row>
    <row r="559" spans="1:7" hidden="1" x14ac:dyDescent="0.25">
      <c r="A559" s="3" t="s">
        <v>577</v>
      </c>
      <c r="B559" s="3" t="s">
        <v>1567</v>
      </c>
      <c r="C559" s="3" t="s">
        <v>1568</v>
      </c>
      <c r="D559" s="3" t="s">
        <v>1540</v>
      </c>
      <c r="E559" s="3" t="s">
        <v>2675</v>
      </c>
      <c r="F559" s="3">
        <f>COUNTIF(C559,PickedPlayers!D:D)</f>
        <v>0</v>
      </c>
      <c r="G559" s="3" t="str">
        <f t="shared" si="8"/>
        <v>Yes</v>
      </c>
    </row>
    <row r="560" spans="1:7" hidden="1" x14ac:dyDescent="0.25">
      <c r="A560" s="3" t="s">
        <v>577</v>
      </c>
      <c r="B560" s="3" t="s">
        <v>1565</v>
      </c>
      <c r="C560" s="3" t="s">
        <v>1566</v>
      </c>
      <c r="D560" s="3" t="s">
        <v>1540</v>
      </c>
      <c r="E560" s="3" t="s">
        <v>2675</v>
      </c>
      <c r="F560" s="3">
        <f>COUNTIF(C560,PickedPlayers!D:D)</f>
        <v>0</v>
      </c>
      <c r="G560" s="3" t="str">
        <f t="shared" si="8"/>
        <v>Yes</v>
      </c>
    </row>
    <row r="561" spans="1:7" hidden="1" x14ac:dyDescent="0.25">
      <c r="A561" s="3" t="s">
        <v>577</v>
      </c>
      <c r="B561" s="3" t="s">
        <v>1575</v>
      </c>
      <c r="C561" s="3" t="s">
        <v>1576</v>
      </c>
      <c r="D561" s="3" t="s">
        <v>1540</v>
      </c>
      <c r="E561" s="3" t="s">
        <v>2675</v>
      </c>
      <c r="F561" s="3">
        <f>COUNTIF(C561,PickedPlayers!D:D)</f>
        <v>0</v>
      </c>
      <c r="G561" s="3" t="str">
        <f t="shared" si="8"/>
        <v>Yes</v>
      </c>
    </row>
    <row r="562" spans="1:7" hidden="1" x14ac:dyDescent="0.25">
      <c r="A562" s="3" t="s">
        <v>577</v>
      </c>
      <c r="B562" s="3" t="s">
        <v>1563</v>
      </c>
      <c r="C562" s="3" t="s">
        <v>1564</v>
      </c>
      <c r="D562" s="3" t="s">
        <v>1540</v>
      </c>
      <c r="E562" s="3" t="s">
        <v>2675</v>
      </c>
      <c r="F562" s="3">
        <f>COUNTIF(C562,PickedPlayers!D:D)</f>
        <v>0</v>
      </c>
      <c r="G562" s="3" t="str">
        <f t="shared" si="8"/>
        <v>Yes</v>
      </c>
    </row>
    <row r="563" spans="1:7" hidden="1" x14ac:dyDescent="0.25">
      <c r="A563" s="3" t="s">
        <v>577</v>
      </c>
      <c r="B563" s="3" t="s">
        <v>1571</v>
      </c>
      <c r="C563" s="3" t="s">
        <v>1572</v>
      </c>
      <c r="D563" s="3" t="s">
        <v>1540</v>
      </c>
      <c r="E563" s="3" t="s">
        <v>2675</v>
      </c>
      <c r="F563" s="3">
        <f>COUNTIF(C563,PickedPlayers!D:D)</f>
        <v>0</v>
      </c>
      <c r="G563" s="3" t="str">
        <f t="shared" si="8"/>
        <v>Yes</v>
      </c>
    </row>
    <row r="564" spans="1:7" hidden="1" x14ac:dyDescent="0.25">
      <c r="A564" s="3" t="s">
        <v>592</v>
      </c>
      <c r="B564" s="3" t="s">
        <v>1589</v>
      </c>
      <c r="C564" s="3" t="s">
        <v>1590</v>
      </c>
      <c r="D564" s="3" t="s">
        <v>1540</v>
      </c>
      <c r="E564" s="3" t="s">
        <v>2677</v>
      </c>
      <c r="F564" s="3">
        <f>COUNTIF(C564,PickedPlayers!D:D)</f>
        <v>0</v>
      </c>
      <c r="G564" s="3" t="str">
        <f t="shared" si="8"/>
        <v>Yes</v>
      </c>
    </row>
    <row r="565" spans="1:7" hidden="1" x14ac:dyDescent="0.25">
      <c r="A565" s="3" t="s">
        <v>592</v>
      </c>
      <c r="B565" s="3" t="s">
        <v>1579</v>
      </c>
      <c r="C565" s="3" t="s">
        <v>1580</v>
      </c>
      <c r="D565" s="3" t="s">
        <v>1540</v>
      </c>
      <c r="E565" s="3" t="s">
        <v>2677</v>
      </c>
      <c r="F565" s="3">
        <f>COUNTIF(C565,PickedPlayers!D:D)</f>
        <v>0</v>
      </c>
      <c r="G565" s="3" t="str">
        <f t="shared" si="8"/>
        <v>Yes</v>
      </c>
    </row>
    <row r="566" spans="1:7" hidden="1" x14ac:dyDescent="0.25">
      <c r="A566" s="3" t="s">
        <v>592</v>
      </c>
      <c r="B566" s="3" t="s">
        <v>1577</v>
      </c>
      <c r="C566" s="3" t="s">
        <v>1578</v>
      </c>
      <c r="D566" s="3" t="s">
        <v>1540</v>
      </c>
      <c r="E566" s="3" t="s">
        <v>2677</v>
      </c>
      <c r="F566" s="3">
        <f>COUNTIF(C566,PickedPlayers!D:D)</f>
        <v>0</v>
      </c>
      <c r="G566" s="3" t="str">
        <f t="shared" si="8"/>
        <v>Yes</v>
      </c>
    </row>
    <row r="567" spans="1:7" hidden="1" x14ac:dyDescent="0.25">
      <c r="A567" s="3" t="s">
        <v>592</v>
      </c>
      <c r="B567" s="3" t="s">
        <v>1587</v>
      </c>
      <c r="C567" s="3" t="s">
        <v>1588</v>
      </c>
      <c r="D567" s="3" t="s">
        <v>1540</v>
      </c>
      <c r="E567" s="3" t="s">
        <v>2677</v>
      </c>
      <c r="F567" s="3">
        <f>COUNTIF(C567,PickedPlayers!D:D)</f>
        <v>0</v>
      </c>
      <c r="G567" s="3" t="str">
        <f t="shared" si="8"/>
        <v>Yes</v>
      </c>
    </row>
    <row r="568" spans="1:7" hidden="1" x14ac:dyDescent="0.25">
      <c r="A568" s="3" t="s">
        <v>592</v>
      </c>
      <c r="B568" s="3" t="s">
        <v>1585</v>
      </c>
      <c r="C568" s="3" t="s">
        <v>1586</v>
      </c>
      <c r="D568" s="3" t="s">
        <v>1540</v>
      </c>
      <c r="E568" s="3" t="s">
        <v>2677</v>
      </c>
      <c r="F568" s="3">
        <f>COUNTIF(C568,PickedPlayers!D:D)</f>
        <v>0</v>
      </c>
      <c r="G568" s="3" t="str">
        <f t="shared" si="8"/>
        <v>Yes</v>
      </c>
    </row>
    <row r="569" spans="1:7" hidden="1" x14ac:dyDescent="0.25">
      <c r="A569" s="3" t="s">
        <v>592</v>
      </c>
      <c r="B569" s="3" t="s">
        <v>1581</v>
      </c>
      <c r="C569" s="3" t="s">
        <v>1582</v>
      </c>
      <c r="D569" s="3" t="s">
        <v>1540</v>
      </c>
      <c r="E569" s="3" t="s">
        <v>2677</v>
      </c>
      <c r="F569" s="3">
        <f>COUNTIF(C569,PickedPlayers!D:D)</f>
        <v>0</v>
      </c>
      <c r="G569" s="3" t="str">
        <f t="shared" si="8"/>
        <v>Yes</v>
      </c>
    </row>
    <row r="570" spans="1:7" hidden="1" x14ac:dyDescent="0.25">
      <c r="A570" s="3" t="s">
        <v>592</v>
      </c>
      <c r="B570" s="3" t="s">
        <v>1583</v>
      </c>
      <c r="C570" s="3" t="s">
        <v>1584</v>
      </c>
      <c r="D570" s="3" t="s">
        <v>1540</v>
      </c>
      <c r="E570" s="3" t="s">
        <v>2677</v>
      </c>
      <c r="F570" s="3">
        <f>COUNTIF(C570,PickedPlayers!D:D)</f>
        <v>0</v>
      </c>
      <c r="G570" s="3" t="str">
        <f t="shared" si="8"/>
        <v>Yes</v>
      </c>
    </row>
    <row r="571" spans="1:7" hidden="1" x14ac:dyDescent="0.25">
      <c r="A571" s="3" t="s">
        <v>551</v>
      </c>
      <c r="B571" s="3" t="s">
        <v>1592</v>
      </c>
      <c r="C571" s="3" t="s">
        <v>1592</v>
      </c>
      <c r="D571" s="3" t="s">
        <v>127</v>
      </c>
      <c r="E571" s="3" t="s">
        <v>2673</v>
      </c>
      <c r="F571" s="3">
        <f>COUNTIF(C571,PickedPlayers!D:D)</f>
        <v>0</v>
      </c>
      <c r="G571" s="3" t="str">
        <f t="shared" si="8"/>
        <v>Yes</v>
      </c>
    </row>
    <row r="572" spans="1:7" hidden="1" x14ac:dyDescent="0.25">
      <c r="A572" s="3" t="s">
        <v>551</v>
      </c>
      <c r="B572" s="3" t="s">
        <v>1591</v>
      </c>
      <c r="C572" s="3" t="s">
        <v>1591</v>
      </c>
      <c r="D572" s="3" t="s">
        <v>127</v>
      </c>
      <c r="E572" s="3" t="s">
        <v>2673</v>
      </c>
      <c r="F572" s="3">
        <f>COUNTIF(C572,PickedPlayers!D:D)</f>
        <v>0</v>
      </c>
      <c r="G572" s="3" t="str">
        <f t="shared" si="8"/>
        <v>Yes</v>
      </c>
    </row>
    <row r="573" spans="1:7" hidden="1" x14ac:dyDescent="0.25">
      <c r="A573" s="3" t="s">
        <v>551</v>
      </c>
      <c r="B573" s="3" t="s">
        <v>1593</v>
      </c>
      <c r="C573" s="3" t="s">
        <v>1593</v>
      </c>
      <c r="D573" s="3" t="s">
        <v>127</v>
      </c>
      <c r="E573" s="3" t="s">
        <v>2673</v>
      </c>
      <c r="F573" s="3">
        <f>COUNTIF(C573,PickedPlayers!D:D)</f>
        <v>0</v>
      </c>
      <c r="G573" s="3" t="str">
        <f t="shared" si="8"/>
        <v>Yes</v>
      </c>
    </row>
    <row r="574" spans="1:7" hidden="1" x14ac:dyDescent="0.25">
      <c r="A574" s="3" t="s">
        <v>558</v>
      </c>
      <c r="B574" s="3" t="s">
        <v>1595</v>
      </c>
      <c r="C574" s="3" t="s">
        <v>1595</v>
      </c>
      <c r="D574" s="3" t="s">
        <v>127</v>
      </c>
      <c r="E574" s="3" t="s">
        <v>2674</v>
      </c>
      <c r="F574" s="3">
        <f>COUNTIF(C574,PickedPlayers!D:D)</f>
        <v>0</v>
      </c>
      <c r="G574" s="3" t="str">
        <f t="shared" si="8"/>
        <v>Yes</v>
      </c>
    </row>
    <row r="575" spans="1:7" hidden="1" x14ac:dyDescent="0.25">
      <c r="A575" s="3" t="s">
        <v>558</v>
      </c>
      <c r="B575" s="3" t="s">
        <v>1600</v>
      </c>
      <c r="C575" s="3" t="s">
        <v>1600</v>
      </c>
      <c r="D575" s="3" t="s">
        <v>127</v>
      </c>
      <c r="E575" s="3" t="s">
        <v>2674</v>
      </c>
      <c r="F575" s="3">
        <f>COUNTIF(C575,PickedPlayers!D:D)</f>
        <v>0</v>
      </c>
      <c r="G575" s="3" t="str">
        <f t="shared" si="8"/>
        <v>Yes</v>
      </c>
    </row>
    <row r="576" spans="1:7" hidden="1" x14ac:dyDescent="0.25">
      <c r="A576" s="3" t="s">
        <v>558</v>
      </c>
      <c r="B576" s="3" t="s">
        <v>1601</v>
      </c>
      <c r="C576" s="3" t="s">
        <v>1601</v>
      </c>
      <c r="D576" s="3" t="s">
        <v>127</v>
      </c>
      <c r="E576" s="3" t="s">
        <v>2674</v>
      </c>
      <c r="F576" s="3">
        <f>COUNTIF(C576,PickedPlayers!D:D)</f>
        <v>0</v>
      </c>
      <c r="G576" s="3" t="str">
        <f t="shared" si="8"/>
        <v>Yes</v>
      </c>
    </row>
    <row r="577" spans="1:7" hidden="1" x14ac:dyDescent="0.25">
      <c r="A577" s="3" t="s">
        <v>558</v>
      </c>
      <c r="B577" s="3" t="s">
        <v>1596</v>
      </c>
      <c r="C577" s="3" t="s">
        <v>1596</v>
      </c>
      <c r="D577" s="3" t="s">
        <v>127</v>
      </c>
      <c r="E577" s="3" t="s">
        <v>2674</v>
      </c>
      <c r="F577" s="3">
        <f>COUNTIF(C577,PickedPlayers!D:D)</f>
        <v>0</v>
      </c>
      <c r="G577" s="3" t="str">
        <f t="shared" si="8"/>
        <v>Yes</v>
      </c>
    </row>
    <row r="578" spans="1:7" hidden="1" x14ac:dyDescent="0.25">
      <c r="A578" s="3" t="s">
        <v>558</v>
      </c>
      <c r="B578" s="3" t="s">
        <v>1597</v>
      </c>
      <c r="C578" s="3" t="s">
        <v>1597</v>
      </c>
      <c r="D578" s="3" t="s">
        <v>127</v>
      </c>
      <c r="E578" s="3" t="s">
        <v>2674</v>
      </c>
      <c r="F578" s="3">
        <f>COUNTIF(C578,PickedPlayers!D:D)</f>
        <v>0</v>
      </c>
      <c r="G578" s="3" t="str">
        <f t="shared" si="8"/>
        <v>Yes</v>
      </c>
    </row>
    <row r="579" spans="1:7" hidden="1" x14ac:dyDescent="0.25">
      <c r="A579" s="3" t="s">
        <v>558</v>
      </c>
      <c r="B579" s="3" t="s">
        <v>1602</v>
      </c>
      <c r="C579" s="3" t="s">
        <v>1602</v>
      </c>
      <c r="D579" s="3" t="s">
        <v>127</v>
      </c>
      <c r="E579" s="3" t="s">
        <v>2674</v>
      </c>
      <c r="F579" s="3">
        <f>COUNTIF(C579,PickedPlayers!D:D)</f>
        <v>0</v>
      </c>
      <c r="G579" s="3" t="str">
        <f t="shared" ref="G579:G642" si="9">IF(F579&gt;0,"No","Yes")</f>
        <v>Yes</v>
      </c>
    </row>
    <row r="580" spans="1:7" hidden="1" x14ac:dyDescent="0.25">
      <c r="A580" s="3" t="s">
        <v>558</v>
      </c>
      <c r="B580" s="3" t="s">
        <v>1599</v>
      </c>
      <c r="C580" s="3" t="s">
        <v>1599</v>
      </c>
      <c r="D580" s="3" t="s">
        <v>127</v>
      </c>
      <c r="E580" s="3" t="s">
        <v>2674</v>
      </c>
      <c r="F580" s="3">
        <f>COUNTIF(C580,PickedPlayers!D:D)</f>
        <v>0</v>
      </c>
      <c r="G580" s="3" t="str">
        <f t="shared" si="9"/>
        <v>Yes</v>
      </c>
    </row>
    <row r="581" spans="1:7" hidden="1" x14ac:dyDescent="0.25">
      <c r="A581" s="3" t="s">
        <v>558</v>
      </c>
      <c r="B581" s="3" t="s">
        <v>1594</v>
      </c>
      <c r="C581" s="3" t="s">
        <v>1594</v>
      </c>
      <c r="D581" s="3" t="s">
        <v>127</v>
      </c>
      <c r="E581" s="3" t="s">
        <v>2674</v>
      </c>
      <c r="F581" s="3">
        <f>COUNTIF(C581,PickedPlayers!D:D)</f>
        <v>0</v>
      </c>
      <c r="G581" s="3" t="str">
        <f t="shared" si="9"/>
        <v>Yes</v>
      </c>
    </row>
    <row r="582" spans="1:7" hidden="1" x14ac:dyDescent="0.25">
      <c r="A582" s="3" t="s">
        <v>558</v>
      </c>
      <c r="B582" s="3" t="s">
        <v>1598</v>
      </c>
      <c r="C582" s="3" t="s">
        <v>1598</v>
      </c>
      <c r="D582" s="3" t="s">
        <v>127</v>
      </c>
      <c r="E582" s="3" t="s">
        <v>2674</v>
      </c>
      <c r="F582" s="3">
        <f>COUNTIF(C582,PickedPlayers!D:D)</f>
        <v>0</v>
      </c>
      <c r="G582" s="3" t="str">
        <f t="shared" si="9"/>
        <v>Yes</v>
      </c>
    </row>
    <row r="583" spans="1:7" hidden="1" x14ac:dyDescent="0.25">
      <c r="A583" s="3" t="s">
        <v>577</v>
      </c>
      <c r="B583" s="3" t="s">
        <v>1604</v>
      </c>
      <c r="C583" s="3" t="s">
        <v>1604</v>
      </c>
      <c r="D583" s="3" t="s">
        <v>127</v>
      </c>
      <c r="E583" s="3" t="s">
        <v>2675</v>
      </c>
      <c r="F583" s="3">
        <f>COUNTIF(C583,PickedPlayers!D:D)</f>
        <v>0</v>
      </c>
      <c r="G583" s="3" t="str">
        <f t="shared" si="9"/>
        <v>Yes</v>
      </c>
    </row>
    <row r="584" spans="1:7" hidden="1" x14ac:dyDescent="0.25">
      <c r="A584" s="3" t="s">
        <v>577</v>
      </c>
      <c r="B584" s="3" t="s">
        <v>1607</v>
      </c>
      <c r="C584" s="3" t="s">
        <v>1607</v>
      </c>
      <c r="D584" s="3" t="s">
        <v>127</v>
      </c>
      <c r="E584" s="3" t="s">
        <v>2675</v>
      </c>
      <c r="F584" s="3">
        <f>COUNTIF(C584,PickedPlayers!D:D)</f>
        <v>0</v>
      </c>
      <c r="G584" s="3" t="str">
        <f t="shared" si="9"/>
        <v>Yes</v>
      </c>
    </row>
    <row r="585" spans="1:7" hidden="1" x14ac:dyDescent="0.25">
      <c r="A585" s="3" t="s">
        <v>577</v>
      </c>
      <c r="B585" s="3" t="s">
        <v>1603</v>
      </c>
      <c r="C585" s="3" t="s">
        <v>1603</v>
      </c>
      <c r="D585" s="3" t="s">
        <v>127</v>
      </c>
      <c r="E585" s="3" t="s">
        <v>2675</v>
      </c>
      <c r="F585" s="3">
        <f>COUNTIF(C585,PickedPlayers!D:D)</f>
        <v>0</v>
      </c>
      <c r="G585" s="3" t="str">
        <f t="shared" si="9"/>
        <v>Yes</v>
      </c>
    </row>
    <row r="586" spans="1:7" hidden="1" x14ac:dyDescent="0.25">
      <c r="A586" s="3" t="s">
        <v>577</v>
      </c>
      <c r="B586" s="3" t="s">
        <v>1609</v>
      </c>
      <c r="C586" s="3" t="s">
        <v>1610</v>
      </c>
      <c r="D586" s="3" t="s">
        <v>127</v>
      </c>
      <c r="E586" s="3" t="s">
        <v>2675</v>
      </c>
      <c r="F586" s="3">
        <f>COUNTIF(C586,PickedPlayers!D:D)</f>
        <v>0</v>
      </c>
      <c r="G586" s="3" t="str">
        <f t="shared" si="9"/>
        <v>Yes</v>
      </c>
    </row>
    <row r="587" spans="1:7" hidden="1" x14ac:dyDescent="0.25">
      <c r="A587" s="3" t="s">
        <v>577</v>
      </c>
      <c r="B587" s="3" t="s">
        <v>1606</v>
      </c>
      <c r="C587" s="3" t="s">
        <v>1606</v>
      </c>
      <c r="D587" s="3" t="s">
        <v>127</v>
      </c>
      <c r="E587" s="3" t="s">
        <v>2675</v>
      </c>
      <c r="F587" s="3">
        <f>COUNTIF(C587,PickedPlayers!D:D)</f>
        <v>0</v>
      </c>
      <c r="G587" s="3" t="str">
        <f t="shared" si="9"/>
        <v>Yes</v>
      </c>
    </row>
    <row r="588" spans="1:7" hidden="1" x14ac:dyDescent="0.25">
      <c r="A588" s="3" t="s">
        <v>577</v>
      </c>
      <c r="B588" s="3" t="s">
        <v>1608</v>
      </c>
      <c r="C588" s="3" t="s">
        <v>1608</v>
      </c>
      <c r="D588" s="3" t="s">
        <v>127</v>
      </c>
      <c r="E588" s="3" t="s">
        <v>2675</v>
      </c>
      <c r="F588" s="3">
        <f>COUNTIF(C588,PickedPlayers!D:D)</f>
        <v>0</v>
      </c>
      <c r="G588" s="3" t="str">
        <f t="shared" si="9"/>
        <v>Yes</v>
      </c>
    </row>
    <row r="589" spans="1:7" hidden="1" x14ac:dyDescent="0.25">
      <c r="A589" s="3" t="s">
        <v>577</v>
      </c>
      <c r="B589" s="3" t="s">
        <v>1605</v>
      </c>
      <c r="C589" s="3" t="s">
        <v>1605</v>
      </c>
      <c r="D589" s="3" t="s">
        <v>127</v>
      </c>
      <c r="E589" s="3" t="s">
        <v>2675</v>
      </c>
      <c r="F589" s="3">
        <f>COUNTIF(C589,PickedPlayers!D:D)</f>
        <v>0</v>
      </c>
      <c r="G589" s="3" t="str">
        <f t="shared" si="9"/>
        <v>Yes</v>
      </c>
    </row>
    <row r="590" spans="1:7" hidden="1" x14ac:dyDescent="0.25">
      <c r="A590" s="3" t="s">
        <v>592</v>
      </c>
      <c r="B590" s="3" t="s">
        <v>1617</v>
      </c>
      <c r="C590" s="3" t="s">
        <v>1617</v>
      </c>
      <c r="D590" s="3" t="s">
        <v>127</v>
      </c>
      <c r="E590" s="3" t="s">
        <v>2677</v>
      </c>
      <c r="F590" s="3">
        <f>COUNTIF(C590,PickedPlayers!D:D)</f>
        <v>0</v>
      </c>
      <c r="G590" s="3" t="str">
        <f t="shared" si="9"/>
        <v>Yes</v>
      </c>
    </row>
    <row r="591" spans="1:7" hidden="1" x14ac:dyDescent="0.25">
      <c r="A591" s="3" t="s">
        <v>592</v>
      </c>
      <c r="B591" s="3" t="s">
        <v>1613</v>
      </c>
      <c r="C591" s="3" t="s">
        <v>1613</v>
      </c>
      <c r="D591" s="3" t="s">
        <v>127</v>
      </c>
      <c r="E591" s="3" t="s">
        <v>2677</v>
      </c>
      <c r="F591" s="3">
        <f>COUNTIF(C591,PickedPlayers!D:D)</f>
        <v>0</v>
      </c>
      <c r="G591" s="3" t="str">
        <f t="shared" si="9"/>
        <v>Yes</v>
      </c>
    </row>
    <row r="592" spans="1:7" hidden="1" x14ac:dyDescent="0.25">
      <c r="A592" s="3" t="s">
        <v>592</v>
      </c>
      <c r="B592" s="3" t="s">
        <v>1614</v>
      </c>
      <c r="C592" s="3" t="s">
        <v>1614</v>
      </c>
      <c r="D592" s="3" t="s">
        <v>127</v>
      </c>
      <c r="E592" s="3" t="s">
        <v>2677</v>
      </c>
      <c r="F592" s="3">
        <f>COUNTIF(C592,PickedPlayers!D:D)</f>
        <v>0</v>
      </c>
      <c r="G592" s="3" t="str">
        <f t="shared" si="9"/>
        <v>Yes</v>
      </c>
    </row>
    <row r="593" spans="1:7" hidden="1" x14ac:dyDescent="0.25">
      <c r="A593" s="3" t="s">
        <v>592</v>
      </c>
      <c r="B593" s="3" t="s">
        <v>1612</v>
      </c>
      <c r="C593" s="3" t="s">
        <v>1612</v>
      </c>
      <c r="D593" s="3" t="s">
        <v>127</v>
      </c>
      <c r="E593" s="3" t="s">
        <v>2677</v>
      </c>
      <c r="F593" s="3">
        <f>COUNTIF(C593,PickedPlayers!D:D)</f>
        <v>0</v>
      </c>
      <c r="G593" s="3" t="str">
        <f t="shared" si="9"/>
        <v>Yes</v>
      </c>
    </row>
    <row r="594" spans="1:7" hidden="1" x14ac:dyDescent="0.25">
      <c r="A594" s="3" t="s">
        <v>592</v>
      </c>
      <c r="B594" s="3" t="s">
        <v>1616</v>
      </c>
      <c r="C594" s="3" t="s">
        <v>1616</v>
      </c>
      <c r="D594" s="3" t="s">
        <v>127</v>
      </c>
      <c r="E594" s="3" t="s">
        <v>2677</v>
      </c>
      <c r="F594" s="3">
        <f>COUNTIF(C594,PickedPlayers!D:D)</f>
        <v>0</v>
      </c>
      <c r="G594" s="3" t="str">
        <f t="shared" si="9"/>
        <v>Yes</v>
      </c>
    </row>
    <row r="595" spans="1:7" hidden="1" x14ac:dyDescent="0.25">
      <c r="A595" s="3" t="s">
        <v>592</v>
      </c>
      <c r="B595" s="3" t="s">
        <v>1615</v>
      </c>
      <c r="C595" s="3" t="s">
        <v>1615</v>
      </c>
      <c r="D595" s="3" t="s">
        <v>127</v>
      </c>
      <c r="E595" s="3" t="s">
        <v>2677</v>
      </c>
      <c r="F595" s="3">
        <f>COUNTIF(C595,PickedPlayers!D:D)</f>
        <v>0</v>
      </c>
      <c r="G595" s="3" t="str">
        <f t="shared" si="9"/>
        <v>Yes</v>
      </c>
    </row>
    <row r="596" spans="1:7" hidden="1" x14ac:dyDescent="0.25">
      <c r="A596" s="3" t="s">
        <v>592</v>
      </c>
      <c r="B596" s="3" t="s">
        <v>1611</v>
      </c>
      <c r="C596" s="3" t="s">
        <v>1611</v>
      </c>
      <c r="D596" s="3" t="s">
        <v>127</v>
      </c>
      <c r="E596" s="3" t="s">
        <v>2677</v>
      </c>
      <c r="F596" s="3">
        <f>COUNTIF(C596,PickedPlayers!D:D)</f>
        <v>0</v>
      </c>
      <c r="G596" s="3" t="str">
        <f t="shared" si="9"/>
        <v>Yes</v>
      </c>
    </row>
    <row r="597" spans="1:7" hidden="1" x14ac:dyDescent="0.25">
      <c r="A597" s="3" t="s">
        <v>551</v>
      </c>
      <c r="B597" s="3" t="s">
        <v>1192</v>
      </c>
      <c r="C597" s="3" t="s">
        <v>1193</v>
      </c>
      <c r="D597" s="3" t="s">
        <v>2699</v>
      </c>
      <c r="E597" s="3" t="s">
        <v>2673</v>
      </c>
      <c r="F597" s="3">
        <f>COUNTIF(C597,PickedPlayers!D:D)</f>
        <v>0</v>
      </c>
      <c r="G597" s="3" t="str">
        <f t="shared" si="9"/>
        <v>Yes</v>
      </c>
    </row>
    <row r="598" spans="1:7" hidden="1" x14ac:dyDescent="0.25">
      <c r="A598" s="3" t="s">
        <v>551</v>
      </c>
      <c r="B598" s="3" t="s">
        <v>1194</v>
      </c>
      <c r="C598" s="3" t="s">
        <v>1195</v>
      </c>
      <c r="D598" s="3" t="s">
        <v>2699</v>
      </c>
      <c r="E598" s="3" t="s">
        <v>2673</v>
      </c>
      <c r="F598" s="3">
        <f>COUNTIF(C598,PickedPlayers!D:D)</f>
        <v>0</v>
      </c>
      <c r="G598" s="3" t="str">
        <f t="shared" si="9"/>
        <v>Yes</v>
      </c>
    </row>
    <row r="599" spans="1:7" hidden="1" x14ac:dyDescent="0.25">
      <c r="A599" s="3" t="s">
        <v>551</v>
      </c>
      <c r="B599" s="3" t="s">
        <v>1190</v>
      </c>
      <c r="C599" s="3" t="s">
        <v>1191</v>
      </c>
      <c r="D599" s="3" t="s">
        <v>2699</v>
      </c>
      <c r="E599" s="3" t="s">
        <v>2673</v>
      </c>
      <c r="F599" s="3">
        <f>COUNTIF(C599,PickedPlayers!D:D)</f>
        <v>0</v>
      </c>
      <c r="G599" s="3" t="str">
        <f t="shared" si="9"/>
        <v>Yes</v>
      </c>
    </row>
    <row r="600" spans="1:7" hidden="1" x14ac:dyDescent="0.25">
      <c r="A600" s="3" t="s">
        <v>558</v>
      </c>
      <c r="B600" s="3" t="s">
        <v>1198</v>
      </c>
      <c r="C600" s="3" t="s">
        <v>1199</v>
      </c>
      <c r="D600" s="3" t="s">
        <v>2699</v>
      </c>
      <c r="E600" s="3" t="s">
        <v>2674</v>
      </c>
      <c r="F600" s="3">
        <f>COUNTIF(C600,PickedPlayers!D:D)</f>
        <v>0</v>
      </c>
      <c r="G600" s="3" t="str">
        <f t="shared" si="9"/>
        <v>Yes</v>
      </c>
    </row>
    <row r="601" spans="1:7" hidden="1" x14ac:dyDescent="0.25">
      <c r="A601" s="3" t="s">
        <v>558</v>
      </c>
      <c r="B601" s="3" t="s">
        <v>1206</v>
      </c>
      <c r="C601" s="3" t="s">
        <v>1207</v>
      </c>
      <c r="D601" s="3" t="s">
        <v>2699</v>
      </c>
      <c r="E601" s="3" t="s">
        <v>2674</v>
      </c>
      <c r="F601" s="3">
        <f>COUNTIF(C601,PickedPlayers!D:D)</f>
        <v>0</v>
      </c>
      <c r="G601" s="3" t="str">
        <f t="shared" si="9"/>
        <v>Yes</v>
      </c>
    </row>
    <row r="602" spans="1:7" hidden="1" x14ac:dyDescent="0.25">
      <c r="A602" s="3" t="s">
        <v>558</v>
      </c>
      <c r="B602" s="3" t="s">
        <v>1210</v>
      </c>
      <c r="C602" s="3" t="s">
        <v>1211</v>
      </c>
      <c r="D602" s="3" t="s">
        <v>2699</v>
      </c>
      <c r="E602" s="3" t="s">
        <v>2674</v>
      </c>
      <c r="F602" s="3">
        <f>COUNTIF(C602,PickedPlayers!D:D)</f>
        <v>0</v>
      </c>
      <c r="G602" s="3" t="str">
        <f t="shared" si="9"/>
        <v>Yes</v>
      </c>
    </row>
    <row r="603" spans="1:7" hidden="1" x14ac:dyDescent="0.25">
      <c r="A603" s="3" t="s">
        <v>558</v>
      </c>
      <c r="B603" s="3" t="s">
        <v>1202</v>
      </c>
      <c r="C603" s="3" t="s">
        <v>1203</v>
      </c>
      <c r="D603" s="3" t="s">
        <v>2699</v>
      </c>
      <c r="E603" s="3" t="s">
        <v>2674</v>
      </c>
      <c r="F603" s="3">
        <f>COUNTIF(C603,PickedPlayers!D:D)</f>
        <v>0</v>
      </c>
      <c r="G603" s="3" t="str">
        <f t="shared" si="9"/>
        <v>Yes</v>
      </c>
    </row>
    <row r="604" spans="1:7" hidden="1" x14ac:dyDescent="0.25">
      <c r="A604" s="3" t="s">
        <v>558</v>
      </c>
      <c r="B604" s="3" t="s">
        <v>1200</v>
      </c>
      <c r="C604" s="3" t="s">
        <v>1201</v>
      </c>
      <c r="D604" s="3" t="s">
        <v>2699</v>
      </c>
      <c r="E604" s="3" t="s">
        <v>2674</v>
      </c>
      <c r="F604" s="3">
        <f>COUNTIF(C604,PickedPlayers!D:D)</f>
        <v>0</v>
      </c>
      <c r="G604" s="3" t="str">
        <f t="shared" si="9"/>
        <v>Yes</v>
      </c>
    </row>
    <row r="605" spans="1:7" hidden="1" x14ac:dyDescent="0.25">
      <c r="A605" s="3" t="s">
        <v>558</v>
      </c>
      <c r="B605" s="3" t="s">
        <v>1196</v>
      </c>
      <c r="C605" s="3" t="s">
        <v>1197</v>
      </c>
      <c r="D605" s="3" t="s">
        <v>2699</v>
      </c>
      <c r="E605" s="3" t="s">
        <v>2674</v>
      </c>
      <c r="F605" s="3">
        <f>COUNTIF(C605,PickedPlayers!D:D)</f>
        <v>0</v>
      </c>
      <c r="G605" s="3" t="str">
        <f t="shared" si="9"/>
        <v>Yes</v>
      </c>
    </row>
    <row r="606" spans="1:7" hidden="1" x14ac:dyDescent="0.25">
      <c r="A606" s="3" t="s">
        <v>558</v>
      </c>
      <c r="B606" s="3" t="s">
        <v>1208</v>
      </c>
      <c r="C606" s="3" t="s">
        <v>1209</v>
      </c>
      <c r="D606" s="3" t="s">
        <v>2699</v>
      </c>
      <c r="E606" s="3" t="s">
        <v>2674</v>
      </c>
      <c r="F606" s="3">
        <f>COUNTIF(C606,PickedPlayers!D:D)</f>
        <v>0</v>
      </c>
      <c r="G606" s="3" t="str">
        <f t="shared" si="9"/>
        <v>Yes</v>
      </c>
    </row>
    <row r="607" spans="1:7" hidden="1" x14ac:dyDescent="0.25">
      <c r="A607" s="3" t="s">
        <v>558</v>
      </c>
      <c r="B607" s="3" t="s">
        <v>1204</v>
      </c>
      <c r="C607" s="3" t="s">
        <v>1205</v>
      </c>
      <c r="D607" s="3" t="s">
        <v>2699</v>
      </c>
      <c r="E607" s="3" t="s">
        <v>2674</v>
      </c>
      <c r="F607" s="3">
        <f>COUNTIF(C607,PickedPlayers!D:D)</f>
        <v>0</v>
      </c>
      <c r="G607" s="3" t="str">
        <f t="shared" si="9"/>
        <v>Yes</v>
      </c>
    </row>
    <row r="608" spans="1:7" x14ac:dyDescent="0.25">
      <c r="A608" s="3" t="s">
        <v>577</v>
      </c>
      <c r="B608" s="3" t="s">
        <v>1221</v>
      </c>
      <c r="C608" s="3" t="s">
        <v>1222</v>
      </c>
      <c r="D608" s="3" t="s">
        <v>2699</v>
      </c>
      <c r="E608" s="3" t="s">
        <v>2675</v>
      </c>
      <c r="F608" s="3">
        <f>COUNTIF(C608,PickedPlayers!D:D)</f>
        <v>0</v>
      </c>
      <c r="G608" s="3" t="str">
        <f t="shared" si="9"/>
        <v>Yes</v>
      </c>
    </row>
    <row r="609" spans="1:7" x14ac:dyDescent="0.25">
      <c r="A609" s="3" t="s">
        <v>577</v>
      </c>
      <c r="B609" s="3" t="s">
        <v>1219</v>
      </c>
      <c r="C609" s="3" t="s">
        <v>1220</v>
      </c>
      <c r="D609" s="3" t="s">
        <v>2699</v>
      </c>
      <c r="E609" s="3" t="s">
        <v>2675</v>
      </c>
      <c r="F609" s="3">
        <f>COUNTIF(C609,PickedPlayers!D:D)</f>
        <v>0</v>
      </c>
      <c r="G609" s="3" t="str">
        <f t="shared" si="9"/>
        <v>Yes</v>
      </c>
    </row>
    <row r="610" spans="1:7" x14ac:dyDescent="0.25">
      <c r="A610" s="3" t="s">
        <v>577</v>
      </c>
      <c r="B610" s="3" t="s">
        <v>1214</v>
      </c>
      <c r="C610" s="3" t="s">
        <v>533</v>
      </c>
      <c r="D610" s="3" t="s">
        <v>2699</v>
      </c>
      <c r="E610" s="3" t="s">
        <v>2675</v>
      </c>
      <c r="F610" s="3">
        <f>COUNTIF(C610,PickedPlayers!D:D)</f>
        <v>0</v>
      </c>
      <c r="G610" s="3" t="str">
        <f t="shared" si="9"/>
        <v>Yes</v>
      </c>
    </row>
    <row r="611" spans="1:7" x14ac:dyDescent="0.25">
      <c r="A611" s="3" t="s">
        <v>577</v>
      </c>
      <c r="B611" s="3" t="s">
        <v>1212</v>
      </c>
      <c r="C611" s="3" t="s">
        <v>1213</v>
      </c>
      <c r="D611" s="3" t="s">
        <v>2699</v>
      </c>
      <c r="E611" s="3" t="s">
        <v>2675</v>
      </c>
      <c r="F611" s="3">
        <f>COUNTIF(C611,PickedPlayers!D:D)</f>
        <v>0</v>
      </c>
      <c r="G611" s="3" t="str">
        <f t="shared" si="9"/>
        <v>Yes</v>
      </c>
    </row>
    <row r="612" spans="1:7" x14ac:dyDescent="0.25">
      <c r="A612" s="3" t="s">
        <v>577</v>
      </c>
      <c r="B612" s="3" t="s">
        <v>1217</v>
      </c>
      <c r="C612" s="3" t="s">
        <v>1218</v>
      </c>
      <c r="D612" s="3" t="s">
        <v>2699</v>
      </c>
      <c r="E612" s="3" t="s">
        <v>2675</v>
      </c>
      <c r="F612" s="3">
        <f>COUNTIF(C612,PickedPlayers!D:D)</f>
        <v>0</v>
      </c>
      <c r="G612" s="3" t="str">
        <f t="shared" si="9"/>
        <v>Yes</v>
      </c>
    </row>
    <row r="613" spans="1:7" x14ac:dyDescent="0.25">
      <c r="A613" s="3" t="s">
        <v>577</v>
      </c>
      <c r="B613" s="3" t="s">
        <v>1215</v>
      </c>
      <c r="C613" s="3" t="s">
        <v>1216</v>
      </c>
      <c r="D613" s="3" t="s">
        <v>2699</v>
      </c>
      <c r="E613" s="3" t="s">
        <v>2675</v>
      </c>
      <c r="F613" s="3">
        <f>COUNTIF(C613,PickedPlayers!D:D)</f>
        <v>0</v>
      </c>
      <c r="G613" s="3" t="str">
        <f t="shared" si="9"/>
        <v>Yes</v>
      </c>
    </row>
    <row r="614" spans="1:7" hidden="1" x14ac:dyDescent="0.25">
      <c r="A614" s="3" t="s">
        <v>592</v>
      </c>
      <c r="B614" s="3" t="s">
        <v>1223</v>
      </c>
      <c r="C614" s="3" t="s">
        <v>1224</v>
      </c>
      <c r="D614" s="3" t="s">
        <v>2699</v>
      </c>
      <c r="E614" s="3" t="s">
        <v>2677</v>
      </c>
      <c r="F614" s="3">
        <f>COUNTIF(C614,PickedPlayers!D:D)</f>
        <v>0</v>
      </c>
      <c r="G614" s="3" t="str">
        <f t="shared" si="9"/>
        <v>Yes</v>
      </c>
    </row>
    <row r="615" spans="1:7" hidden="1" x14ac:dyDescent="0.25">
      <c r="A615" s="3" t="s">
        <v>592</v>
      </c>
      <c r="B615" s="3" t="s">
        <v>1225</v>
      </c>
      <c r="C615" s="3" t="s">
        <v>1226</v>
      </c>
      <c r="D615" s="3" t="s">
        <v>2699</v>
      </c>
      <c r="E615" s="3" t="s">
        <v>2677</v>
      </c>
      <c r="F615" s="3">
        <f>COUNTIF(C615,PickedPlayers!D:D)</f>
        <v>0</v>
      </c>
      <c r="G615" s="3" t="str">
        <f t="shared" si="9"/>
        <v>Yes</v>
      </c>
    </row>
    <row r="616" spans="1:7" hidden="1" x14ac:dyDescent="0.25">
      <c r="A616" s="3" t="s">
        <v>592</v>
      </c>
      <c r="B616" s="3" t="s">
        <v>1237</v>
      </c>
      <c r="C616" s="3" t="s">
        <v>1238</v>
      </c>
      <c r="D616" s="3" t="s">
        <v>2699</v>
      </c>
      <c r="E616" s="3" t="s">
        <v>2677</v>
      </c>
      <c r="F616" s="3">
        <f>COUNTIF(C616,PickedPlayers!D:D)</f>
        <v>0</v>
      </c>
      <c r="G616" s="3" t="str">
        <f t="shared" si="9"/>
        <v>Yes</v>
      </c>
    </row>
    <row r="617" spans="1:7" hidden="1" x14ac:dyDescent="0.25">
      <c r="A617" s="3" t="s">
        <v>592</v>
      </c>
      <c r="B617" s="3" t="s">
        <v>1233</v>
      </c>
      <c r="C617" s="3" t="s">
        <v>1234</v>
      </c>
      <c r="D617" s="3" t="s">
        <v>2699</v>
      </c>
      <c r="E617" s="3" t="s">
        <v>2677</v>
      </c>
      <c r="F617" s="3">
        <f>COUNTIF(C617,PickedPlayers!D:D)</f>
        <v>0</v>
      </c>
      <c r="G617" s="3" t="str">
        <f t="shared" si="9"/>
        <v>Yes</v>
      </c>
    </row>
    <row r="618" spans="1:7" hidden="1" x14ac:dyDescent="0.25">
      <c r="A618" s="3" t="s">
        <v>592</v>
      </c>
      <c r="B618" s="3" t="s">
        <v>1235</v>
      </c>
      <c r="C618" s="3" t="s">
        <v>1236</v>
      </c>
      <c r="D618" s="3" t="s">
        <v>2699</v>
      </c>
      <c r="E618" s="3" t="s">
        <v>2677</v>
      </c>
      <c r="F618" s="3">
        <f>COUNTIF(C618,PickedPlayers!D:D)</f>
        <v>0</v>
      </c>
      <c r="G618" s="3" t="str">
        <f t="shared" si="9"/>
        <v>Yes</v>
      </c>
    </row>
    <row r="619" spans="1:7" hidden="1" x14ac:dyDescent="0.25">
      <c r="A619" s="3" t="s">
        <v>592</v>
      </c>
      <c r="B619" s="3" t="s">
        <v>1229</v>
      </c>
      <c r="C619" s="3" t="s">
        <v>1230</v>
      </c>
      <c r="D619" s="3" t="s">
        <v>2699</v>
      </c>
      <c r="E619" s="3" t="s">
        <v>2677</v>
      </c>
      <c r="F619" s="3">
        <f>COUNTIF(C619,PickedPlayers!D:D)</f>
        <v>0</v>
      </c>
      <c r="G619" s="3" t="str">
        <f t="shared" si="9"/>
        <v>Yes</v>
      </c>
    </row>
    <row r="620" spans="1:7" hidden="1" x14ac:dyDescent="0.25">
      <c r="A620" s="3" t="s">
        <v>592</v>
      </c>
      <c r="B620" s="3" t="s">
        <v>1239</v>
      </c>
      <c r="C620" s="3" t="s">
        <v>1240</v>
      </c>
      <c r="D620" s="3" t="s">
        <v>2699</v>
      </c>
      <c r="E620" s="3" t="s">
        <v>2677</v>
      </c>
      <c r="F620" s="3">
        <f>COUNTIF(C620,PickedPlayers!D:D)</f>
        <v>0</v>
      </c>
      <c r="G620" s="3" t="str">
        <f t="shared" si="9"/>
        <v>Yes</v>
      </c>
    </row>
    <row r="621" spans="1:7" hidden="1" x14ac:dyDescent="0.25">
      <c r="A621" s="3" t="s">
        <v>592</v>
      </c>
      <c r="B621" s="3" t="s">
        <v>1227</v>
      </c>
      <c r="C621" s="3" t="s">
        <v>1228</v>
      </c>
      <c r="D621" s="3" t="s">
        <v>2699</v>
      </c>
      <c r="E621" s="3" t="s">
        <v>2677</v>
      </c>
      <c r="F621" s="3">
        <f>COUNTIF(C621,PickedPlayers!D:D)</f>
        <v>0</v>
      </c>
      <c r="G621" s="3" t="str">
        <f t="shared" si="9"/>
        <v>Yes</v>
      </c>
    </row>
    <row r="622" spans="1:7" hidden="1" x14ac:dyDescent="0.25">
      <c r="A622" s="3" t="s">
        <v>592</v>
      </c>
      <c r="B622" s="3" t="s">
        <v>1231</v>
      </c>
      <c r="C622" s="3" t="s">
        <v>1232</v>
      </c>
      <c r="D622" s="3" t="s">
        <v>2699</v>
      </c>
      <c r="E622" s="3" t="s">
        <v>2677</v>
      </c>
      <c r="F622" s="3">
        <f>COUNTIF(C622,PickedPlayers!D:D)</f>
        <v>0</v>
      </c>
      <c r="G622" s="3" t="str">
        <f t="shared" si="9"/>
        <v>Yes</v>
      </c>
    </row>
    <row r="623" spans="1:7" hidden="1" x14ac:dyDescent="0.25">
      <c r="A623" s="3" t="s">
        <v>551</v>
      </c>
      <c r="B623" s="3" t="s">
        <v>1621</v>
      </c>
      <c r="C623" s="3" t="s">
        <v>1622</v>
      </c>
      <c r="D623" s="3" t="s">
        <v>79</v>
      </c>
      <c r="E623" s="3" t="s">
        <v>2673</v>
      </c>
      <c r="F623" s="3">
        <f>COUNTIF(C623,PickedPlayers!D:D)</f>
        <v>0</v>
      </c>
      <c r="G623" s="3" t="str">
        <f t="shared" si="9"/>
        <v>Yes</v>
      </c>
    </row>
    <row r="624" spans="1:7" hidden="1" x14ac:dyDescent="0.25">
      <c r="A624" s="3" t="s">
        <v>551</v>
      </c>
      <c r="B624" s="3" t="s">
        <v>1619</v>
      </c>
      <c r="C624" s="3" t="s">
        <v>1620</v>
      </c>
      <c r="D624" s="3" t="s">
        <v>79</v>
      </c>
      <c r="E624" s="3" t="s">
        <v>2673</v>
      </c>
      <c r="F624" s="3">
        <f>COUNTIF(C624,PickedPlayers!D:D)</f>
        <v>0</v>
      </c>
      <c r="G624" s="3" t="str">
        <f t="shared" si="9"/>
        <v>Yes</v>
      </c>
    </row>
    <row r="625" spans="1:7" hidden="1" x14ac:dyDescent="0.25">
      <c r="A625" s="3" t="s">
        <v>551</v>
      </c>
      <c r="B625" s="3" t="s">
        <v>1618</v>
      </c>
      <c r="C625" s="3" t="s">
        <v>517</v>
      </c>
      <c r="D625" s="3" t="s">
        <v>79</v>
      </c>
      <c r="E625" s="3" t="s">
        <v>2673</v>
      </c>
      <c r="F625" s="3">
        <f>COUNTIF(C625,PickedPlayers!D:D)</f>
        <v>0</v>
      </c>
      <c r="G625" s="3" t="str">
        <f t="shared" si="9"/>
        <v>Yes</v>
      </c>
    </row>
    <row r="626" spans="1:7" hidden="1" x14ac:dyDescent="0.25">
      <c r="A626" s="3" t="s">
        <v>558</v>
      </c>
      <c r="B626" s="3" t="s">
        <v>1625</v>
      </c>
      <c r="C626" s="3" t="s">
        <v>1626</v>
      </c>
      <c r="D626" s="3" t="s">
        <v>79</v>
      </c>
      <c r="E626" s="3" t="s">
        <v>2674</v>
      </c>
      <c r="F626" s="3">
        <f>COUNTIF(C626,PickedPlayers!D:D)</f>
        <v>0</v>
      </c>
      <c r="G626" s="3" t="str">
        <f t="shared" si="9"/>
        <v>Yes</v>
      </c>
    </row>
    <row r="627" spans="1:7" hidden="1" x14ac:dyDescent="0.25">
      <c r="A627" s="3" t="s">
        <v>558</v>
      </c>
      <c r="B627" s="3" t="s">
        <v>1629</v>
      </c>
      <c r="C627" s="3" t="s">
        <v>1630</v>
      </c>
      <c r="D627" s="3" t="s">
        <v>79</v>
      </c>
      <c r="E627" s="3" t="s">
        <v>2674</v>
      </c>
      <c r="F627" s="3">
        <f>COUNTIF(C627,PickedPlayers!D:D)</f>
        <v>0</v>
      </c>
      <c r="G627" s="3" t="str">
        <f t="shared" si="9"/>
        <v>Yes</v>
      </c>
    </row>
    <row r="628" spans="1:7" hidden="1" x14ac:dyDescent="0.25">
      <c r="A628" s="3" t="s">
        <v>558</v>
      </c>
      <c r="B628" s="3" t="s">
        <v>1637</v>
      </c>
      <c r="C628" s="3" t="s">
        <v>1638</v>
      </c>
      <c r="D628" s="3" t="s">
        <v>79</v>
      </c>
      <c r="E628" s="3" t="s">
        <v>2674</v>
      </c>
      <c r="F628" s="3">
        <f>COUNTIF(C628,PickedPlayers!D:D)</f>
        <v>0</v>
      </c>
      <c r="G628" s="3" t="str">
        <f t="shared" si="9"/>
        <v>Yes</v>
      </c>
    </row>
    <row r="629" spans="1:7" hidden="1" x14ac:dyDescent="0.25">
      <c r="A629" s="3" t="s">
        <v>558</v>
      </c>
      <c r="B629" s="3" t="s">
        <v>1631</v>
      </c>
      <c r="C629" s="3" t="s">
        <v>1632</v>
      </c>
      <c r="D629" s="3" t="s">
        <v>79</v>
      </c>
      <c r="E629" s="3" t="s">
        <v>2674</v>
      </c>
      <c r="F629" s="3">
        <f>COUNTIF(C629,PickedPlayers!D:D)</f>
        <v>0</v>
      </c>
      <c r="G629" s="3" t="str">
        <f t="shared" si="9"/>
        <v>Yes</v>
      </c>
    </row>
    <row r="630" spans="1:7" hidden="1" x14ac:dyDescent="0.25">
      <c r="A630" s="3" t="s">
        <v>558</v>
      </c>
      <c r="B630" s="3" t="s">
        <v>1627</v>
      </c>
      <c r="C630" s="3" t="s">
        <v>1628</v>
      </c>
      <c r="D630" s="3" t="s">
        <v>79</v>
      </c>
      <c r="E630" s="3" t="s">
        <v>2674</v>
      </c>
      <c r="F630" s="3">
        <f>COUNTIF(C630,PickedPlayers!D:D)</f>
        <v>0</v>
      </c>
      <c r="G630" s="3" t="str">
        <f t="shared" si="9"/>
        <v>Yes</v>
      </c>
    </row>
    <row r="631" spans="1:7" hidden="1" x14ac:dyDescent="0.25">
      <c r="A631" s="3" t="s">
        <v>558</v>
      </c>
      <c r="B631" s="3" t="s">
        <v>1633</v>
      </c>
      <c r="C631" s="3" t="s">
        <v>1634</v>
      </c>
      <c r="D631" s="3" t="s">
        <v>79</v>
      </c>
      <c r="E631" s="3" t="s">
        <v>2674</v>
      </c>
      <c r="F631" s="3">
        <f>COUNTIF(C631,PickedPlayers!D:D)</f>
        <v>0</v>
      </c>
      <c r="G631" s="3" t="str">
        <f t="shared" si="9"/>
        <v>Yes</v>
      </c>
    </row>
    <row r="632" spans="1:7" hidden="1" x14ac:dyDescent="0.25">
      <c r="A632" s="3" t="s">
        <v>558</v>
      </c>
      <c r="B632" s="3" t="s">
        <v>1639</v>
      </c>
      <c r="C632" s="3" t="s">
        <v>1640</v>
      </c>
      <c r="D632" s="3" t="s">
        <v>79</v>
      </c>
      <c r="E632" s="3" t="s">
        <v>2674</v>
      </c>
      <c r="F632" s="3">
        <f>COUNTIF(C632,PickedPlayers!D:D)</f>
        <v>0</v>
      </c>
      <c r="G632" s="3" t="str">
        <f t="shared" si="9"/>
        <v>Yes</v>
      </c>
    </row>
    <row r="633" spans="1:7" hidden="1" x14ac:dyDescent="0.25">
      <c r="A633" s="3" t="s">
        <v>558</v>
      </c>
      <c r="B633" s="3" t="s">
        <v>1635</v>
      </c>
      <c r="C633" s="3" t="s">
        <v>1636</v>
      </c>
      <c r="D633" s="3" t="s">
        <v>79</v>
      </c>
      <c r="E633" s="3" t="s">
        <v>2674</v>
      </c>
      <c r="F633" s="3">
        <f>COUNTIF(C633,PickedPlayers!D:D)</f>
        <v>0</v>
      </c>
      <c r="G633" s="3" t="str">
        <f t="shared" si="9"/>
        <v>Yes</v>
      </c>
    </row>
    <row r="634" spans="1:7" hidden="1" x14ac:dyDescent="0.25">
      <c r="A634" s="3" t="s">
        <v>558</v>
      </c>
      <c r="B634" s="3" t="s">
        <v>1623</v>
      </c>
      <c r="C634" s="3" t="s">
        <v>1624</v>
      </c>
      <c r="D634" s="3" t="s">
        <v>79</v>
      </c>
      <c r="E634" s="3" t="s">
        <v>2674</v>
      </c>
      <c r="F634" s="3">
        <f>COUNTIF(C634,PickedPlayers!D:D)</f>
        <v>0</v>
      </c>
      <c r="G634" s="3" t="str">
        <f t="shared" si="9"/>
        <v>Yes</v>
      </c>
    </row>
    <row r="635" spans="1:7" x14ac:dyDescent="0.25">
      <c r="A635" s="3" t="s">
        <v>577</v>
      </c>
      <c r="B635" s="3" t="s">
        <v>1645</v>
      </c>
      <c r="C635" s="3" t="s">
        <v>1646</v>
      </c>
      <c r="D635" s="3" t="s">
        <v>79</v>
      </c>
      <c r="E635" s="3" t="s">
        <v>2675</v>
      </c>
      <c r="F635" s="3">
        <f>COUNTIF(C635,PickedPlayers!D:D)</f>
        <v>0</v>
      </c>
      <c r="G635" s="3" t="str">
        <f t="shared" si="9"/>
        <v>Yes</v>
      </c>
    </row>
    <row r="636" spans="1:7" x14ac:dyDescent="0.25">
      <c r="A636" s="3" t="s">
        <v>577</v>
      </c>
      <c r="B636" s="3" t="s">
        <v>1643</v>
      </c>
      <c r="C636" s="3" t="s">
        <v>1644</v>
      </c>
      <c r="D636" s="3" t="s">
        <v>79</v>
      </c>
      <c r="E636" s="3" t="s">
        <v>2675</v>
      </c>
      <c r="F636" s="3">
        <f>COUNTIF(C636,PickedPlayers!D:D)</f>
        <v>0</v>
      </c>
      <c r="G636" s="3" t="str">
        <f t="shared" si="9"/>
        <v>Yes</v>
      </c>
    </row>
    <row r="637" spans="1:7" x14ac:dyDescent="0.25">
      <c r="A637" s="3" t="s">
        <v>577</v>
      </c>
      <c r="B637" s="3" t="s">
        <v>1651</v>
      </c>
      <c r="C637" s="3" t="s">
        <v>1652</v>
      </c>
      <c r="D637" s="3" t="s">
        <v>79</v>
      </c>
      <c r="E637" s="3" t="s">
        <v>2675</v>
      </c>
      <c r="F637" s="3">
        <f>COUNTIF(C637,PickedPlayers!D:D)</f>
        <v>0</v>
      </c>
      <c r="G637" s="3" t="str">
        <f t="shared" si="9"/>
        <v>Yes</v>
      </c>
    </row>
    <row r="638" spans="1:7" x14ac:dyDescent="0.25">
      <c r="A638" s="3" t="s">
        <v>577</v>
      </c>
      <c r="B638" s="3" t="s">
        <v>1649</v>
      </c>
      <c r="C638" s="3" t="s">
        <v>1650</v>
      </c>
      <c r="D638" s="3" t="s">
        <v>79</v>
      </c>
      <c r="E638" s="3" t="s">
        <v>2675</v>
      </c>
      <c r="F638" s="3">
        <f>COUNTIF(C638,PickedPlayers!D:D)</f>
        <v>0</v>
      </c>
      <c r="G638" s="3" t="str">
        <f t="shared" si="9"/>
        <v>Yes</v>
      </c>
    </row>
    <row r="639" spans="1:7" x14ac:dyDescent="0.25">
      <c r="A639" s="3" t="s">
        <v>577</v>
      </c>
      <c r="B639" s="3" t="s">
        <v>1641</v>
      </c>
      <c r="C639" s="3" t="s">
        <v>1642</v>
      </c>
      <c r="D639" s="3" t="s">
        <v>79</v>
      </c>
      <c r="E639" s="3" t="s">
        <v>2675</v>
      </c>
      <c r="F639" s="3">
        <f>COUNTIF(C639,PickedPlayers!D:D)</f>
        <v>0</v>
      </c>
      <c r="G639" s="3" t="str">
        <f t="shared" si="9"/>
        <v>Yes</v>
      </c>
    </row>
    <row r="640" spans="1:7" x14ac:dyDescent="0.25">
      <c r="A640" s="3" t="s">
        <v>577</v>
      </c>
      <c r="B640" s="3" t="s">
        <v>1647</v>
      </c>
      <c r="C640" s="3" t="s">
        <v>1648</v>
      </c>
      <c r="D640" s="3" t="s">
        <v>79</v>
      </c>
      <c r="E640" s="3" t="s">
        <v>2675</v>
      </c>
      <c r="F640" s="3">
        <f>COUNTIF(C640,PickedPlayers!D:D)</f>
        <v>0</v>
      </c>
      <c r="G640" s="3" t="str">
        <f t="shared" si="9"/>
        <v>Yes</v>
      </c>
    </row>
    <row r="641" spans="1:7" hidden="1" x14ac:dyDescent="0.25">
      <c r="A641" s="3" t="s">
        <v>592</v>
      </c>
      <c r="B641" s="3" t="s">
        <v>1659</v>
      </c>
      <c r="C641" s="3" t="s">
        <v>1660</v>
      </c>
      <c r="D641" s="3" t="s">
        <v>79</v>
      </c>
      <c r="E641" s="3" t="s">
        <v>2677</v>
      </c>
      <c r="F641" s="3">
        <f>COUNTIF(C641,PickedPlayers!D:D)</f>
        <v>0</v>
      </c>
      <c r="G641" s="3" t="str">
        <f t="shared" si="9"/>
        <v>Yes</v>
      </c>
    </row>
    <row r="642" spans="1:7" hidden="1" x14ac:dyDescent="0.25">
      <c r="A642" s="3" t="s">
        <v>592</v>
      </c>
      <c r="B642" s="3" t="s">
        <v>1661</v>
      </c>
      <c r="C642" s="3" t="s">
        <v>1662</v>
      </c>
      <c r="D642" s="3" t="s">
        <v>79</v>
      </c>
      <c r="E642" s="3" t="s">
        <v>2677</v>
      </c>
      <c r="F642" s="3">
        <f>COUNTIF(C642,PickedPlayers!D:D)</f>
        <v>0</v>
      </c>
      <c r="G642" s="3" t="str">
        <f t="shared" si="9"/>
        <v>Yes</v>
      </c>
    </row>
    <row r="643" spans="1:7" hidden="1" x14ac:dyDescent="0.25">
      <c r="A643" s="3" t="s">
        <v>592</v>
      </c>
      <c r="B643" s="3" t="s">
        <v>1655</v>
      </c>
      <c r="C643" s="3" t="s">
        <v>1656</v>
      </c>
      <c r="D643" s="3" t="s">
        <v>79</v>
      </c>
      <c r="E643" s="3" t="s">
        <v>2677</v>
      </c>
      <c r="F643" s="3">
        <f>COUNTIF(C643,PickedPlayers!D:D)</f>
        <v>0</v>
      </c>
      <c r="G643" s="3" t="str">
        <f t="shared" ref="G643:G706" si="10">IF(F643&gt;0,"No","Yes")</f>
        <v>Yes</v>
      </c>
    </row>
    <row r="644" spans="1:7" hidden="1" x14ac:dyDescent="0.25">
      <c r="A644" s="3" t="s">
        <v>592</v>
      </c>
      <c r="B644" s="3" t="s">
        <v>1657</v>
      </c>
      <c r="C644" s="3" t="s">
        <v>1658</v>
      </c>
      <c r="D644" s="3" t="s">
        <v>79</v>
      </c>
      <c r="E644" s="3" t="s">
        <v>2677</v>
      </c>
      <c r="F644" s="3">
        <f>COUNTIF(C644,PickedPlayers!D:D)</f>
        <v>0</v>
      </c>
      <c r="G644" s="3" t="str">
        <f t="shared" si="10"/>
        <v>Yes</v>
      </c>
    </row>
    <row r="645" spans="1:7" hidden="1" x14ac:dyDescent="0.25">
      <c r="A645" s="3" t="s">
        <v>592</v>
      </c>
      <c r="B645" s="3" t="s">
        <v>1665</v>
      </c>
      <c r="C645" s="3" t="s">
        <v>1666</v>
      </c>
      <c r="D645" s="3" t="s">
        <v>79</v>
      </c>
      <c r="E645" s="3" t="s">
        <v>2677</v>
      </c>
      <c r="F645" s="3">
        <f>COUNTIF(C645,PickedPlayers!D:D)</f>
        <v>0</v>
      </c>
      <c r="G645" s="3" t="str">
        <f t="shared" si="10"/>
        <v>Yes</v>
      </c>
    </row>
    <row r="646" spans="1:7" hidden="1" x14ac:dyDescent="0.25">
      <c r="A646" s="3" t="s">
        <v>592</v>
      </c>
      <c r="B646" s="3" t="s">
        <v>1663</v>
      </c>
      <c r="C646" s="3" t="s">
        <v>1664</v>
      </c>
      <c r="D646" s="3" t="s">
        <v>79</v>
      </c>
      <c r="E646" s="3" t="s">
        <v>2677</v>
      </c>
      <c r="F646" s="3">
        <f>COUNTIF(C646,PickedPlayers!D:D)</f>
        <v>0</v>
      </c>
      <c r="G646" s="3" t="str">
        <f t="shared" si="10"/>
        <v>Yes</v>
      </c>
    </row>
    <row r="647" spans="1:7" hidden="1" x14ac:dyDescent="0.25">
      <c r="A647" s="3" t="s">
        <v>592</v>
      </c>
      <c r="B647" s="3" t="s">
        <v>1667</v>
      </c>
      <c r="C647" s="3" t="s">
        <v>1668</v>
      </c>
      <c r="D647" s="3" t="s">
        <v>79</v>
      </c>
      <c r="E647" s="3" t="s">
        <v>2677</v>
      </c>
      <c r="F647" s="3">
        <f>COUNTIF(C647,PickedPlayers!D:D)</f>
        <v>0</v>
      </c>
      <c r="G647" s="3" t="str">
        <f t="shared" si="10"/>
        <v>Yes</v>
      </c>
    </row>
    <row r="648" spans="1:7" hidden="1" x14ac:dyDescent="0.25">
      <c r="A648" s="3" t="s">
        <v>592</v>
      </c>
      <c r="B648" s="3" t="s">
        <v>1653</v>
      </c>
      <c r="C648" s="3" t="s">
        <v>1654</v>
      </c>
      <c r="D648" s="3" t="s">
        <v>79</v>
      </c>
      <c r="E648" s="3" t="s">
        <v>2677</v>
      </c>
      <c r="F648" s="3">
        <f>COUNTIF(C648,PickedPlayers!D:D)</f>
        <v>0</v>
      </c>
      <c r="G648" s="3" t="str">
        <f t="shared" si="10"/>
        <v>Yes</v>
      </c>
    </row>
    <row r="649" spans="1:7" hidden="1" x14ac:dyDescent="0.25">
      <c r="A649" s="3" t="s">
        <v>551</v>
      </c>
      <c r="B649" s="3" t="s">
        <v>1670</v>
      </c>
      <c r="C649" s="3" t="s">
        <v>1670</v>
      </c>
      <c r="D649" s="3" t="s">
        <v>92</v>
      </c>
      <c r="E649" s="3" t="s">
        <v>2673</v>
      </c>
      <c r="F649" s="3">
        <f>COUNTIF(C649,PickedPlayers!D:D)</f>
        <v>0</v>
      </c>
      <c r="G649" s="3" t="str">
        <f t="shared" si="10"/>
        <v>Yes</v>
      </c>
    </row>
    <row r="650" spans="1:7" hidden="1" x14ac:dyDescent="0.25">
      <c r="A650" s="3" t="s">
        <v>551</v>
      </c>
      <c r="B650" s="3" t="s">
        <v>1671</v>
      </c>
      <c r="C650" s="3" t="s">
        <v>1671</v>
      </c>
      <c r="D650" s="3" t="s">
        <v>92</v>
      </c>
      <c r="E650" s="3" t="s">
        <v>2673</v>
      </c>
      <c r="F650" s="3">
        <f>COUNTIF(C650,PickedPlayers!D:D)</f>
        <v>0</v>
      </c>
      <c r="G650" s="3" t="str">
        <f t="shared" si="10"/>
        <v>Yes</v>
      </c>
    </row>
    <row r="651" spans="1:7" hidden="1" x14ac:dyDescent="0.25">
      <c r="A651" s="3" t="s">
        <v>551</v>
      </c>
      <c r="B651" s="3" t="s">
        <v>1669</v>
      </c>
      <c r="C651" s="3" t="s">
        <v>1669</v>
      </c>
      <c r="D651" s="3" t="s">
        <v>92</v>
      </c>
      <c r="E651" s="3" t="s">
        <v>2673</v>
      </c>
      <c r="F651" s="3">
        <f>COUNTIF(C651,PickedPlayers!D:D)</f>
        <v>0</v>
      </c>
      <c r="G651" s="3" t="str">
        <f t="shared" si="10"/>
        <v>Yes</v>
      </c>
    </row>
    <row r="652" spans="1:7" hidden="1" x14ac:dyDescent="0.25">
      <c r="A652" s="3" t="s">
        <v>558</v>
      </c>
      <c r="B652" s="3" t="s">
        <v>1674</v>
      </c>
      <c r="C652" s="3" t="s">
        <v>1674</v>
      </c>
      <c r="D652" s="3" t="s">
        <v>92</v>
      </c>
      <c r="E652" s="3" t="s">
        <v>2674</v>
      </c>
      <c r="F652" s="3">
        <f>COUNTIF(C652,PickedPlayers!D:D)</f>
        <v>0</v>
      </c>
      <c r="G652" s="3" t="str">
        <f t="shared" si="10"/>
        <v>Yes</v>
      </c>
    </row>
    <row r="653" spans="1:7" hidden="1" x14ac:dyDescent="0.25">
      <c r="A653" s="3" t="s">
        <v>558</v>
      </c>
      <c r="B653" s="3" t="s">
        <v>1680</v>
      </c>
      <c r="C653" s="3" t="s">
        <v>1680</v>
      </c>
      <c r="D653" s="3" t="s">
        <v>92</v>
      </c>
      <c r="E653" s="3" t="s">
        <v>2674</v>
      </c>
      <c r="F653" s="3">
        <f>COUNTIF(C653,PickedPlayers!D:D)</f>
        <v>0</v>
      </c>
      <c r="G653" s="3" t="str">
        <f t="shared" si="10"/>
        <v>Yes</v>
      </c>
    </row>
    <row r="654" spans="1:7" hidden="1" x14ac:dyDescent="0.25">
      <c r="A654" s="3" t="s">
        <v>558</v>
      </c>
      <c r="B654" s="3" t="s">
        <v>1681</v>
      </c>
      <c r="C654" s="3" t="s">
        <v>1681</v>
      </c>
      <c r="D654" s="3" t="s">
        <v>92</v>
      </c>
      <c r="E654" s="3" t="s">
        <v>2674</v>
      </c>
      <c r="F654" s="3">
        <f>COUNTIF(C654,PickedPlayers!D:D)</f>
        <v>0</v>
      </c>
      <c r="G654" s="3" t="str">
        <f t="shared" si="10"/>
        <v>Yes</v>
      </c>
    </row>
    <row r="655" spans="1:7" hidden="1" x14ac:dyDescent="0.25">
      <c r="A655" s="3" t="s">
        <v>558</v>
      </c>
      <c r="B655" s="3" t="s">
        <v>1679</v>
      </c>
      <c r="C655" s="3" t="s">
        <v>1679</v>
      </c>
      <c r="D655" s="3" t="s">
        <v>92</v>
      </c>
      <c r="E655" s="3" t="s">
        <v>2674</v>
      </c>
      <c r="F655" s="3">
        <f>COUNTIF(C655,PickedPlayers!D:D)</f>
        <v>0</v>
      </c>
      <c r="G655" s="3" t="str">
        <f t="shared" si="10"/>
        <v>Yes</v>
      </c>
    </row>
    <row r="656" spans="1:7" hidden="1" x14ac:dyDescent="0.25">
      <c r="A656" s="3" t="s">
        <v>558</v>
      </c>
      <c r="B656" s="3" t="s">
        <v>1676</v>
      </c>
      <c r="C656" s="3" t="s">
        <v>1676</v>
      </c>
      <c r="D656" s="3" t="s">
        <v>92</v>
      </c>
      <c r="E656" s="3" t="s">
        <v>2674</v>
      </c>
      <c r="F656" s="3">
        <f>COUNTIF(C656,PickedPlayers!D:D)</f>
        <v>0</v>
      </c>
      <c r="G656" s="3" t="str">
        <f t="shared" si="10"/>
        <v>Yes</v>
      </c>
    </row>
    <row r="657" spans="1:7" hidden="1" x14ac:dyDescent="0.25">
      <c r="A657" s="3" t="s">
        <v>558</v>
      </c>
      <c r="B657" s="3" t="s">
        <v>1682</v>
      </c>
      <c r="C657" s="3" t="s">
        <v>1682</v>
      </c>
      <c r="D657" s="3" t="s">
        <v>92</v>
      </c>
      <c r="E657" s="3" t="s">
        <v>2674</v>
      </c>
      <c r="F657" s="3">
        <f>COUNTIF(C657,PickedPlayers!D:D)</f>
        <v>0</v>
      </c>
      <c r="G657" s="3" t="str">
        <f t="shared" si="10"/>
        <v>Yes</v>
      </c>
    </row>
    <row r="658" spans="1:7" hidden="1" x14ac:dyDescent="0.25">
      <c r="A658" s="3" t="s">
        <v>558</v>
      </c>
      <c r="B658" s="3" t="s">
        <v>1672</v>
      </c>
      <c r="C658" s="3" t="s">
        <v>1672</v>
      </c>
      <c r="D658" s="3" t="s">
        <v>92</v>
      </c>
      <c r="E658" s="3" t="s">
        <v>2674</v>
      </c>
      <c r="F658" s="3">
        <f>COUNTIF(C658,PickedPlayers!D:D)</f>
        <v>0</v>
      </c>
      <c r="G658" s="3" t="str">
        <f t="shared" si="10"/>
        <v>Yes</v>
      </c>
    </row>
    <row r="659" spans="1:7" hidden="1" x14ac:dyDescent="0.25">
      <c r="A659" s="3" t="s">
        <v>558</v>
      </c>
      <c r="B659" s="3" t="s">
        <v>1677</v>
      </c>
      <c r="C659" s="3" t="s">
        <v>1677</v>
      </c>
      <c r="D659" s="3" t="s">
        <v>92</v>
      </c>
      <c r="E659" s="3" t="s">
        <v>2674</v>
      </c>
      <c r="F659" s="3">
        <f>COUNTIF(C659,PickedPlayers!D:D)</f>
        <v>0</v>
      </c>
      <c r="G659" s="3" t="str">
        <f t="shared" si="10"/>
        <v>Yes</v>
      </c>
    </row>
    <row r="660" spans="1:7" hidden="1" x14ac:dyDescent="0.25">
      <c r="A660" s="3" t="s">
        <v>558</v>
      </c>
      <c r="B660" s="3" t="s">
        <v>1675</v>
      </c>
      <c r="C660" s="3" t="s">
        <v>1675</v>
      </c>
      <c r="D660" s="3" t="s">
        <v>92</v>
      </c>
      <c r="E660" s="3" t="s">
        <v>2674</v>
      </c>
      <c r="F660" s="3">
        <f>COUNTIF(C660,PickedPlayers!D:D)</f>
        <v>0</v>
      </c>
      <c r="G660" s="3" t="str">
        <f t="shared" si="10"/>
        <v>Yes</v>
      </c>
    </row>
    <row r="661" spans="1:7" hidden="1" x14ac:dyDescent="0.25">
      <c r="A661" s="3" t="s">
        <v>558</v>
      </c>
      <c r="B661" s="3" t="s">
        <v>1673</v>
      </c>
      <c r="C661" s="3" t="s">
        <v>1673</v>
      </c>
      <c r="D661" s="3" t="s">
        <v>92</v>
      </c>
      <c r="E661" s="3" t="s">
        <v>2674</v>
      </c>
      <c r="F661" s="3">
        <f>COUNTIF(C661,PickedPlayers!D:D)</f>
        <v>0</v>
      </c>
      <c r="G661" s="3" t="str">
        <f t="shared" si="10"/>
        <v>Yes</v>
      </c>
    </row>
    <row r="662" spans="1:7" hidden="1" x14ac:dyDescent="0.25">
      <c r="A662" s="3" t="s">
        <v>558</v>
      </c>
      <c r="B662" s="3" t="s">
        <v>1678</v>
      </c>
      <c r="C662" s="3" t="s">
        <v>1678</v>
      </c>
      <c r="D662" s="3" t="s">
        <v>92</v>
      </c>
      <c r="E662" s="3" t="s">
        <v>2674</v>
      </c>
      <c r="F662" s="3">
        <f>COUNTIF(C662,PickedPlayers!D:D)</f>
        <v>0</v>
      </c>
      <c r="G662" s="3" t="str">
        <f t="shared" si="10"/>
        <v>Yes</v>
      </c>
    </row>
    <row r="663" spans="1:7" hidden="1" x14ac:dyDescent="0.25">
      <c r="A663" s="3" t="s">
        <v>577</v>
      </c>
      <c r="B663" s="3" t="s">
        <v>1687</v>
      </c>
      <c r="C663" s="3" t="s">
        <v>1687</v>
      </c>
      <c r="D663" s="3" t="s">
        <v>92</v>
      </c>
      <c r="E663" s="3" t="s">
        <v>2675</v>
      </c>
      <c r="F663" s="3">
        <f>COUNTIF(C663,PickedPlayers!D:D)</f>
        <v>0</v>
      </c>
      <c r="G663" s="3" t="str">
        <f t="shared" si="10"/>
        <v>Yes</v>
      </c>
    </row>
    <row r="664" spans="1:7" hidden="1" x14ac:dyDescent="0.25">
      <c r="A664" s="3" t="s">
        <v>577</v>
      </c>
      <c r="B664" s="3" t="s">
        <v>1686</v>
      </c>
      <c r="C664" s="3" t="s">
        <v>1686</v>
      </c>
      <c r="D664" s="3" t="s">
        <v>92</v>
      </c>
      <c r="E664" s="3" t="s">
        <v>2675</v>
      </c>
      <c r="F664" s="3">
        <f>COUNTIF(C664,PickedPlayers!D:D)</f>
        <v>0</v>
      </c>
      <c r="G664" s="3" t="str">
        <f t="shared" si="10"/>
        <v>Yes</v>
      </c>
    </row>
    <row r="665" spans="1:7" hidden="1" x14ac:dyDescent="0.25">
      <c r="A665" s="3" t="s">
        <v>577</v>
      </c>
      <c r="B665" s="3" t="s">
        <v>1684</v>
      </c>
      <c r="C665" s="3" t="s">
        <v>1684</v>
      </c>
      <c r="D665" s="3" t="s">
        <v>92</v>
      </c>
      <c r="E665" s="3" t="s">
        <v>2675</v>
      </c>
      <c r="F665" s="3">
        <f>COUNTIF(C665,PickedPlayers!D:D)</f>
        <v>0</v>
      </c>
      <c r="G665" s="3" t="str">
        <f t="shared" si="10"/>
        <v>Yes</v>
      </c>
    </row>
    <row r="666" spans="1:7" hidden="1" x14ac:dyDescent="0.25">
      <c r="A666" s="3" t="s">
        <v>577</v>
      </c>
      <c r="B666" s="3" t="s">
        <v>1683</v>
      </c>
      <c r="C666" s="3" t="s">
        <v>1683</v>
      </c>
      <c r="D666" s="3" t="s">
        <v>92</v>
      </c>
      <c r="E666" s="3" t="s">
        <v>2675</v>
      </c>
      <c r="F666" s="3">
        <f>COUNTIF(C666,PickedPlayers!D:D)</f>
        <v>0</v>
      </c>
      <c r="G666" s="3" t="str">
        <f t="shared" si="10"/>
        <v>Yes</v>
      </c>
    </row>
    <row r="667" spans="1:7" hidden="1" x14ac:dyDescent="0.25">
      <c r="A667" s="3" t="s">
        <v>577</v>
      </c>
      <c r="B667" s="3" t="s">
        <v>1685</v>
      </c>
      <c r="C667" s="3" t="s">
        <v>1685</v>
      </c>
      <c r="D667" s="3" t="s">
        <v>92</v>
      </c>
      <c r="E667" s="3" t="s">
        <v>2675</v>
      </c>
      <c r="F667" s="3">
        <f>COUNTIF(C667,PickedPlayers!D:D)</f>
        <v>0</v>
      </c>
      <c r="G667" s="3" t="str">
        <f t="shared" si="10"/>
        <v>Yes</v>
      </c>
    </row>
    <row r="668" spans="1:7" hidden="1" x14ac:dyDescent="0.25">
      <c r="A668" s="3" t="s">
        <v>592</v>
      </c>
      <c r="B668" s="3" t="s">
        <v>1693</v>
      </c>
      <c r="C668" s="3" t="s">
        <v>1693</v>
      </c>
      <c r="D668" s="3" t="s">
        <v>92</v>
      </c>
      <c r="E668" s="3" t="s">
        <v>2677</v>
      </c>
      <c r="F668" s="3">
        <f>COUNTIF(C668,PickedPlayers!D:D)</f>
        <v>0</v>
      </c>
      <c r="G668" s="3" t="str">
        <f t="shared" si="10"/>
        <v>Yes</v>
      </c>
    </row>
    <row r="669" spans="1:7" hidden="1" x14ac:dyDescent="0.25">
      <c r="A669" s="3" t="s">
        <v>592</v>
      </c>
      <c r="B669" s="3" t="s">
        <v>1690</v>
      </c>
      <c r="C669" s="3" t="s">
        <v>1690</v>
      </c>
      <c r="D669" s="3" t="s">
        <v>92</v>
      </c>
      <c r="E669" s="3" t="s">
        <v>2677</v>
      </c>
      <c r="F669" s="3">
        <f>COUNTIF(C669,PickedPlayers!D:D)</f>
        <v>0</v>
      </c>
      <c r="G669" s="3" t="str">
        <f t="shared" si="10"/>
        <v>Yes</v>
      </c>
    </row>
    <row r="670" spans="1:7" hidden="1" x14ac:dyDescent="0.25">
      <c r="A670" s="3" t="s">
        <v>592</v>
      </c>
      <c r="B670" s="3" t="s">
        <v>1691</v>
      </c>
      <c r="C670" s="3" t="s">
        <v>1691</v>
      </c>
      <c r="D670" s="3" t="s">
        <v>92</v>
      </c>
      <c r="E670" s="3" t="s">
        <v>2677</v>
      </c>
      <c r="F670" s="3">
        <f>COUNTIF(C670,PickedPlayers!D:D)</f>
        <v>0</v>
      </c>
      <c r="G670" s="3" t="str">
        <f t="shared" si="10"/>
        <v>Yes</v>
      </c>
    </row>
    <row r="671" spans="1:7" hidden="1" x14ac:dyDescent="0.25">
      <c r="A671" s="3" t="s">
        <v>592</v>
      </c>
      <c r="B671" s="3" t="s">
        <v>1688</v>
      </c>
      <c r="C671" s="3" t="s">
        <v>1688</v>
      </c>
      <c r="D671" s="3" t="s">
        <v>92</v>
      </c>
      <c r="E671" s="3" t="s">
        <v>2677</v>
      </c>
      <c r="F671" s="3">
        <f>COUNTIF(C671,PickedPlayers!D:D)</f>
        <v>0</v>
      </c>
      <c r="G671" s="3" t="str">
        <f t="shared" si="10"/>
        <v>Yes</v>
      </c>
    </row>
    <row r="672" spans="1:7" hidden="1" x14ac:dyDescent="0.25">
      <c r="A672" s="3" t="s">
        <v>592</v>
      </c>
      <c r="B672" s="3" t="s">
        <v>1692</v>
      </c>
      <c r="C672" s="3" t="s">
        <v>1692</v>
      </c>
      <c r="D672" s="3" t="s">
        <v>92</v>
      </c>
      <c r="E672" s="3" t="s">
        <v>2677</v>
      </c>
      <c r="F672" s="3">
        <f>COUNTIF(C672,PickedPlayers!D:D)</f>
        <v>0</v>
      </c>
      <c r="G672" s="3" t="str">
        <f t="shared" si="10"/>
        <v>Yes</v>
      </c>
    </row>
    <row r="673" spans="1:7" hidden="1" x14ac:dyDescent="0.25">
      <c r="A673" s="3" t="s">
        <v>592</v>
      </c>
      <c r="B673" s="3" t="s">
        <v>1689</v>
      </c>
      <c r="C673" s="3" t="s">
        <v>1689</v>
      </c>
      <c r="D673" s="3" t="s">
        <v>92</v>
      </c>
      <c r="E673" s="3" t="s">
        <v>2677</v>
      </c>
      <c r="F673" s="3">
        <f>COUNTIF(C673,PickedPlayers!D:D)</f>
        <v>0</v>
      </c>
      <c r="G673" s="3" t="str">
        <f t="shared" si="10"/>
        <v>Yes</v>
      </c>
    </row>
    <row r="674" spans="1:7" hidden="1" x14ac:dyDescent="0.25">
      <c r="A674" s="3" t="s">
        <v>551</v>
      </c>
      <c r="B674" s="3" t="s">
        <v>1723</v>
      </c>
      <c r="C674" s="3" t="s">
        <v>1724</v>
      </c>
      <c r="D674" s="3" t="s">
        <v>153</v>
      </c>
      <c r="E674" s="3" t="s">
        <v>2673</v>
      </c>
      <c r="F674" s="3">
        <f>COUNTIF(C674,PickedPlayers!D:D)</f>
        <v>0</v>
      </c>
      <c r="G674" s="3" t="str">
        <f t="shared" si="10"/>
        <v>Yes</v>
      </c>
    </row>
    <row r="675" spans="1:7" hidden="1" x14ac:dyDescent="0.25">
      <c r="A675" s="3" t="s">
        <v>551</v>
      </c>
      <c r="B675" s="3" t="s">
        <v>1721</v>
      </c>
      <c r="C675" s="3" t="s">
        <v>1722</v>
      </c>
      <c r="D675" s="3" t="s">
        <v>153</v>
      </c>
      <c r="E675" s="3" t="s">
        <v>2673</v>
      </c>
      <c r="F675" s="3">
        <f>COUNTIF(C675,PickedPlayers!D:D)</f>
        <v>0</v>
      </c>
      <c r="G675" s="3" t="str">
        <f t="shared" si="10"/>
        <v>Yes</v>
      </c>
    </row>
    <row r="676" spans="1:7" hidden="1" x14ac:dyDescent="0.25">
      <c r="A676" s="3" t="s">
        <v>551</v>
      </c>
      <c r="B676" s="3" t="s">
        <v>1719</v>
      </c>
      <c r="C676" s="3" t="s">
        <v>1720</v>
      </c>
      <c r="D676" s="3" t="s">
        <v>153</v>
      </c>
      <c r="E676" s="3" t="s">
        <v>2673</v>
      </c>
      <c r="F676" s="3">
        <f>COUNTIF(C676,PickedPlayers!D:D)</f>
        <v>0</v>
      </c>
      <c r="G676" s="3" t="str">
        <f t="shared" si="10"/>
        <v>Yes</v>
      </c>
    </row>
    <row r="677" spans="1:7" hidden="1" x14ac:dyDescent="0.25">
      <c r="A677" s="3" t="s">
        <v>558</v>
      </c>
      <c r="B677" s="3" t="s">
        <v>1729</v>
      </c>
      <c r="C677" s="3" t="s">
        <v>1730</v>
      </c>
      <c r="D677" s="3" t="s">
        <v>153</v>
      </c>
      <c r="E677" s="3" t="s">
        <v>2674</v>
      </c>
      <c r="F677" s="3">
        <f>COUNTIF(C677,PickedPlayers!D:D)</f>
        <v>0</v>
      </c>
      <c r="G677" s="3" t="str">
        <f t="shared" si="10"/>
        <v>Yes</v>
      </c>
    </row>
    <row r="678" spans="1:7" hidden="1" x14ac:dyDescent="0.25">
      <c r="A678" s="3" t="s">
        <v>558</v>
      </c>
      <c r="B678" s="3" t="s">
        <v>1727</v>
      </c>
      <c r="C678" s="3" t="s">
        <v>1728</v>
      </c>
      <c r="D678" s="3" t="s">
        <v>153</v>
      </c>
      <c r="E678" s="3" t="s">
        <v>2674</v>
      </c>
      <c r="F678" s="3">
        <f>COUNTIF(C678,PickedPlayers!D:D)</f>
        <v>0</v>
      </c>
      <c r="G678" s="3" t="str">
        <f t="shared" si="10"/>
        <v>Yes</v>
      </c>
    </row>
    <row r="679" spans="1:7" hidden="1" x14ac:dyDescent="0.25">
      <c r="A679" s="3" t="s">
        <v>558</v>
      </c>
      <c r="B679" s="3" t="s">
        <v>1735</v>
      </c>
      <c r="C679" s="3" t="s">
        <v>1736</v>
      </c>
      <c r="D679" s="3" t="s">
        <v>153</v>
      </c>
      <c r="E679" s="3" t="s">
        <v>2674</v>
      </c>
      <c r="F679" s="3">
        <f>COUNTIF(C679,PickedPlayers!D:D)</f>
        <v>0</v>
      </c>
      <c r="G679" s="3" t="str">
        <f t="shared" si="10"/>
        <v>Yes</v>
      </c>
    </row>
    <row r="680" spans="1:7" hidden="1" x14ac:dyDescent="0.25">
      <c r="A680" s="3" t="s">
        <v>558</v>
      </c>
      <c r="B680" s="3" t="s">
        <v>1725</v>
      </c>
      <c r="C680" s="3" t="s">
        <v>1726</v>
      </c>
      <c r="D680" s="3" t="s">
        <v>153</v>
      </c>
      <c r="E680" s="3" t="s">
        <v>2674</v>
      </c>
      <c r="F680" s="3">
        <f>COUNTIF(C680,PickedPlayers!D:D)</f>
        <v>0</v>
      </c>
      <c r="G680" s="3" t="str">
        <f t="shared" si="10"/>
        <v>Yes</v>
      </c>
    </row>
    <row r="681" spans="1:7" hidden="1" x14ac:dyDescent="0.25">
      <c r="A681" s="3" t="s">
        <v>558</v>
      </c>
      <c r="B681" s="3" t="s">
        <v>1733</v>
      </c>
      <c r="C681" s="3" t="s">
        <v>1734</v>
      </c>
      <c r="D681" s="3" t="s">
        <v>153</v>
      </c>
      <c r="E681" s="3" t="s">
        <v>2674</v>
      </c>
      <c r="F681" s="3">
        <f>COUNTIF(C681,PickedPlayers!D:D)</f>
        <v>0</v>
      </c>
      <c r="G681" s="3" t="str">
        <f t="shared" si="10"/>
        <v>Yes</v>
      </c>
    </row>
    <row r="682" spans="1:7" hidden="1" x14ac:dyDescent="0.25">
      <c r="A682" s="3" t="s">
        <v>558</v>
      </c>
      <c r="B682" s="3" t="s">
        <v>1731</v>
      </c>
      <c r="C682" s="3" t="s">
        <v>1732</v>
      </c>
      <c r="D682" s="3" t="s">
        <v>153</v>
      </c>
      <c r="E682" s="3" t="s">
        <v>2674</v>
      </c>
      <c r="F682" s="3">
        <f>COUNTIF(C682,PickedPlayers!D:D)</f>
        <v>0</v>
      </c>
      <c r="G682" s="3" t="str">
        <f t="shared" si="10"/>
        <v>Yes</v>
      </c>
    </row>
    <row r="683" spans="1:7" x14ac:dyDescent="0.25">
      <c r="A683" s="3" t="s">
        <v>577</v>
      </c>
      <c r="B683" s="3" t="s">
        <v>1749</v>
      </c>
      <c r="C683" s="3" t="s">
        <v>1750</v>
      </c>
      <c r="D683" s="3" t="s">
        <v>153</v>
      </c>
      <c r="E683" s="3" t="s">
        <v>2675</v>
      </c>
      <c r="F683" s="3">
        <f>COUNTIF(C683,PickedPlayers!D:D)</f>
        <v>0</v>
      </c>
      <c r="G683" s="3" t="str">
        <f t="shared" si="10"/>
        <v>Yes</v>
      </c>
    </row>
    <row r="684" spans="1:7" x14ac:dyDescent="0.25">
      <c r="A684" s="3" t="s">
        <v>577</v>
      </c>
      <c r="B684" s="3" t="s">
        <v>1755</v>
      </c>
      <c r="C684" s="3" t="s">
        <v>1756</v>
      </c>
      <c r="D684" s="3" t="s">
        <v>153</v>
      </c>
      <c r="E684" s="3" t="s">
        <v>2675</v>
      </c>
      <c r="F684" s="3">
        <f>COUNTIF(C684,PickedPlayers!D:D)</f>
        <v>0</v>
      </c>
      <c r="G684" s="3" t="str">
        <f t="shared" si="10"/>
        <v>Yes</v>
      </c>
    </row>
    <row r="685" spans="1:7" x14ac:dyDescent="0.25">
      <c r="A685" s="3" t="s">
        <v>577</v>
      </c>
      <c r="B685" s="3" t="s">
        <v>1747</v>
      </c>
      <c r="C685" s="3" t="s">
        <v>1748</v>
      </c>
      <c r="D685" s="3" t="s">
        <v>153</v>
      </c>
      <c r="E685" s="3" t="s">
        <v>2675</v>
      </c>
      <c r="F685" s="3">
        <f>COUNTIF(C685,PickedPlayers!D:D)</f>
        <v>0</v>
      </c>
      <c r="G685" s="3" t="str">
        <f t="shared" si="10"/>
        <v>Yes</v>
      </c>
    </row>
    <row r="686" spans="1:7" x14ac:dyDescent="0.25">
      <c r="A686" s="3" t="s">
        <v>577</v>
      </c>
      <c r="B686" s="3" t="s">
        <v>1737</v>
      </c>
      <c r="C686" s="3" t="s">
        <v>1738</v>
      </c>
      <c r="D686" s="3" t="s">
        <v>153</v>
      </c>
      <c r="E686" s="3" t="s">
        <v>2675</v>
      </c>
      <c r="F686" s="3">
        <f>COUNTIF(C686,PickedPlayers!D:D)</f>
        <v>0</v>
      </c>
      <c r="G686" s="3" t="str">
        <f t="shared" si="10"/>
        <v>Yes</v>
      </c>
    </row>
    <row r="687" spans="1:7" x14ac:dyDescent="0.25">
      <c r="A687" s="3" t="s">
        <v>577</v>
      </c>
      <c r="B687" s="3" t="s">
        <v>1741</v>
      </c>
      <c r="C687" s="3" t="s">
        <v>1742</v>
      </c>
      <c r="D687" s="3" t="s">
        <v>153</v>
      </c>
      <c r="E687" s="3" t="s">
        <v>2675</v>
      </c>
      <c r="F687" s="3">
        <f>COUNTIF(C687,PickedPlayers!D:D)</f>
        <v>0</v>
      </c>
      <c r="G687" s="3" t="str">
        <f t="shared" si="10"/>
        <v>Yes</v>
      </c>
    </row>
    <row r="688" spans="1:7" x14ac:dyDescent="0.25">
      <c r="A688" s="3" t="s">
        <v>577</v>
      </c>
      <c r="B688" s="3" t="s">
        <v>1743</v>
      </c>
      <c r="C688" s="3" t="s">
        <v>1744</v>
      </c>
      <c r="D688" s="3" t="s">
        <v>153</v>
      </c>
      <c r="E688" s="3" t="s">
        <v>2675</v>
      </c>
      <c r="F688" s="3">
        <f>COUNTIF(C688,PickedPlayers!D:D)</f>
        <v>0</v>
      </c>
      <c r="G688" s="3" t="str">
        <f t="shared" si="10"/>
        <v>Yes</v>
      </c>
    </row>
    <row r="689" spans="1:7" x14ac:dyDescent="0.25">
      <c r="A689" s="3" t="s">
        <v>577</v>
      </c>
      <c r="B689" s="3" t="s">
        <v>1751</v>
      </c>
      <c r="C689" s="3" t="s">
        <v>1752</v>
      </c>
      <c r="D689" s="3" t="s">
        <v>153</v>
      </c>
      <c r="E689" s="3" t="s">
        <v>2675</v>
      </c>
      <c r="F689" s="3">
        <f>COUNTIF(C689,PickedPlayers!D:D)</f>
        <v>0</v>
      </c>
      <c r="G689" s="3" t="str">
        <f t="shared" si="10"/>
        <v>Yes</v>
      </c>
    </row>
    <row r="690" spans="1:7" x14ac:dyDescent="0.25">
      <c r="A690" s="3" t="s">
        <v>577</v>
      </c>
      <c r="B690" s="3" t="s">
        <v>1745</v>
      </c>
      <c r="C690" s="3" t="s">
        <v>1746</v>
      </c>
      <c r="D690" s="3" t="s">
        <v>153</v>
      </c>
      <c r="E690" s="3" t="s">
        <v>2675</v>
      </c>
      <c r="F690" s="3">
        <f>COUNTIF(C690,PickedPlayers!D:D)</f>
        <v>0</v>
      </c>
      <c r="G690" s="3" t="str">
        <f t="shared" si="10"/>
        <v>Yes</v>
      </c>
    </row>
    <row r="691" spans="1:7" x14ac:dyDescent="0.25">
      <c r="A691" s="3" t="s">
        <v>577</v>
      </c>
      <c r="B691" s="3" t="s">
        <v>1753</v>
      </c>
      <c r="C691" s="3" t="s">
        <v>1754</v>
      </c>
      <c r="D691" s="3" t="s">
        <v>153</v>
      </c>
      <c r="E691" s="3" t="s">
        <v>2675</v>
      </c>
      <c r="F691" s="3">
        <f>COUNTIF(C691,PickedPlayers!D:D)</f>
        <v>0</v>
      </c>
      <c r="G691" s="3" t="str">
        <f t="shared" si="10"/>
        <v>Yes</v>
      </c>
    </row>
    <row r="692" spans="1:7" x14ac:dyDescent="0.25">
      <c r="A692" s="3" t="s">
        <v>577</v>
      </c>
      <c r="B692" s="3" t="s">
        <v>1739</v>
      </c>
      <c r="C692" s="3" t="s">
        <v>1740</v>
      </c>
      <c r="D692" s="3" t="s">
        <v>153</v>
      </c>
      <c r="E692" s="3" t="s">
        <v>2675</v>
      </c>
      <c r="F692" s="3">
        <f>COUNTIF(C692,PickedPlayers!D:D)</f>
        <v>0</v>
      </c>
      <c r="G692" s="3" t="str">
        <f t="shared" si="10"/>
        <v>Yes</v>
      </c>
    </row>
    <row r="693" spans="1:7" hidden="1" x14ac:dyDescent="0.25">
      <c r="A693" s="3" t="s">
        <v>592</v>
      </c>
      <c r="B693" s="3" t="s">
        <v>1768</v>
      </c>
      <c r="C693" s="3" t="s">
        <v>1769</v>
      </c>
      <c r="D693" s="3" t="s">
        <v>153</v>
      </c>
      <c r="E693" s="3" t="s">
        <v>2677</v>
      </c>
      <c r="F693" s="3">
        <f>COUNTIF(C693,PickedPlayers!D:D)</f>
        <v>0</v>
      </c>
      <c r="G693" s="3" t="str">
        <f t="shared" si="10"/>
        <v>Yes</v>
      </c>
    </row>
    <row r="694" spans="1:7" hidden="1" x14ac:dyDescent="0.25">
      <c r="A694" s="3" t="s">
        <v>592</v>
      </c>
      <c r="B694" s="3" t="s">
        <v>1760</v>
      </c>
      <c r="C694" s="3" t="s">
        <v>1761</v>
      </c>
      <c r="D694" s="3" t="s">
        <v>153</v>
      </c>
      <c r="E694" s="3" t="s">
        <v>2677</v>
      </c>
      <c r="F694" s="3">
        <f>COUNTIF(C694,PickedPlayers!D:D)</f>
        <v>0</v>
      </c>
      <c r="G694" s="3" t="str">
        <f t="shared" si="10"/>
        <v>Yes</v>
      </c>
    </row>
    <row r="695" spans="1:7" hidden="1" x14ac:dyDescent="0.25">
      <c r="A695" s="3" t="s">
        <v>592</v>
      </c>
      <c r="B695" s="3" t="s">
        <v>1762</v>
      </c>
      <c r="C695" s="3" t="s">
        <v>1763</v>
      </c>
      <c r="D695" s="3" t="s">
        <v>153</v>
      </c>
      <c r="E695" s="3" t="s">
        <v>2677</v>
      </c>
      <c r="F695" s="3">
        <f>COUNTIF(C695,PickedPlayers!D:D)</f>
        <v>0</v>
      </c>
      <c r="G695" s="3" t="str">
        <f t="shared" si="10"/>
        <v>Yes</v>
      </c>
    </row>
    <row r="696" spans="1:7" hidden="1" x14ac:dyDescent="0.25">
      <c r="A696" s="3" t="s">
        <v>592</v>
      </c>
      <c r="B696" s="3" t="s">
        <v>1758</v>
      </c>
      <c r="C696" s="3" t="s">
        <v>1759</v>
      </c>
      <c r="D696" s="3" t="s">
        <v>153</v>
      </c>
      <c r="E696" s="3" t="s">
        <v>2677</v>
      </c>
      <c r="F696" s="3">
        <f>COUNTIF(C696,PickedPlayers!D:D)</f>
        <v>0</v>
      </c>
      <c r="G696" s="3" t="str">
        <f t="shared" si="10"/>
        <v>Yes</v>
      </c>
    </row>
    <row r="697" spans="1:7" hidden="1" x14ac:dyDescent="0.25">
      <c r="A697" s="3" t="s">
        <v>592</v>
      </c>
      <c r="B697" s="3" t="s">
        <v>1766</v>
      </c>
      <c r="C697" s="3" t="s">
        <v>1767</v>
      </c>
      <c r="D697" s="3" t="s">
        <v>153</v>
      </c>
      <c r="E697" s="3" t="s">
        <v>2677</v>
      </c>
      <c r="F697" s="3">
        <f>COUNTIF(C697,PickedPlayers!D:D)</f>
        <v>0</v>
      </c>
      <c r="G697" s="3" t="str">
        <f t="shared" si="10"/>
        <v>Yes</v>
      </c>
    </row>
    <row r="698" spans="1:7" hidden="1" x14ac:dyDescent="0.25">
      <c r="A698" s="3" t="s">
        <v>592</v>
      </c>
      <c r="B698" s="3" t="s">
        <v>1757</v>
      </c>
      <c r="C698" s="3" t="s">
        <v>489</v>
      </c>
      <c r="D698" s="3" t="s">
        <v>153</v>
      </c>
      <c r="E698" s="3" t="s">
        <v>2677</v>
      </c>
      <c r="F698" s="3">
        <f>COUNTIF(C698,PickedPlayers!D:D)</f>
        <v>0</v>
      </c>
      <c r="G698" s="3" t="str">
        <f t="shared" si="10"/>
        <v>Yes</v>
      </c>
    </row>
    <row r="699" spans="1:7" hidden="1" x14ac:dyDescent="0.25">
      <c r="A699" s="3" t="s">
        <v>592</v>
      </c>
      <c r="B699" s="3" t="s">
        <v>1764</v>
      </c>
      <c r="C699" s="3" t="s">
        <v>1765</v>
      </c>
      <c r="D699" s="3" t="s">
        <v>153</v>
      </c>
      <c r="E699" s="3" t="s">
        <v>2677</v>
      </c>
      <c r="F699" s="3">
        <f>COUNTIF(C699,PickedPlayers!D:D)</f>
        <v>0</v>
      </c>
      <c r="G699" s="3" t="str">
        <f t="shared" si="10"/>
        <v>Yes</v>
      </c>
    </row>
    <row r="700" spans="1:7" hidden="1" x14ac:dyDescent="0.25">
      <c r="A700" s="3" t="s">
        <v>551</v>
      </c>
      <c r="B700" s="3" t="s">
        <v>1771</v>
      </c>
      <c r="C700" s="3" t="s">
        <v>1772</v>
      </c>
      <c r="D700" s="3" t="s">
        <v>70</v>
      </c>
      <c r="E700" s="3" t="s">
        <v>2673</v>
      </c>
      <c r="F700" s="3">
        <f>COUNTIF(C700,PickedPlayers!D:D)</f>
        <v>0</v>
      </c>
      <c r="G700" s="3" t="str">
        <f t="shared" si="10"/>
        <v>Yes</v>
      </c>
    </row>
    <row r="701" spans="1:7" hidden="1" x14ac:dyDescent="0.25">
      <c r="A701" s="3" t="s">
        <v>551</v>
      </c>
      <c r="B701" s="3" t="s">
        <v>1773</v>
      </c>
      <c r="C701" s="3" t="s">
        <v>1774</v>
      </c>
      <c r="D701" s="3" t="s">
        <v>70</v>
      </c>
      <c r="E701" s="3" t="s">
        <v>2673</v>
      </c>
      <c r="F701" s="3">
        <f>COUNTIF(C701,PickedPlayers!D:D)</f>
        <v>0</v>
      </c>
      <c r="G701" s="3" t="str">
        <f t="shared" si="10"/>
        <v>Yes</v>
      </c>
    </row>
    <row r="702" spans="1:7" hidden="1" x14ac:dyDescent="0.25">
      <c r="A702" s="3" t="s">
        <v>551</v>
      </c>
      <c r="B702" s="3" t="s">
        <v>1770</v>
      </c>
      <c r="C702" s="3" t="s">
        <v>521</v>
      </c>
      <c r="D702" s="3" t="s">
        <v>70</v>
      </c>
      <c r="E702" s="3" t="s">
        <v>2673</v>
      </c>
      <c r="F702" s="3">
        <f>COUNTIF(C702,PickedPlayers!D:D)</f>
        <v>0</v>
      </c>
      <c r="G702" s="3" t="str">
        <f t="shared" si="10"/>
        <v>Yes</v>
      </c>
    </row>
    <row r="703" spans="1:7" hidden="1" x14ac:dyDescent="0.25">
      <c r="A703" s="3" t="s">
        <v>558</v>
      </c>
      <c r="B703" s="3" t="s">
        <v>1775</v>
      </c>
      <c r="C703" s="3" t="s">
        <v>332</v>
      </c>
      <c r="D703" s="3" t="s">
        <v>70</v>
      </c>
      <c r="E703" s="3" t="s">
        <v>2674</v>
      </c>
      <c r="F703" s="3">
        <f>COUNTIF(C703,PickedPlayers!D:D)</f>
        <v>0</v>
      </c>
      <c r="G703" s="3" t="str">
        <f t="shared" si="10"/>
        <v>Yes</v>
      </c>
    </row>
    <row r="704" spans="1:7" hidden="1" x14ac:dyDescent="0.25">
      <c r="A704" s="3" t="s">
        <v>558</v>
      </c>
      <c r="B704" s="3" t="s">
        <v>1788</v>
      </c>
      <c r="C704" s="3" t="s">
        <v>1789</v>
      </c>
      <c r="D704" s="3" t="s">
        <v>70</v>
      </c>
      <c r="E704" s="3" t="s">
        <v>2674</v>
      </c>
      <c r="F704" s="3">
        <f>COUNTIF(C704,PickedPlayers!D:D)</f>
        <v>0</v>
      </c>
      <c r="G704" s="3" t="str">
        <f t="shared" si="10"/>
        <v>Yes</v>
      </c>
    </row>
    <row r="705" spans="1:7" hidden="1" x14ac:dyDescent="0.25">
      <c r="A705" s="3" t="s">
        <v>558</v>
      </c>
      <c r="B705" s="3" t="s">
        <v>1776</v>
      </c>
      <c r="C705" s="3" t="s">
        <v>1777</v>
      </c>
      <c r="D705" s="3" t="s">
        <v>70</v>
      </c>
      <c r="E705" s="3" t="s">
        <v>2674</v>
      </c>
      <c r="F705" s="3">
        <f>COUNTIF(C705,PickedPlayers!D:D)</f>
        <v>0</v>
      </c>
      <c r="G705" s="3" t="str">
        <f t="shared" si="10"/>
        <v>Yes</v>
      </c>
    </row>
    <row r="706" spans="1:7" hidden="1" x14ac:dyDescent="0.25">
      <c r="A706" s="3" t="s">
        <v>558</v>
      </c>
      <c r="B706" s="3" t="s">
        <v>1790</v>
      </c>
      <c r="C706" s="3" t="s">
        <v>1791</v>
      </c>
      <c r="D706" s="3" t="s">
        <v>70</v>
      </c>
      <c r="E706" s="3" t="s">
        <v>2674</v>
      </c>
      <c r="F706" s="3">
        <f>COUNTIF(C706,PickedPlayers!D:D)</f>
        <v>0</v>
      </c>
      <c r="G706" s="3" t="str">
        <f t="shared" si="10"/>
        <v>Yes</v>
      </c>
    </row>
    <row r="707" spans="1:7" hidden="1" x14ac:dyDescent="0.25">
      <c r="A707" s="3" t="s">
        <v>558</v>
      </c>
      <c r="B707" s="3" t="s">
        <v>1782</v>
      </c>
      <c r="C707" s="3" t="s">
        <v>1783</v>
      </c>
      <c r="D707" s="3" t="s">
        <v>70</v>
      </c>
      <c r="E707" s="3" t="s">
        <v>2674</v>
      </c>
      <c r="F707" s="3">
        <f>COUNTIF(C707,PickedPlayers!D:D)</f>
        <v>0</v>
      </c>
      <c r="G707" s="3" t="str">
        <f t="shared" ref="G707:G770" si="11">IF(F707&gt;0,"No","Yes")</f>
        <v>Yes</v>
      </c>
    </row>
    <row r="708" spans="1:7" hidden="1" x14ac:dyDescent="0.25">
      <c r="A708" s="3" t="s">
        <v>558</v>
      </c>
      <c r="B708" s="3" t="s">
        <v>1778</v>
      </c>
      <c r="C708" s="3" t="s">
        <v>1779</v>
      </c>
      <c r="D708" s="3" t="s">
        <v>70</v>
      </c>
      <c r="E708" s="3" t="s">
        <v>2674</v>
      </c>
      <c r="F708" s="3">
        <f>COUNTIF(C708,PickedPlayers!D:D)</f>
        <v>0</v>
      </c>
      <c r="G708" s="3" t="str">
        <f t="shared" si="11"/>
        <v>Yes</v>
      </c>
    </row>
    <row r="709" spans="1:7" hidden="1" x14ac:dyDescent="0.25">
      <c r="A709" s="3" t="s">
        <v>558</v>
      </c>
      <c r="B709" s="3" t="s">
        <v>1784</v>
      </c>
      <c r="C709" s="3" t="s">
        <v>1785</v>
      </c>
      <c r="D709" s="3" t="s">
        <v>70</v>
      </c>
      <c r="E709" s="3" t="s">
        <v>2674</v>
      </c>
      <c r="F709" s="3">
        <f>COUNTIF(C709,PickedPlayers!D:D)</f>
        <v>0</v>
      </c>
      <c r="G709" s="3" t="str">
        <f t="shared" si="11"/>
        <v>Yes</v>
      </c>
    </row>
    <row r="710" spans="1:7" hidden="1" x14ac:dyDescent="0.25">
      <c r="A710" s="3" t="s">
        <v>558</v>
      </c>
      <c r="B710" s="3" t="s">
        <v>1780</v>
      </c>
      <c r="C710" s="3" t="s">
        <v>1781</v>
      </c>
      <c r="D710" s="3" t="s">
        <v>70</v>
      </c>
      <c r="E710" s="3" t="s">
        <v>2674</v>
      </c>
      <c r="F710" s="3">
        <f>COUNTIF(C710,PickedPlayers!D:D)</f>
        <v>0</v>
      </c>
      <c r="G710" s="3" t="str">
        <f t="shared" si="11"/>
        <v>Yes</v>
      </c>
    </row>
    <row r="711" spans="1:7" hidden="1" x14ac:dyDescent="0.25">
      <c r="A711" s="3" t="s">
        <v>558</v>
      </c>
      <c r="B711" s="3" t="s">
        <v>1786</v>
      </c>
      <c r="C711" s="3" t="s">
        <v>1787</v>
      </c>
      <c r="D711" s="3" t="s">
        <v>70</v>
      </c>
      <c r="E711" s="3" t="s">
        <v>2674</v>
      </c>
      <c r="F711" s="3">
        <f>COUNTIF(C711,PickedPlayers!D:D)</f>
        <v>0</v>
      </c>
      <c r="G711" s="3" t="str">
        <f t="shared" si="11"/>
        <v>Yes</v>
      </c>
    </row>
    <row r="712" spans="1:7" x14ac:dyDescent="0.25">
      <c r="A712" s="3" t="s">
        <v>577</v>
      </c>
      <c r="B712" s="3" t="s">
        <v>1796</v>
      </c>
      <c r="C712" s="3" t="s">
        <v>1797</v>
      </c>
      <c r="D712" s="3" t="s">
        <v>70</v>
      </c>
      <c r="E712" s="3" t="s">
        <v>2675</v>
      </c>
      <c r="F712" s="3">
        <f>COUNTIF(C712,PickedPlayers!D:D)</f>
        <v>0</v>
      </c>
      <c r="G712" s="3" t="str">
        <f t="shared" si="11"/>
        <v>Yes</v>
      </c>
    </row>
    <row r="713" spans="1:7" x14ac:dyDescent="0.25">
      <c r="A713" s="3" t="s">
        <v>577</v>
      </c>
      <c r="B713" s="3" t="s">
        <v>1800</v>
      </c>
      <c r="C713" s="3" t="s">
        <v>1801</v>
      </c>
      <c r="D713" s="3" t="s">
        <v>70</v>
      </c>
      <c r="E713" s="3" t="s">
        <v>2675</v>
      </c>
      <c r="F713" s="3">
        <f>COUNTIF(C713,PickedPlayers!D:D)</f>
        <v>0</v>
      </c>
      <c r="G713" s="3" t="str">
        <f t="shared" si="11"/>
        <v>Yes</v>
      </c>
    </row>
    <row r="714" spans="1:7" x14ac:dyDescent="0.25">
      <c r="A714" s="3" t="s">
        <v>577</v>
      </c>
      <c r="B714" s="3" t="s">
        <v>1804</v>
      </c>
      <c r="C714" s="3" t="s">
        <v>428</v>
      </c>
      <c r="D714" s="3" t="s">
        <v>70</v>
      </c>
      <c r="E714" s="3" t="s">
        <v>2675</v>
      </c>
      <c r="F714" s="3">
        <f>COUNTIF(C714,PickedPlayers!D:D)</f>
        <v>0</v>
      </c>
      <c r="G714" s="3" t="str">
        <f t="shared" si="11"/>
        <v>Yes</v>
      </c>
    </row>
    <row r="715" spans="1:7" x14ac:dyDescent="0.25">
      <c r="A715" s="3" t="s">
        <v>577</v>
      </c>
      <c r="B715" s="3" t="s">
        <v>1802</v>
      </c>
      <c r="C715" s="3" t="s">
        <v>1803</v>
      </c>
      <c r="D715" s="3" t="s">
        <v>70</v>
      </c>
      <c r="E715" s="3" t="s">
        <v>2675</v>
      </c>
      <c r="F715" s="3">
        <f>COUNTIF(C715,PickedPlayers!D:D)</f>
        <v>0</v>
      </c>
      <c r="G715" s="3" t="str">
        <f t="shared" si="11"/>
        <v>Yes</v>
      </c>
    </row>
    <row r="716" spans="1:7" x14ac:dyDescent="0.25">
      <c r="A716" s="3" t="s">
        <v>577</v>
      </c>
      <c r="B716" s="3" t="s">
        <v>1794</v>
      </c>
      <c r="C716" s="3" t="s">
        <v>1795</v>
      </c>
      <c r="D716" s="3" t="s">
        <v>70</v>
      </c>
      <c r="E716" s="3" t="s">
        <v>2675</v>
      </c>
      <c r="F716" s="3">
        <f>COUNTIF(C716,PickedPlayers!D:D)</f>
        <v>0</v>
      </c>
      <c r="G716" s="3" t="str">
        <f t="shared" si="11"/>
        <v>Yes</v>
      </c>
    </row>
    <row r="717" spans="1:7" x14ac:dyDescent="0.25">
      <c r="A717" s="3" t="s">
        <v>577</v>
      </c>
      <c r="B717" s="3" t="s">
        <v>1805</v>
      </c>
      <c r="C717" s="3" t="s">
        <v>1806</v>
      </c>
      <c r="D717" s="3" t="s">
        <v>70</v>
      </c>
      <c r="E717" s="3" t="s">
        <v>2675</v>
      </c>
      <c r="F717" s="3">
        <f>COUNTIF(C717,PickedPlayers!D:D)</f>
        <v>0</v>
      </c>
      <c r="G717" s="3" t="str">
        <f t="shared" si="11"/>
        <v>Yes</v>
      </c>
    </row>
    <row r="718" spans="1:7" x14ac:dyDescent="0.25">
      <c r="A718" s="3" t="s">
        <v>577</v>
      </c>
      <c r="B718" s="3" t="s">
        <v>1792</v>
      </c>
      <c r="C718" s="3" t="s">
        <v>1793</v>
      </c>
      <c r="D718" s="3" t="s">
        <v>70</v>
      </c>
      <c r="E718" s="3" t="s">
        <v>2675</v>
      </c>
      <c r="F718" s="3">
        <f>COUNTIF(C718,PickedPlayers!D:D)</f>
        <v>0</v>
      </c>
      <c r="G718" s="3" t="str">
        <f t="shared" si="11"/>
        <v>Yes</v>
      </c>
    </row>
    <row r="719" spans="1:7" x14ac:dyDescent="0.25">
      <c r="A719" s="3" t="s">
        <v>577</v>
      </c>
      <c r="B719" s="3" t="s">
        <v>1798</v>
      </c>
      <c r="C719" s="3" t="s">
        <v>1799</v>
      </c>
      <c r="D719" s="3" t="s">
        <v>70</v>
      </c>
      <c r="E719" s="3" t="s">
        <v>2675</v>
      </c>
      <c r="F719" s="3">
        <f>COUNTIF(C719,PickedPlayers!D:D)</f>
        <v>0</v>
      </c>
      <c r="G719" s="3" t="str">
        <f t="shared" si="11"/>
        <v>Yes</v>
      </c>
    </row>
    <row r="720" spans="1:7" hidden="1" x14ac:dyDescent="0.25">
      <c r="A720" s="3" t="s">
        <v>592</v>
      </c>
      <c r="B720" s="3" t="s">
        <v>1817</v>
      </c>
      <c r="C720" s="3" t="s">
        <v>1818</v>
      </c>
      <c r="D720" s="3" t="s">
        <v>70</v>
      </c>
      <c r="E720" s="3" t="s">
        <v>2677</v>
      </c>
      <c r="F720" s="3">
        <f>COUNTIF(C720,PickedPlayers!D:D)</f>
        <v>0</v>
      </c>
      <c r="G720" s="3" t="str">
        <f t="shared" si="11"/>
        <v>Yes</v>
      </c>
    </row>
    <row r="721" spans="1:7" hidden="1" x14ac:dyDescent="0.25">
      <c r="A721" s="3" t="s">
        <v>592</v>
      </c>
      <c r="B721" s="3" t="s">
        <v>1813</v>
      </c>
      <c r="C721" s="3" t="s">
        <v>1814</v>
      </c>
      <c r="D721" s="3" t="s">
        <v>70</v>
      </c>
      <c r="E721" s="3" t="s">
        <v>2677</v>
      </c>
      <c r="F721" s="3">
        <f>COUNTIF(C721,PickedPlayers!D:D)</f>
        <v>0</v>
      </c>
      <c r="G721" s="3" t="str">
        <f t="shared" si="11"/>
        <v>Yes</v>
      </c>
    </row>
    <row r="722" spans="1:7" hidden="1" x14ac:dyDescent="0.25">
      <c r="A722" s="3" t="s">
        <v>592</v>
      </c>
      <c r="B722" s="3" t="s">
        <v>1809</v>
      </c>
      <c r="C722" s="3" t="s">
        <v>1810</v>
      </c>
      <c r="D722" s="3" t="s">
        <v>70</v>
      </c>
      <c r="E722" s="3" t="s">
        <v>2677</v>
      </c>
      <c r="F722" s="3">
        <f>COUNTIF(C722,PickedPlayers!D:D)</f>
        <v>0</v>
      </c>
      <c r="G722" s="3" t="str">
        <f t="shared" si="11"/>
        <v>Yes</v>
      </c>
    </row>
    <row r="723" spans="1:7" hidden="1" x14ac:dyDescent="0.25">
      <c r="A723" s="3" t="s">
        <v>592</v>
      </c>
      <c r="B723" s="3" t="s">
        <v>1807</v>
      </c>
      <c r="C723" s="3" t="s">
        <v>1808</v>
      </c>
      <c r="D723" s="3" t="s">
        <v>70</v>
      </c>
      <c r="E723" s="3" t="s">
        <v>2677</v>
      </c>
      <c r="F723" s="3">
        <f>COUNTIF(C723,PickedPlayers!D:D)</f>
        <v>0</v>
      </c>
      <c r="G723" s="3" t="str">
        <f t="shared" si="11"/>
        <v>Yes</v>
      </c>
    </row>
    <row r="724" spans="1:7" hidden="1" x14ac:dyDescent="0.25">
      <c r="A724" s="3" t="s">
        <v>592</v>
      </c>
      <c r="B724" s="3" t="s">
        <v>1815</v>
      </c>
      <c r="C724" s="3" t="s">
        <v>1816</v>
      </c>
      <c r="D724" s="3" t="s">
        <v>70</v>
      </c>
      <c r="E724" s="3" t="s">
        <v>2677</v>
      </c>
      <c r="F724" s="3">
        <f>COUNTIF(C724,PickedPlayers!D:D)</f>
        <v>0</v>
      </c>
      <c r="G724" s="3" t="str">
        <f t="shared" si="11"/>
        <v>Yes</v>
      </c>
    </row>
    <row r="725" spans="1:7" hidden="1" x14ac:dyDescent="0.25">
      <c r="A725" s="3" t="s">
        <v>592</v>
      </c>
      <c r="B725" s="3" t="s">
        <v>1811</v>
      </c>
      <c r="C725" s="3" t="s">
        <v>1812</v>
      </c>
      <c r="D725" s="3" t="s">
        <v>70</v>
      </c>
      <c r="E725" s="3" t="s">
        <v>2677</v>
      </c>
      <c r="F725" s="3">
        <f>COUNTIF(C725,PickedPlayers!D:D)</f>
        <v>0</v>
      </c>
      <c r="G725" s="3" t="str">
        <f t="shared" si="11"/>
        <v>Yes</v>
      </c>
    </row>
    <row r="726" spans="1:7" hidden="1" x14ac:dyDescent="0.25">
      <c r="A726" s="3" t="s">
        <v>551</v>
      </c>
      <c r="B726" s="3" t="s">
        <v>1819</v>
      </c>
      <c r="C726" s="3" t="s">
        <v>505</v>
      </c>
      <c r="D726" s="3" t="s">
        <v>69</v>
      </c>
      <c r="E726" s="3" t="s">
        <v>2673</v>
      </c>
      <c r="F726" s="3">
        <f>COUNTIF(C726,PickedPlayers!D:D)</f>
        <v>0</v>
      </c>
      <c r="G726" s="3" t="str">
        <f t="shared" si="11"/>
        <v>Yes</v>
      </c>
    </row>
    <row r="727" spans="1:7" hidden="1" x14ac:dyDescent="0.25">
      <c r="A727" s="3" t="s">
        <v>551</v>
      </c>
      <c r="B727" s="3" t="s">
        <v>1820</v>
      </c>
      <c r="C727" s="3" t="s">
        <v>1821</v>
      </c>
      <c r="D727" s="3" t="s">
        <v>69</v>
      </c>
      <c r="E727" s="3" t="s">
        <v>2673</v>
      </c>
      <c r="F727" s="3">
        <f>COUNTIF(C727,PickedPlayers!D:D)</f>
        <v>0</v>
      </c>
      <c r="G727" s="3" t="str">
        <f t="shared" si="11"/>
        <v>Yes</v>
      </c>
    </row>
    <row r="728" spans="1:7" hidden="1" x14ac:dyDescent="0.25">
      <c r="A728" s="3" t="s">
        <v>551</v>
      </c>
      <c r="B728" s="3" t="s">
        <v>1822</v>
      </c>
      <c r="C728" s="3" t="s">
        <v>1823</v>
      </c>
      <c r="D728" s="3" t="s">
        <v>69</v>
      </c>
      <c r="E728" s="3" t="s">
        <v>2673</v>
      </c>
      <c r="F728" s="3">
        <f>COUNTIF(C728,PickedPlayers!D:D)</f>
        <v>0</v>
      </c>
      <c r="G728" s="3" t="str">
        <f t="shared" si="11"/>
        <v>Yes</v>
      </c>
    </row>
    <row r="729" spans="1:7" hidden="1" x14ac:dyDescent="0.25">
      <c r="A729" s="3" t="s">
        <v>558</v>
      </c>
      <c r="B729" s="3" t="s">
        <v>1828</v>
      </c>
      <c r="C729" s="3" t="s">
        <v>430</v>
      </c>
      <c r="D729" s="3" t="s">
        <v>69</v>
      </c>
      <c r="E729" s="3" t="s">
        <v>2674</v>
      </c>
      <c r="F729" s="3">
        <f>COUNTIF(C729,PickedPlayers!D:D)</f>
        <v>0</v>
      </c>
      <c r="G729" s="3" t="str">
        <f t="shared" si="11"/>
        <v>Yes</v>
      </c>
    </row>
    <row r="730" spans="1:7" hidden="1" x14ac:dyDescent="0.25">
      <c r="A730" s="3" t="s">
        <v>558</v>
      </c>
      <c r="B730" s="3" t="s">
        <v>1831</v>
      </c>
      <c r="C730" s="3" t="s">
        <v>1832</v>
      </c>
      <c r="D730" s="3" t="s">
        <v>69</v>
      </c>
      <c r="E730" s="3" t="s">
        <v>2674</v>
      </c>
      <c r="F730" s="3">
        <f>COUNTIF(C730,PickedPlayers!D:D)</f>
        <v>0</v>
      </c>
      <c r="G730" s="3" t="str">
        <f t="shared" si="11"/>
        <v>Yes</v>
      </c>
    </row>
    <row r="731" spans="1:7" hidden="1" x14ac:dyDescent="0.25">
      <c r="A731" s="3" t="s">
        <v>558</v>
      </c>
      <c r="B731" s="3" t="s">
        <v>1824</v>
      </c>
      <c r="C731" s="3" t="s">
        <v>1825</v>
      </c>
      <c r="D731" s="3" t="s">
        <v>69</v>
      </c>
      <c r="E731" s="3" t="s">
        <v>2674</v>
      </c>
      <c r="F731" s="3">
        <f>COUNTIF(C731,PickedPlayers!D:D)</f>
        <v>0</v>
      </c>
      <c r="G731" s="3" t="str">
        <f t="shared" si="11"/>
        <v>Yes</v>
      </c>
    </row>
    <row r="732" spans="1:7" hidden="1" x14ac:dyDescent="0.25">
      <c r="A732" s="3" t="s">
        <v>558</v>
      </c>
      <c r="B732" s="3" t="s">
        <v>1833</v>
      </c>
      <c r="C732" s="3" t="s">
        <v>1834</v>
      </c>
      <c r="D732" s="3" t="s">
        <v>69</v>
      </c>
      <c r="E732" s="3" t="s">
        <v>2674</v>
      </c>
      <c r="F732" s="3">
        <f>COUNTIF(C732,PickedPlayers!D:D)</f>
        <v>0</v>
      </c>
      <c r="G732" s="3" t="str">
        <f t="shared" si="11"/>
        <v>Yes</v>
      </c>
    </row>
    <row r="733" spans="1:7" hidden="1" x14ac:dyDescent="0.25">
      <c r="A733" s="3" t="s">
        <v>558</v>
      </c>
      <c r="B733" s="3" t="s">
        <v>1826</v>
      </c>
      <c r="C733" s="3" t="s">
        <v>464</v>
      </c>
      <c r="D733" s="3" t="s">
        <v>69</v>
      </c>
      <c r="E733" s="3" t="s">
        <v>2674</v>
      </c>
      <c r="F733" s="3">
        <f>COUNTIF(C733,PickedPlayers!D:D)</f>
        <v>0</v>
      </c>
      <c r="G733" s="3" t="str">
        <f t="shared" si="11"/>
        <v>Yes</v>
      </c>
    </row>
    <row r="734" spans="1:7" hidden="1" x14ac:dyDescent="0.25">
      <c r="A734" s="3" t="s">
        <v>558</v>
      </c>
      <c r="B734" s="3" t="s">
        <v>1829</v>
      </c>
      <c r="C734" s="3" t="s">
        <v>1830</v>
      </c>
      <c r="D734" s="3" t="s">
        <v>69</v>
      </c>
      <c r="E734" s="3" t="s">
        <v>2674</v>
      </c>
      <c r="F734" s="3">
        <f>COUNTIF(C734,PickedPlayers!D:D)</f>
        <v>0</v>
      </c>
      <c r="G734" s="3" t="str">
        <f t="shared" si="11"/>
        <v>Yes</v>
      </c>
    </row>
    <row r="735" spans="1:7" hidden="1" x14ac:dyDescent="0.25">
      <c r="A735" s="3" t="s">
        <v>558</v>
      </c>
      <c r="B735" s="3" t="s">
        <v>1827</v>
      </c>
      <c r="C735" s="3" t="s">
        <v>362</v>
      </c>
      <c r="D735" s="3" t="s">
        <v>69</v>
      </c>
      <c r="E735" s="3" t="s">
        <v>2674</v>
      </c>
      <c r="F735" s="3">
        <f>COUNTIF(C735,PickedPlayers!D:D)</f>
        <v>0</v>
      </c>
      <c r="G735" s="3" t="str">
        <f t="shared" si="11"/>
        <v>Yes</v>
      </c>
    </row>
    <row r="736" spans="1:7" x14ac:dyDescent="0.25">
      <c r="A736" s="3" t="s">
        <v>577</v>
      </c>
      <c r="B736" s="3" t="s">
        <v>1844</v>
      </c>
      <c r="C736" s="3" t="s">
        <v>471</v>
      </c>
      <c r="D736" s="3" t="s">
        <v>69</v>
      </c>
      <c r="E736" s="3" t="s">
        <v>2675</v>
      </c>
      <c r="F736" s="3">
        <f>COUNTIF(C736,PickedPlayers!D:D)</f>
        <v>0</v>
      </c>
      <c r="G736" s="3" t="str">
        <f t="shared" si="11"/>
        <v>Yes</v>
      </c>
    </row>
    <row r="737" spans="1:7" x14ac:dyDescent="0.25">
      <c r="A737" s="3" t="s">
        <v>577</v>
      </c>
      <c r="B737" s="3" t="s">
        <v>1837</v>
      </c>
      <c r="C737" s="3" t="s">
        <v>1838</v>
      </c>
      <c r="D737" s="3" t="s">
        <v>69</v>
      </c>
      <c r="E737" s="3" t="s">
        <v>2675</v>
      </c>
      <c r="F737" s="3">
        <f>COUNTIF(C737,PickedPlayers!D:D)</f>
        <v>0</v>
      </c>
      <c r="G737" s="3" t="str">
        <f t="shared" si="11"/>
        <v>Yes</v>
      </c>
    </row>
    <row r="738" spans="1:7" x14ac:dyDescent="0.25">
      <c r="A738" s="3" t="s">
        <v>577</v>
      </c>
      <c r="B738" s="3" t="s">
        <v>1835</v>
      </c>
      <c r="C738" s="3" t="s">
        <v>1836</v>
      </c>
      <c r="D738" s="3" t="s">
        <v>69</v>
      </c>
      <c r="E738" s="3" t="s">
        <v>2675</v>
      </c>
      <c r="F738" s="3">
        <f>COUNTIF(C738,PickedPlayers!D:D)</f>
        <v>0</v>
      </c>
      <c r="G738" s="3" t="str">
        <f t="shared" si="11"/>
        <v>Yes</v>
      </c>
    </row>
    <row r="739" spans="1:7" x14ac:dyDescent="0.25">
      <c r="A739" s="3" t="s">
        <v>577</v>
      </c>
      <c r="B739" s="3" t="s">
        <v>1842</v>
      </c>
      <c r="C739" s="3" t="s">
        <v>1843</v>
      </c>
      <c r="D739" s="3" t="s">
        <v>69</v>
      </c>
      <c r="E739" s="3" t="s">
        <v>2675</v>
      </c>
      <c r="F739" s="3">
        <f>COUNTIF(C739,PickedPlayers!D:D)</f>
        <v>0</v>
      </c>
      <c r="G739" s="3" t="str">
        <f t="shared" si="11"/>
        <v>Yes</v>
      </c>
    </row>
    <row r="740" spans="1:7" x14ac:dyDescent="0.25">
      <c r="A740" s="3" t="s">
        <v>577</v>
      </c>
      <c r="B740" s="3" t="s">
        <v>1847</v>
      </c>
      <c r="C740" s="3" t="s">
        <v>1848</v>
      </c>
      <c r="D740" s="3" t="s">
        <v>69</v>
      </c>
      <c r="E740" s="3" t="s">
        <v>2675</v>
      </c>
      <c r="F740" s="3">
        <f>COUNTIF(C740,PickedPlayers!D:D)</f>
        <v>0</v>
      </c>
      <c r="G740" s="3" t="str">
        <f t="shared" si="11"/>
        <v>Yes</v>
      </c>
    </row>
    <row r="741" spans="1:7" x14ac:dyDescent="0.25">
      <c r="A741" s="3" t="s">
        <v>577</v>
      </c>
      <c r="B741" s="3" t="s">
        <v>1839</v>
      </c>
      <c r="C741" s="3" t="s">
        <v>475</v>
      </c>
      <c r="D741" s="3" t="s">
        <v>69</v>
      </c>
      <c r="E741" s="3" t="s">
        <v>2675</v>
      </c>
      <c r="F741" s="3">
        <f>COUNTIF(C741,PickedPlayers!D:D)</f>
        <v>0</v>
      </c>
      <c r="G741" s="3" t="str">
        <f t="shared" si="11"/>
        <v>Yes</v>
      </c>
    </row>
    <row r="742" spans="1:7" x14ac:dyDescent="0.25">
      <c r="A742" s="3" t="s">
        <v>577</v>
      </c>
      <c r="B742" s="3" t="s">
        <v>1840</v>
      </c>
      <c r="C742" s="3" t="s">
        <v>1841</v>
      </c>
      <c r="D742" s="3" t="s">
        <v>69</v>
      </c>
      <c r="E742" s="3" t="s">
        <v>2675</v>
      </c>
      <c r="F742" s="3">
        <f>COUNTIF(C742,PickedPlayers!D:D)</f>
        <v>0</v>
      </c>
      <c r="G742" s="3" t="str">
        <f t="shared" si="11"/>
        <v>Yes</v>
      </c>
    </row>
    <row r="743" spans="1:7" x14ac:dyDescent="0.25">
      <c r="A743" s="3" t="s">
        <v>577</v>
      </c>
      <c r="B743" s="3" t="s">
        <v>1845</v>
      </c>
      <c r="C743" s="3" t="s">
        <v>1846</v>
      </c>
      <c r="D743" s="3" t="s">
        <v>69</v>
      </c>
      <c r="E743" s="3" t="s">
        <v>2675</v>
      </c>
      <c r="F743" s="3">
        <f>COUNTIF(C743,PickedPlayers!D:D)</f>
        <v>0</v>
      </c>
      <c r="G743" s="3" t="str">
        <f t="shared" si="11"/>
        <v>Yes</v>
      </c>
    </row>
    <row r="744" spans="1:7" hidden="1" x14ac:dyDescent="0.25">
      <c r="A744" s="3" t="s">
        <v>592</v>
      </c>
      <c r="B744" s="3" t="s">
        <v>1858</v>
      </c>
      <c r="C744" s="3" t="s">
        <v>545</v>
      </c>
      <c r="D744" s="3" t="s">
        <v>69</v>
      </c>
      <c r="E744" s="3" t="s">
        <v>2677</v>
      </c>
      <c r="F744" s="3">
        <f>COUNTIF(C744,PickedPlayers!D:D)</f>
        <v>0</v>
      </c>
      <c r="G744" s="3" t="str">
        <f t="shared" si="11"/>
        <v>Yes</v>
      </c>
    </row>
    <row r="745" spans="1:7" hidden="1" x14ac:dyDescent="0.25">
      <c r="A745" s="3" t="s">
        <v>592</v>
      </c>
      <c r="B745" s="3" t="s">
        <v>1859</v>
      </c>
      <c r="C745" s="3" t="s">
        <v>404</v>
      </c>
      <c r="D745" s="3" t="s">
        <v>69</v>
      </c>
      <c r="E745" s="3" t="s">
        <v>2677</v>
      </c>
      <c r="F745" s="3">
        <f>COUNTIF(C745,PickedPlayers!D:D)</f>
        <v>0</v>
      </c>
      <c r="G745" s="3" t="str">
        <f t="shared" si="11"/>
        <v>Yes</v>
      </c>
    </row>
    <row r="746" spans="1:7" hidden="1" x14ac:dyDescent="0.25">
      <c r="A746" s="3" t="s">
        <v>592</v>
      </c>
      <c r="B746" s="3" t="s">
        <v>1860</v>
      </c>
      <c r="C746" s="3" t="s">
        <v>1861</v>
      </c>
      <c r="D746" s="3" t="s">
        <v>69</v>
      </c>
      <c r="E746" s="3" t="s">
        <v>2677</v>
      </c>
      <c r="F746" s="3">
        <f>COUNTIF(C746,PickedPlayers!D:D)</f>
        <v>0</v>
      </c>
      <c r="G746" s="3" t="str">
        <f t="shared" si="11"/>
        <v>Yes</v>
      </c>
    </row>
    <row r="747" spans="1:7" hidden="1" x14ac:dyDescent="0.25">
      <c r="A747" s="3" t="s">
        <v>592</v>
      </c>
      <c r="B747" s="3" t="s">
        <v>1855</v>
      </c>
      <c r="C747" s="3" t="s">
        <v>1856</v>
      </c>
      <c r="D747" s="3" t="s">
        <v>69</v>
      </c>
      <c r="E747" s="3" t="s">
        <v>2677</v>
      </c>
      <c r="F747" s="3">
        <f>COUNTIF(C747,PickedPlayers!D:D)</f>
        <v>0</v>
      </c>
      <c r="G747" s="3" t="str">
        <f t="shared" si="11"/>
        <v>Yes</v>
      </c>
    </row>
    <row r="748" spans="1:7" hidden="1" x14ac:dyDescent="0.25">
      <c r="A748" s="3" t="s">
        <v>592</v>
      </c>
      <c r="B748" s="3" t="s">
        <v>1849</v>
      </c>
      <c r="C748" s="3" t="s">
        <v>1850</v>
      </c>
      <c r="D748" s="3" t="s">
        <v>69</v>
      </c>
      <c r="E748" s="3" t="s">
        <v>2677</v>
      </c>
      <c r="F748" s="3">
        <f>COUNTIF(C748,PickedPlayers!D:D)</f>
        <v>0</v>
      </c>
      <c r="G748" s="3" t="str">
        <f t="shared" si="11"/>
        <v>Yes</v>
      </c>
    </row>
    <row r="749" spans="1:7" hidden="1" x14ac:dyDescent="0.25">
      <c r="A749" s="3" t="s">
        <v>592</v>
      </c>
      <c r="B749" s="3" t="s">
        <v>1857</v>
      </c>
      <c r="C749" s="3" t="s">
        <v>483</v>
      </c>
      <c r="D749" s="3" t="s">
        <v>69</v>
      </c>
      <c r="E749" s="3" t="s">
        <v>2677</v>
      </c>
      <c r="F749" s="3">
        <f>COUNTIF(C749,PickedPlayers!D:D)</f>
        <v>0</v>
      </c>
      <c r="G749" s="3" t="str">
        <f t="shared" si="11"/>
        <v>Yes</v>
      </c>
    </row>
    <row r="750" spans="1:7" hidden="1" x14ac:dyDescent="0.25">
      <c r="A750" s="3" t="s">
        <v>592</v>
      </c>
      <c r="B750" s="3" t="s">
        <v>1851</v>
      </c>
      <c r="C750" s="3" t="s">
        <v>1852</v>
      </c>
      <c r="D750" s="3" t="s">
        <v>69</v>
      </c>
      <c r="E750" s="3" t="s">
        <v>2677</v>
      </c>
      <c r="F750" s="3">
        <f>COUNTIF(C750,PickedPlayers!D:D)</f>
        <v>0</v>
      </c>
      <c r="G750" s="3" t="str">
        <f t="shared" si="11"/>
        <v>Yes</v>
      </c>
    </row>
    <row r="751" spans="1:7" hidden="1" x14ac:dyDescent="0.25">
      <c r="A751" s="3" t="s">
        <v>592</v>
      </c>
      <c r="B751" s="3" t="s">
        <v>1853</v>
      </c>
      <c r="C751" s="3" t="s">
        <v>1854</v>
      </c>
      <c r="D751" s="3" t="s">
        <v>69</v>
      </c>
      <c r="E751" s="3" t="s">
        <v>2677</v>
      </c>
      <c r="F751" s="3">
        <f>COUNTIF(C751,PickedPlayers!D:D)</f>
        <v>0</v>
      </c>
      <c r="G751" s="3" t="str">
        <f t="shared" si="11"/>
        <v>Yes</v>
      </c>
    </row>
    <row r="752" spans="1:7" hidden="1" x14ac:dyDescent="0.25">
      <c r="A752" s="3" t="s">
        <v>551</v>
      </c>
      <c r="B752" s="3" t="s">
        <v>1866</v>
      </c>
      <c r="C752" s="3" t="s">
        <v>1867</v>
      </c>
      <c r="D752" s="3" t="s">
        <v>112</v>
      </c>
      <c r="E752" s="3" t="s">
        <v>2673</v>
      </c>
      <c r="F752" s="3">
        <f>COUNTIF(C752,PickedPlayers!D:D)</f>
        <v>0</v>
      </c>
      <c r="G752" s="3" t="str">
        <f t="shared" si="11"/>
        <v>Yes</v>
      </c>
    </row>
    <row r="753" spans="1:7" hidden="1" x14ac:dyDescent="0.25">
      <c r="A753" s="3" t="s">
        <v>551</v>
      </c>
      <c r="B753" s="3" t="s">
        <v>1862</v>
      </c>
      <c r="C753" s="3" t="s">
        <v>1863</v>
      </c>
      <c r="D753" s="3" t="s">
        <v>112</v>
      </c>
      <c r="E753" s="3" t="s">
        <v>2673</v>
      </c>
      <c r="F753" s="3">
        <f>COUNTIF(C753,PickedPlayers!D:D)</f>
        <v>0</v>
      </c>
      <c r="G753" s="3" t="str">
        <f t="shared" si="11"/>
        <v>Yes</v>
      </c>
    </row>
    <row r="754" spans="1:7" hidden="1" x14ac:dyDescent="0.25">
      <c r="A754" s="3" t="s">
        <v>551</v>
      </c>
      <c r="B754" s="3" t="s">
        <v>1864</v>
      </c>
      <c r="C754" s="3" t="s">
        <v>1865</v>
      </c>
      <c r="D754" s="3" t="s">
        <v>112</v>
      </c>
      <c r="E754" s="3" t="s">
        <v>2673</v>
      </c>
      <c r="F754" s="3">
        <f>COUNTIF(C754,PickedPlayers!D:D)</f>
        <v>0</v>
      </c>
      <c r="G754" s="3" t="str">
        <f t="shared" si="11"/>
        <v>Yes</v>
      </c>
    </row>
    <row r="755" spans="1:7" hidden="1" x14ac:dyDescent="0.25">
      <c r="A755" s="3" t="s">
        <v>558</v>
      </c>
      <c r="B755" s="3" t="s">
        <v>1878</v>
      </c>
      <c r="C755" s="3" t="s">
        <v>1879</v>
      </c>
      <c r="D755" s="3" t="s">
        <v>112</v>
      </c>
      <c r="E755" s="3" t="s">
        <v>2674</v>
      </c>
      <c r="F755" s="3">
        <f>COUNTIF(C755,PickedPlayers!D:D)</f>
        <v>0</v>
      </c>
      <c r="G755" s="3" t="str">
        <f t="shared" si="11"/>
        <v>Yes</v>
      </c>
    </row>
    <row r="756" spans="1:7" hidden="1" x14ac:dyDescent="0.25">
      <c r="A756" s="3" t="s">
        <v>558</v>
      </c>
      <c r="B756" s="3" t="s">
        <v>1872</v>
      </c>
      <c r="C756" s="3" t="s">
        <v>1873</v>
      </c>
      <c r="D756" s="3" t="s">
        <v>112</v>
      </c>
      <c r="E756" s="3" t="s">
        <v>2674</v>
      </c>
      <c r="F756" s="3">
        <f>COUNTIF(C756,PickedPlayers!D:D)</f>
        <v>0</v>
      </c>
      <c r="G756" s="3" t="str">
        <f t="shared" si="11"/>
        <v>Yes</v>
      </c>
    </row>
    <row r="757" spans="1:7" hidden="1" x14ac:dyDescent="0.25">
      <c r="A757" s="3" t="s">
        <v>558</v>
      </c>
      <c r="B757" s="3" t="s">
        <v>1874</v>
      </c>
      <c r="C757" s="3" t="s">
        <v>1875</v>
      </c>
      <c r="D757" s="3" t="s">
        <v>112</v>
      </c>
      <c r="E757" s="3" t="s">
        <v>2674</v>
      </c>
      <c r="F757" s="3">
        <f>COUNTIF(C757,PickedPlayers!D:D)</f>
        <v>0</v>
      </c>
      <c r="G757" s="3" t="str">
        <f t="shared" si="11"/>
        <v>Yes</v>
      </c>
    </row>
    <row r="758" spans="1:7" hidden="1" x14ac:dyDescent="0.25">
      <c r="A758" s="3" t="s">
        <v>558</v>
      </c>
      <c r="B758" s="3" t="s">
        <v>1884</v>
      </c>
      <c r="C758" s="3" t="s">
        <v>1885</v>
      </c>
      <c r="D758" s="3" t="s">
        <v>112</v>
      </c>
      <c r="E758" s="3" t="s">
        <v>2674</v>
      </c>
      <c r="F758" s="3">
        <f>COUNTIF(C758,PickedPlayers!D:D)</f>
        <v>0</v>
      </c>
      <c r="G758" s="3" t="str">
        <f t="shared" si="11"/>
        <v>Yes</v>
      </c>
    </row>
    <row r="759" spans="1:7" hidden="1" x14ac:dyDescent="0.25">
      <c r="A759" s="3" t="s">
        <v>558</v>
      </c>
      <c r="B759" s="3" t="s">
        <v>1880</v>
      </c>
      <c r="C759" s="3" t="s">
        <v>1881</v>
      </c>
      <c r="D759" s="3" t="s">
        <v>112</v>
      </c>
      <c r="E759" s="3" t="s">
        <v>2674</v>
      </c>
      <c r="F759" s="3">
        <f>COUNTIF(C759,PickedPlayers!D:D)</f>
        <v>0</v>
      </c>
      <c r="G759" s="3" t="str">
        <f t="shared" si="11"/>
        <v>Yes</v>
      </c>
    </row>
    <row r="760" spans="1:7" hidden="1" x14ac:dyDescent="0.25">
      <c r="A760" s="3" t="s">
        <v>558</v>
      </c>
      <c r="B760" s="3" t="s">
        <v>1870</v>
      </c>
      <c r="C760" s="3" t="s">
        <v>1871</v>
      </c>
      <c r="D760" s="3" t="s">
        <v>112</v>
      </c>
      <c r="E760" s="3" t="s">
        <v>2674</v>
      </c>
      <c r="F760" s="3">
        <f>COUNTIF(C760,PickedPlayers!D:D)</f>
        <v>0</v>
      </c>
      <c r="G760" s="3" t="str">
        <f t="shared" si="11"/>
        <v>Yes</v>
      </c>
    </row>
    <row r="761" spans="1:7" hidden="1" x14ac:dyDescent="0.25">
      <c r="A761" s="3" t="s">
        <v>558</v>
      </c>
      <c r="B761" s="3" t="s">
        <v>1876</v>
      </c>
      <c r="C761" s="3" t="s">
        <v>1877</v>
      </c>
      <c r="D761" s="3" t="s">
        <v>112</v>
      </c>
      <c r="E761" s="3" t="s">
        <v>2674</v>
      </c>
      <c r="F761" s="3">
        <f>COUNTIF(C761,PickedPlayers!D:D)</f>
        <v>0</v>
      </c>
      <c r="G761" s="3" t="str">
        <f t="shared" si="11"/>
        <v>Yes</v>
      </c>
    </row>
    <row r="762" spans="1:7" hidden="1" x14ac:dyDescent="0.25">
      <c r="A762" s="3" t="s">
        <v>558</v>
      </c>
      <c r="B762" s="3" t="s">
        <v>1868</v>
      </c>
      <c r="C762" s="3" t="s">
        <v>1869</v>
      </c>
      <c r="D762" s="3" t="s">
        <v>112</v>
      </c>
      <c r="E762" s="3" t="s">
        <v>2674</v>
      </c>
      <c r="F762" s="3">
        <f>COUNTIF(C762,PickedPlayers!D:D)</f>
        <v>0</v>
      </c>
      <c r="G762" s="3" t="str">
        <f t="shared" si="11"/>
        <v>Yes</v>
      </c>
    </row>
    <row r="763" spans="1:7" hidden="1" x14ac:dyDescent="0.25">
      <c r="A763" s="3" t="s">
        <v>558</v>
      </c>
      <c r="B763" s="3" t="s">
        <v>1882</v>
      </c>
      <c r="C763" s="3" t="s">
        <v>1883</v>
      </c>
      <c r="D763" s="3" t="s">
        <v>112</v>
      </c>
      <c r="E763" s="3" t="s">
        <v>2674</v>
      </c>
      <c r="F763" s="3">
        <f>COUNTIF(C763,PickedPlayers!D:D)</f>
        <v>0</v>
      </c>
      <c r="G763" s="3" t="str">
        <f t="shared" si="11"/>
        <v>Yes</v>
      </c>
    </row>
    <row r="764" spans="1:7" hidden="1" x14ac:dyDescent="0.25">
      <c r="A764" s="3" t="s">
        <v>577</v>
      </c>
      <c r="B764" s="3" t="s">
        <v>1888</v>
      </c>
      <c r="C764" s="3" t="s">
        <v>1889</v>
      </c>
      <c r="D764" s="3" t="s">
        <v>112</v>
      </c>
      <c r="E764" s="3" t="s">
        <v>2675</v>
      </c>
      <c r="F764" s="3">
        <f>COUNTIF(C764,PickedPlayers!D:D)</f>
        <v>0</v>
      </c>
      <c r="G764" s="3" t="str">
        <f t="shared" si="11"/>
        <v>Yes</v>
      </c>
    </row>
    <row r="765" spans="1:7" hidden="1" x14ac:dyDescent="0.25">
      <c r="A765" s="3" t="s">
        <v>577</v>
      </c>
      <c r="B765" s="3" t="s">
        <v>1892</v>
      </c>
      <c r="C765" s="3" t="s">
        <v>1893</v>
      </c>
      <c r="D765" s="3" t="s">
        <v>112</v>
      </c>
      <c r="E765" s="3" t="s">
        <v>2675</v>
      </c>
      <c r="F765" s="3">
        <f>COUNTIF(C765,PickedPlayers!D:D)</f>
        <v>0</v>
      </c>
      <c r="G765" s="3" t="str">
        <f t="shared" si="11"/>
        <v>Yes</v>
      </c>
    </row>
    <row r="766" spans="1:7" hidden="1" x14ac:dyDescent="0.25">
      <c r="A766" s="3" t="s">
        <v>577</v>
      </c>
      <c r="B766" s="3" t="s">
        <v>1886</v>
      </c>
      <c r="C766" s="3" t="s">
        <v>1887</v>
      </c>
      <c r="D766" s="3" t="s">
        <v>112</v>
      </c>
      <c r="E766" s="3" t="s">
        <v>2675</v>
      </c>
      <c r="F766" s="3">
        <f>COUNTIF(C766,PickedPlayers!D:D)</f>
        <v>0</v>
      </c>
      <c r="G766" s="3" t="str">
        <f t="shared" si="11"/>
        <v>Yes</v>
      </c>
    </row>
    <row r="767" spans="1:7" hidden="1" x14ac:dyDescent="0.25">
      <c r="A767" s="3" t="s">
        <v>577</v>
      </c>
      <c r="B767" s="3" t="s">
        <v>1900</v>
      </c>
      <c r="C767" s="3" t="s">
        <v>1901</v>
      </c>
      <c r="D767" s="3" t="s">
        <v>112</v>
      </c>
      <c r="E767" s="3" t="s">
        <v>2675</v>
      </c>
      <c r="F767" s="3">
        <f>COUNTIF(C767,PickedPlayers!D:D)</f>
        <v>0</v>
      </c>
      <c r="G767" s="3" t="str">
        <f t="shared" si="11"/>
        <v>Yes</v>
      </c>
    </row>
    <row r="768" spans="1:7" hidden="1" x14ac:dyDescent="0.25">
      <c r="A768" s="3" t="s">
        <v>577</v>
      </c>
      <c r="B768" s="3" t="s">
        <v>1890</v>
      </c>
      <c r="C768" s="3" t="s">
        <v>1891</v>
      </c>
      <c r="D768" s="3" t="s">
        <v>112</v>
      </c>
      <c r="E768" s="3" t="s">
        <v>2675</v>
      </c>
      <c r="F768" s="3">
        <f>COUNTIF(C768,PickedPlayers!D:D)</f>
        <v>0</v>
      </c>
      <c r="G768" s="3" t="str">
        <f t="shared" si="11"/>
        <v>Yes</v>
      </c>
    </row>
    <row r="769" spans="1:7" hidden="1" x14ac:dyDescent="0.25">
      <c r="A769" s="3" t="s">
        <v>577</v>
      </c>
      <c r="B769" s="3" t="s">
        <v>1894</v>
      </c>
      <c r="C769" s="3" t="s">
        <v>1895</v>
      </c>
      <c r="D769" s="3" t="s">
        <v>112</v>
      </c>
      <c r="E769" s="3" t="s">
        <v>2675</v>
      </c>
      <c r="F769" s="3">
        <f>COUNTIF(C769,PickedPlayers!D:D)</f>
        <v>0</v>
      </c>
      <c r="G769" s="3" t="str">
        <f t="shared" si="11"/>
        <v>Yes</v>
      </c>
    </row>
    <row r="770" spans="1:7" hidden="1" x14ac:dyDescent="0.25">
      <c r="A770" s="3" t="s">
        <v>577</v>
      </c>
      <c r="B770" s="3" t="s">
        <v>1896</v>
      </c>
      <c r="C770" s="3" t="s">
        <v>1897</v>
      </c>
      <c r="D770" s="3" t="s">
        <v>112</v>
      </c>
      <c r="E770" s="3" t="s">
        <v>2675</v>
      </c>
      <c r="F770" s="3">
        <f>COUNTIF(C770,PickedPlayers!D:D)</f>
        <v>0</v>
      </c>
      <c r="G770" s="3" t="str">
        <f t="shared" si="11"/>
        <v>Yes</v>
      </c>
    </row>
    <row r="771" spans="1:7" hidden="1" x14ac:dyDescent="0.25">
      <c r="A771" s="3" t="s">
        <v>577</v>
      </c>
      <c r="B771" s="3" t="s">
        <v>1898</v>
      </c>
      <c r="C771" s="3" t="s">
        <v>1899</v>
      </c>
      <c r="D771" s="3" t="s">
        <v>112</v>
      </c>
      <c r="E771" s="3" t="s">
        <v>2675</v>
      </c>
      <c r="F771" s="3">
        <f>COUNTIF(C771,PickedPlayers!D:D)</f>
        <v>0</v>
      </c>
      <c r="G771" s="3" t="str">
        <f t="shared" ref="G771:G834" si="12">IF(F771&gt;0,"No","Yes")</f>
        <v>Yes</v>
      </c>
    </row>
    <row r="772" spans="1:7" hidden="1" x14ac:dyDescent="0.25">
      <c r="A772" s="3" t="s">
        <v>592</v>
      </c>
      <c r="B772" s="3" t="s">
        <v>1908</v>
      </c>
      <c r="C772" s="3" t="s">
        <v>1909</v>
      </c>
      <c r="D772" s="3" t="s">
        <v>112</v>
      </c>
      <c r="E772" s="3" t="s">
        <v>2677</v>
      </c>
      <c r="F772" s="3">
        <f>COUNTIF(C772,PickedPlayers!D:D)</f>
        <v>0</v>
      </c>
      <c r="G772" s="3" t="str">
        <f t="shared" si="12"/>
        <v>Yes</v>
      </c>
    </row>
    <row r="773" spans="1:7" hidden="1" x14ac:dyDescent="0.25">
      <c r="A773" s="3" t="s">
        <v>592</v>
      </c>
      <c r="B773" s="3" t="s">
        <v>1904</v>
      </c>
      <c r="C773" s="3" t="s">
        <v>1905</v>
      </c>
      <c r="D773" s="3" t="s">
        <v>112</v>
      </c>
      <c r="E773" s="3" t="s">
        <v>2677</v>
      </c>
      <c r="F773" s="3">
        <f>COUNTIF(C773,PickedPlayers!D:D)</f>
        <v>0</v>
      </c>
      <c r="G773" s="3" t="str">
        <f t="shared" si="12"/>
        <v>Yes</v>
      </c>
    </row>
    <row r="774" spans="1:7" hidden="1" x14ac:dyDescent="0.25">
      <c r="A774" s="3" t="s">
        <v>592</v>
      </c>
      <c r="B774" s="3" t="s">
        <v>1902</v>
      </c>
      <c r="C774" s="3" t="s">
        <v>1903</v>
      </c>
      <c r="D774" s="3" t="s">
        <v>112</v>
      </c>
      <c r="E774" s="3" t="s">
        <v>2677</v>
      </c>
      <c r="F774" s="3">
        <f>COUNTIF(C774,PickedPlayers!D:D)</f>
        <v>0</v>
      </c>
      <c r="G774" s="3" t="str">
        <f t="shared" si="12"/>
        <v>Yes</v>
      </c>
    </row>
    <row r="775" spans="1:7" hidden="1" x14ac:dyDescent="0.25">
      <c r="A775" s="3" t="s">
        <v>592</v>
      </c>
      <c r="B775" s="3" t="s">
        <v>1906</v>
      </c>
      <c r="C775" s="3" t="s">
        <v>1907</v>
      </c>
      <c r="D775" s="3" t="s">
        <v>112</v>
      </c>
      <c r="E775" s="3" t="s">
        <v>2677</v>
      </c>
      <c r="F775" s="3">
        <f>COUNTIF(C775,PickedPlayers!D:D)</f>
        <v>0</v>
      </c>
      <c r="G775" s="3" t="str">
        <f t="shared" si="12"/>
        <v>Yes</v>
      </c>
    </row>
    <row r="776" spans="1:7" hidden="1" x14ac:dyDescent="0.25">
      <c r="A776" s="3" t="s">
        <v>592</v>
      </c>
      <c r="B776" s="3" t="s">
        <v>1912</v>
      </c>
      <c r="C776" s="3" t="s">
        <v>1913</v>
      </c>
      <c r="D776" s="3" t="s">
        <v>112</v>
      </c>
      <c r="E776" s="3" t="s">
        <v>2677</v>
      </c>
      <c r="F776" s="3">
        <f>COUNTIF(C776,PickedPlayers!D:D)</f>
        <v>0</v>
      </c>
      <c r="G776" s="3" t="str">
        <f t="shared" si="12"/>
        <v>Yes</v>
      </c>
    </row>
    <row r="777" spans="1:7" hidden="1" x14ac:dyDescent="0.25">
      <c r="A777" s="3" t="s">
        <v>592</v>
      </c>
      <c r="B777" s="3" t="s">
        <v>1910</v>
      </c>
      <c r="C777" s="3" t="s">
        <v>1911</v>
      </c>
      <c r="D777" s="3" t="s">
        <v>112</v>
      </c>
      <c r="E777" s="3" t="s">
        <v>2677</v>
      </c>
      <c r="F777" s="3">
        <f>COUNTIF(C777,PickedPlayers!D:D)</f>
        <v>0</v>
      </c>
      <c r="G777" s="3" t="str">
        <f t="shared" si="12"/>
        <v>Yes</v>
      </c>
    </row>
    <row r="778" spans="1:7" hidden="1" x14ac:dyDescent="0.25">
      <c r="A778" s="3" t="s">
        <v>551</v>
      </c>
      <c r="B778" s="3" t="s">
        <v>1916</v>
      </c>
      <c r="C778" s="3" t="s">
        <v>1917</v>
      </c>
      <c r="D778" s="3" t="s">
        <v>66</v>
      </c>
      <c r="E778" s="3" t="s">
        <v>2673</v>
      </c>
      <c r="F778" s="3">
        <f>COUNTIF(C778,PickedPlayers!D:D)</f>
        <v>0</v>
      </c>
      <c r="G778" s="3" t="str">
        <f t="shared" si="12"/>
        <v>Yes</v>
      </c>
    </row>
    <row r="779" spans="1:7" hidden="1" x14ac:dyDescent="0.25">
      <c r="A779" s="3" t="s">
        <v>551</v>
      </c>
      <c r="B779" s="3" t="s">
        <v>1914</v>
      </c>
      <c r="C779" s="3" t="s">
        <v>1915</v>
      </c>
      <c r="D779" s="3" t="s">
        <v>66</v>
      </c>
      <c r="E779" s="3" t="s">
        <v>2673</v>
      </c>
      <c r="F779" s="3">
        <f>COUNTIF(C779,PickedPlayers!D:D)</f>
        <v>0</v>
      </c>
      <c r="G779" s="3" t="str">
        <f t="shared" si="12"/>
        <v>Yes</v>
      </c>
    </row>
    <row r="780" spans="1:7" hidden="1" x14ac:dyDescent="0.25">
      <c r="A780" s="3" t="s">
        <v>551</v>
      </c>
      <c r="B780" s="3" t="s">
        <v>1918</v>
      </c>
      <c r="C780" s="3" t="s">
        <v>1919</v>
      </c>
      <c r="D780" s="3" t="s">
        <v>66</v>
      </c>
      <c r="E780" s="3" t="s">
        <v>2673</v>
      </c>
      <c r="F780" s="3">
        <f>COUNTIF(C780,PickedPlayers!D:D)</f>
        <v>0</v>
      </c>
      <c r="G780" s="3" t="str">
        <f t="shared" si="12"/>
        <v>Yes</v>
      </c>
    </row>
    <row r="781" spans="1:7" hidden="1" x14ac:dyDescent="0.25">
      <c r="A781" s="3" t="s">
        <v>558</v>
      </c>
      <c r="B781" s="3" t="s">
        <v>1928</v>
      </c>
      <c r="C781" s="3" t="s">
        <v>1929</v>
      </c>
      <c r="D781" s="3" t="s">
        <v>66</v>
      </c>
      <c r="E781" s="3" t="s">
        <v>2674</v>
      </c>
      <c r="F781" s="3">
        <f>COUNTIF(C781,PickedPlayers!D:D)</f>
        <v>0</v>
      </c>
      <c r="G781" s="3" t="str">
        <f t="shared" si="12"/>
        <v>Yes</v>
      </c>
    </row>
    <row r="782" spans="1:7" hidden="1" x14ac:dyDescent="0.25">
      <c r="A782" s="3" t="s">
        <v>558</v>
      </c>
      <c r="B782" s="3" t="s">
        <v>1932</v>
      </c>
      <c r="C782" s="3" t="s">
        <v>1933</v>
      </c>
      <c r="D782" s="3" t="s">
        <v>66</v>
      </c>
      <c r="E782" s="3" t="s">
        <v>2674</v>
      </c>
      <c r="F782" s="3">
        <f>COUNTIF(C782,PickedPlayers!D:D)</f>
        <v>0</v>
      </c>
      <c r="G782" s="3" t="str">
        <f t="shared" si="12"/>
        <v>Yes</v>
      </c>
    </row>
    <row r="783" spans="1:7" hidden="1" x14ac:dyDescent="0.25">
      <c r="A783" s="3" t="s">
        <v>558</v>
      </c>
      <c r="B783" s="3" t="s">
        <v>1930</v>
      </c>
      <c r="C783" s="3" t="s">
        <v>1931</v>
      </c>
      <c r="D783" s="3" t="s">
        <v>66</v>
      </c>
      <c r="E783" s="3" t="s">
        <v>2674</v>
      </c>
      <c r="F783" s="3">
        <f>COUNTIF(C783,PickedPlayers!D:D)</f>
        <v>0</v>
      </c>
      <c r="G783" s="3" t="str">
        <f t="shared" si="12"/>
        <v>Yes</v>
      </c>
    </row>
    <row r="784" spans="1:7" hidden="1" x14ac:dyDescent="0.25">
      <c r="A784" s="3" t="s">
        <v>558</v>
      </c>
      <c r="B784" s="3" t="s">
        <v>1934</v>
      </c>
      <c r="C784" s="3" t="s">
        <v>1935</v>
      </c>
      <c r="D784" s="3" t="s">
        <v>66</v>
      </c>
      <c r="E784" s="3" t="s">
        <v>2674</v>
      </c>
      <c r="F784" s="3">
        <f>COUNTIF(C784,PickedPlayers!D:D)</f>
        <v>0</v>
      </c>
      <c r="G784" s="3" t="str">
        <f t="shared" si="12"/>
        <v>Yes</v>
      </c>
    </row>
    <row r="785" spans="1:7" hidden="1" x14ac:dyDescent="0.25">
      <c r="A785" s="3" t="s">
        <v>558</v>
      </c>
      <c r="B785" s="3" t="s">
        <v>1920</v>
      </c>
      <c r="C785" s="3" t="s">
        <v>1921</v>
      </c>
      <c r="D785" s="3" t="s">
        <v>66</v>
      </c>
      <c r="E785" s="3" t="s">
        <v>2674</v>
      </c>
      <c r="F785" s="3">
        <f>COUNTIF(C785,PickedPlayers!D:D)</f>
        <v>0</v>
      </c>
      <c r="G785" s="3" t="str">
        <f t="shared" si="12"/>
        <v>Yes</v>
      </c>
    </row>
    <row r="786" spans="1:7" hidden="1" x14ac:dyDescent="0.25">
      <c r="A786" s="3" t="s">
        <v>558</v>
      </c>
      <c r="B786" s="3" t="s">
        <v>1924</v>
      </c>
      <c r="C786" s="3" t="s">
        <v>1925</v>
      </c>
      <c r="D786" s="3" t="s">
        <v>66</v>
      </c>
      <c r="E786" s="3" t="s">
        <v>2674</v>
      </c>
      <c r="F786" s="3">
        <f>COUNTIF(C786,PickedPlayers!D:D)</f>
        <v>0</v>
      </c>
      <c r="G786" s="3" t="str">
        <f t="shared" si="12"/>
        <v>Yes</v>
      </c>
    </row>
    <row r="787" spans="1:7" hidden="1" x14ac:dyDescent="0.25">
      <c r="A787" s="3" t="s">
        <v>558</v>
      </c>
      <c r="B787" s="3" t="s">
        <v>1936</v>
      </c>
      <c r="C787" s="3" t="s">
        <v>1937</v>
      </c>
      <c r="D787" s="3" t="s">
        <v>66</v>
      </c>
      <c r="E787" s="3" t="s">
        <v>2674</v>
      </c>
      <c r="F787" s="3">
        <f>COUNTIF(C787,PickedPlayers!D:D)</f>
        <v>0</v>
      </c>
      <c r="G787" s="3" t="str">
        <f t="shared" si="12"/>
        <v>Yes</v>
      </c>
    </row>
    <row r="788" spans="1:7" hidden="1" x14ac:dyDescent="0.25">
      <c r="A788" s="3" t="s">
        <v>558</v>
      </c>
      <c r="B788" s="3" t="s">
        <v>1926</v>
      </c>
      <c r="C788" s="3" t="s">
        <v>1927</v>
      </c>
      <c r="D788" s="3" t="s">
        <v>66</v>
      </c>
      <c r="E788" s="3" t="s">
        <v>2674</v>
      </c>
      <c r="F788" s="3">
        <f>COUNTIF(C788,PickedPlayers!D:D)</f>
        <v>0</v>
      </c>
      <c r="G788" s="3" t="str">
        <f t="shared" si="12"/>
        <v>Yes</v>
      </c>
    </row>
    <row r="789" spans="1:7" hidden="1" x14ac:dyDescent="0.25">
      <c r="A789" s="3" t="s">
        <v>558</v>
      </c>
      <c r="B789" s="3" t="s">
        <v>1922</v>
      </c>
      <c r="C789" s="3" t="s">
        <v>1923</v>
      </c>
      <c r="D789" s="3" t="s">
        <v>66</v>
      </c>
      <c r="E789" s="3" t="s">
        <v>2674</v>
      </c>
      <c r="F789" s="3">
        <f>COUNTIF(C789,PickedPlayers!D:D)</f>
        <v>0</v>
      </c>
      <c r="G789" s="3" t="str">
        <f t="shared" si="12"/>
        <v>Yes</v>
      </c>
    </row>
    <row r="790" spans="1:7" x14ac:dyDescent="0.25">
      <c r="A790" s="3" t="s">
        <v>577</v>
      </c>
      <c r="B790" s="3" t="s">
        <v>1948</v>
      </c>
      <c r="C790" s="3" t="s">
        <v>501</v>
      </c>
      <c r="D790" s="3" t="s">
        <v>66</v>
      </c>
      <c r="E790" s="3" t="s">
        <v>2675</v>
      </c>
      <c r="F790" s="3">
        <f>COUNTIF(C790,PickedPlayers!D:D)</f>
        <v>0</v>
      </c>
      <c r="G790" s="3" t="str">
        <f t="shared" si="12"/>
        <v>Yes</v>
      </c>
    </row>
    <row r="791" spans="1:7" x14ac:dyDescent="0.25">
      <c r="A791" s="3" t="s">
        <v>577</v>
      </c>
      <c r="B791" s="3" t="s">
        <v>1952</v>
      </c>
      <c r="C791" s="3" t="s">
        <v>1953</v>
      </c>
      <c r="D791" s="3" t="s">
        <v>66</v>
      </c>
      <c r="E791" s="3" t="s">
        <v>2675</v>
      </c>
      <c r="F791" s="3">
        <f>COUNTIF(C791,PickedPlayers!D:D)</f>
        <v>0</v>
      </c>
      <c r="G791" s="3" t="str">
        <f t="shared" si="12"/>
        <v>Yes</v>
      </c>
    </row>
    <row r="792" spans="1:7" x14ac:dyDescent="0.25">
      <c r="A792" s="3" t="s">
        <v>577</v>
      </c>
      <c r="B792" s="3" t="s">
        <v>1954</v>
      </c>
      <c r="C792" s="3" t="s">
        <v>1955</v>
      </c>
      <c r="D792" s="3" t="s">
        <v>66</v>
      </c>
      <c r="E792" s="3" t="s">
        <v>2675</v>
      </c>
      <c r="F792" s="3">
        <f>COUNTIF(C792,PickedPlayers!D:D)</f>
        <v>0</v>
      </c>
      <c r="G792" s="3" t="str">
        <f t="shared" si="12"/>
        <v>Yes</v>
      </c>
    </row>
    <row r="793" spans="1:7" x14ac:dyDescent="0.25">
      <c r="A793" s="3" t="s">
        <v>577</v>
      </c>
      <c r="B793" s="3" t="s">
        <v>1940</v>
      </c>
      <c r="C793" s="3" t="s">
        <v>1941</v>
      </c>
      <c r="D793" s="3" t="s">
        <v>66</v>
      </c>
      <c r="E793" s="3" t="s">
        <v>2675</v>
      </c>
      <c r="F793" s="3">
        <f>COUNTIF(C793,PickedPlayers!D:D)</f>
        <v>0</v>
      </c>
      <c r="G793" s="3" t="str">
        <f t="shared" si="12"/>
        <v>Yes</v>
      </c>
    </row>
    <row r="794" spans="1:7" x14ac:dyDescent="0.25">
      <c r="A794" s="3" t="s">
        <v>577</v>
      </c>
      <c r="B794" s="3" t="s">
        <v>1949</v>
      </c>
      <c r="C794" s="3" t="s">
        <v>416</v>
      </c>
      <c r="D794" s="3" t="s">
        <v>66</v>
      </c>
      <c r="E794" s="3" t="s">
        <v>2675</v>
      </c>
      <c r="F794" s="3">
        <f>COUNTIF(C794,PickedPlayers!D:D)</f>
        <v>0</v>
      </c>
      <c r="G794" s="3" t="str">
        <f t="shared" si="12"/>
        <v>Yes</v>
      </c>
    </row>
    <row r="795" spans="1:7" x14ac:dyDescent="0.25">
      <c r="A795" s="3" t="s">
        <v>577</v>
      </c>
      <c r="B795" s="3" t="s">
        <v>1938</v>
      </c>
      <c r="C795" s="3" t="s">
        <v>1939</v>
      </c>
      <c r="D795" s="3" t="s">
        <v>66</v>
      </c>
      <c r="E795" s="3" t="s">
        <v>2675</v>
      </c>
      <c r="F795" s="3">
        <f>COUNTIF(C795,PickedPlayers!D:D)</f>
        <v>0</v>
      </c>
      <c r="G795" s="3" t="str">
        <f t="shared" si="12"/>
        <v>Yes</v>
      </c>
    </row>
    <row r="796" spans="1:7" x14ac:dyDescent="0.25">
      <c r="A796" s="3" t="s">
        <v>577</v>
      </c>
      <c r="B796" s="3" t="s">
        <v>1950</v>
      </c>
      <c r="C796" s="3" t="s">
        <v>1951</v>
      </c>
      <c r="D796" s="3" t="s">
        <v>66</v>
      </c>
      <c r="E796" s="3" t="s">
        <v>2675</v>
      </c>
      <c r="F796" s="3">
        <f>COUNTIF(C796,PickedPlayers!D:D)</f>
        <v>0</v>
      </c>
      <c r="G796" s="3" t="str">
        <f t="shared" si="12"/>
        <v>Yes</v>
      </c>
    </row>
    <row r="797" spans="1:7" x14ac:dyDescent="0.25">
      <c r="A797" s="3" t="s">
        <v>577</v>
      </c>
      <c r="B797" s="3" t="s">
        <v>1942</v>
      </c>
      <c r="C797" s="3" t="s">
        <v>1943</v>
      </c>
      <c r="D797" s="3" t="s">
        <v>66</v>
      </c>
      <c r="E797" s="3" t="s">
        <v>2675</v>
      </c>
      <c r="F797" s="3">
        <f>COUNTIF(C797,PickedPlayers!D:D)</f>
        <v>0</v>
      </c>
      <c r="G797" s="3" t="str">
        <f t="shared" si="12"/>
        <v>Yes</v>
      </c>
    </row>
    <row r="798" spans="1:7" x14ac:dyDescent="0.25">
      <c r="A798" s="3" t="s">
        <v>577</v>
      </c>
      <c r="B798" s="3" t="s">
        <v>1946</v>
      </c>
      <c r="C798" s="3" t="s">
        <v>1947</v>
      </c>
      <c r="D798" s="3" t="s">
        <v>66</v>
      </c>
      <c r="E798" s="3" t="s">
        <v>2675</v>
      </c>
      <c r="F798" s="3">
        <f>COUNTIF(C798,PickedPlayers!D:D)</f>
        <v>0</v>
      </c>
      <c r="G798" s="3" t="str">
        <f t="shared" si="12"/>
        <v>Yes</v>
      </c>
    </row>
    <row r="799" spans="1:7" x14ac:dyDescent="0.25">
      <c r="A799" s="3" t="s">
        <v>577</v>
      </c>
      <c r="B799" s="3" t="s">
        <v>1944</v>
      </c>
      <c r="C799" s="3" t="s">
        <v>1945</v>
      </c>
      <c r="D799" s="3" t="s">
        <v>66</v>
      </c>
      <c r="E799" s="3" t="s">
        <v>2675</v>
      </c>
      <c r="F799" s="3">
        <f>COUNTIF(C799,PickedPlayers!D:D)</f>
        <v>0</v>
      </c>
      <c r="G799" s="3" t="str">
        <f t="shared" si="12"/>
        <v>Yes</v>
      </c>
    </row>
    <row r="800" spans="1:7" hidden="1" x14ac:dyDescent="0.25">
      <c r="A800" s="3" t="s">
        <v>592</v>
      </c>
      <c r="B800" s="3" t="s">
        <v>1961</v>
      </c>
      <c r="C800" s="3" t="s">
        <v>1962</v>
      </c>
      <c r="D800" s="3" t="s">
        <v>66</v>
      </c>
      <c r="E800" s="3" t="s">
        <v>2677</v>
      </c>
      <c r="F800" s="3">
        <f>COUNTIF(C800,PickedPlayers!D:D)</f>
        <v>0</v>
      </c>
      <c r="G800" s="3" t="str">
        <f t="shared" si="12"/>
        <v>Yes</v>
      </c>
    </row>
    <row r="801" spans="1:7" hidden="1" x14ac:dyDescent="0.25">
      <c r="A801" s="3" t="s">
        <v>592</v>
      </c>
      <c r="B801" s="3" t="s">
        <v>1956</v>
      </c>
      <c r="C801" s="3" t="s">
        <v>1957</v>
      </c>
      <c r="D801" s="3" t="s">
        <v>66</v>
      </c>
      <c r="E801" s="3" t="s">
        <v>2677</v>
      </c>
      <c r="F801" s="3">
        <f>COUNTIF(C801,PickedPlayers!D:D)</f>
        <v>0</v>
      </c>
      <c r="G801" s="3" t="str">
        <f t="shared" si="12"/>
        <v>Yes</v>
      </c>
    </row>
    <row r="802" spans="1:7" hidden="1" x14ac:dyDescent="0.25">
      <c r="A802" s="3" t="s">
        <v>592</v>
      </c>
      <c r="B802" s="3" t="s">
        <v>1960</v>
      </c>
      <c r="C802" s="3" t="s">
        <v>306</v>
      </c>
      <c r="D802" s="3" t="s">
        <v>66</v>
      </c>
      <c r="E802" s="3" t="s">
        <v>2677</v>
      </c>
      <c r="F802" s="3">
        <f>COUNTIF(C802,PickedPlayers!D:D)</f>
        <v>0</v>
      </c>
      <c r="G802" s="3" t="str">
        <f t="shared" si="12"/>
        <v>Yes</v>
      </c>
    </row>
    <row r="803" spans="1:7" hidden="1" x14ac:dyDescent="0.25">
      <c r="A803" s="3" t="s">
        <v>592</v>
      </c>
      <c r="B803" s="3" t="s">
        <v>1958</v>
      </c>
      <c r="C803" s="3" t="s">
        <v>1959</v>
      </c>
      <c r="D803" s="3" t="s">
        <v>66</v>
      </c>
      <c r="E803" s="3" t="s">
        <v>2677</v>
      </c>
      <c r="F803" s="3">
        <f>COUNTIF(C803,PickedPlayers!D:D)</f>
        <v>0</v>
      </c>
      <c r="G803" s="3" t="str">
        <f t="shared" si="12"/>
        <v>Yes</v>
      </c>
    </row>
    <row r="804" spans="1:7" hidden="1" x14ac:dyDescent="0.25">
      <c r="A804" s="3" t="s">
        <v>551</v>
      </c>
      <c r="B804" s="3" t="s">
        <v>1967</v>
      </c>
      <c r="C804" s="3" t="s">
        <v>1968</v>
      </c>
      <c r="D804" s="3" t="s">
        <v>108</v>
      </c>
      <c r="E804" s="3" t="s">
        <v>2673</v>
      </c>
      <c r="F804" s="3">
        <f>COUNTIF(C804,PickedPlayers!D:D)</f>
        <v>0</v>
      </c>
      <c r="G804" s="3" t="str">
        <f t="shared" si="12"/>
        <v>Yes</v>
      </c>
    </row>
    <row r="805" spans="1:7" hidden="1" x14ac:dyDescent="0.25">
      <c r="A805" s="3" t="s">
        <v>551</v>
      </c>
      <c r="B805" s="3" t="s">
        <v>1963</v>
      </c>
      <c r="C805" s="3" t="s">
        <v>1964</v>
      </c>
      <c r="D805" s="3" t="s">
        <v>108</v>
      </c>
      <c r="E805" s="3" t="s">
        <v>2673</v>
      </c>
      <c r="F805" s="3">
        <f>COUNTIF(C805,PickedPlayers!D:D)</f>
        <v>0</v>
      </c>
      <c r="G805" s="3" t="str">
        <f t="shared" si="12"/>
        <v>Yes</v>
      </c>
    </row>
    <row r="806" spans="1:7" hidden="1" x14ac:dyDescent="0.25">
      <c r="A806" s="3" t="s">
        <v>551</v>
      </c>
      <c r="B806" s="3" t="s">
        <v>1965</v>
      </c>
      <c r="C806" s="3" t="s">
        <v>1966</v>
      </c>
      <c r="D806" s="3" t="s">
        <v>108</v>
      </c>
      <c r="E806" s="3" t="s">
        <v>2673</v>
      </c>
      <c r="F806" s="3">
        <f>COUNTIF(C806,PickedPlayers!D:D)</f>
        <v>0</v>
      </c>
      <c r="G806" s="3" t="str">
        <f t="shared" si="12"/>
        <v>Yes</v>
      </c>
    </row>
    <row r="807" spans="1:7" hidden="1" x14ac:dyDescent="0.25">
      <c r="A807" s="3" t="s">
        <v>558</v>
      </c>
      <c r="B807" s="3" t="s">
        <v>1974</v>
      </c>
      <c r="C807" s="3" t="s">
        <v>1975</v>
      </c>
      <c r="D807" s="3" t="s">
        <v>108</v>
      </c>
      <c r="E807" s="3" t="s">
        <v>2674</v>
      </c>
      <c r="F807" s="3">
        <f>COUNTIF(C807,PickedPlayers!D:D)</f>
        <v>0</v>
      </c>
      <c r="G807" s="3" t="str">
        <f t="shared" si="12"/>
        <v>Yes</v>
      </c>
    </row>
    <row r="808" spans="1:7" hidden="1" x14ac:dyDescent="0.25">
      <c r="A808" s="3" t="s">
        <v>558</v>
      </c>
      <c r="B808" s="3" t="s">
        <v>1978</v>
      </c>
      <c r="C808" s="3" t="s">
        <v>1979</v>
      </c>
      <c r="D808" s="3" t="s">
        <v>108</v>
      </c>
      <c r="E808" s="3" t="s">
        <v>2674</v>
      </c>
      <c r="F808" s="3">
        <f>COUNTIF(C808,PickedPlayers!D:D)</f>
        <v>0</v>
      </c>
      <c r="G808" s="3" t="str">
        <f t="shared" si="12"/>
        <v>Yes</v>
      </c>
    </row>
    <row r="809" spans="1:7" hidden="1" x14ac:dyDescent="0.25">
      <c r="A809" s="3" t="s">
        <v>558</v>
      </c>
      <c r="B809" s="3" t="s">
        <v>1969</v>
      </c>
      <c r="C809" s="3" t="s">
        <v>1970</v>
      </c>
      <c r="D809" s="3" t="s">
        <v>108</v>
      </c>
      <c r="E809" s="3" t="s">
        <v>2674</v>
      </c>
      <c r="F809" s="3">
        <f>COUNTIF(C809,PickedPlayers!D:D)</f>
        <v>0</v>
      </c>
      <c r="G809" s="3" t="str">
        <f t="shared" si="12"/>
        <v>Yes</v>
      </c>
    </row>
    <row r="810" spans="1:7" hidden="1" x14ac:dyDescent="0.25">
      <c r="A810" s="3" t="s">
        <v>558</v>
      </c>
      <c r="B810" s="3" t="s">
        <v>1971</v>
      </c>
      <c r="C810" s="3" t="s">
        <v>1972</v>
      </c>
      <c r="D810" s="3" t="s">
        <v>108</v>
      </c>
      <c r="E810" s="3" t="s">
        <v>2674</v>
      </c>
      <c r="F810" s="3">
        <f>COUNTIF(C810,PickedPlayers!D:D)</f>
        <v>0</v>
      </c>
      <c r="G810" s="3" t="str">
        <f t="shared" si="12"/>
        <v>Yes</v>
      </c>
    </row>
    <row r="811" spans="1:7" hidden="1" x14ac:dyDescent="0.25">
      <c r="A811" s="3" t="s">
        <v>558</v>
      </c>
      <c r="B811" s="3" t="s">
        <v>1980</v>
      </c>
      <c r="C811" s="3" t="s">
        <v>1981</v>
      </c>
      <c r="D811" s="3" t="s">
        <v>108</v>
      </c>
      <c r="E811" s="3" t="s">
        <v>2674</v>
      </c>
      <c r="F811" s="3">
        <f>COUNTIF(C811,PickedPlayers!D:D)</f>
        <v>0</v>
      </c>
      <c r="G811" s="3" t="str">
        <f t="shared" si="12"/>
        <v>Yes</v>
      </c>
    </row>
    <row r="812" spans="1:7" hidden="1" x14ac:dyDescent="0.25">
      <c r="A812" s="3" t="s">
        <v>558</v>
      </c>
      <c r="B812" s="3" t="s">
        <v>1976</v>
      </c>
      <c r="C812" s="3" t="s">
        <v>1977</v>
      </c>
      <c r="D812" s="3" t="s">
        <v>108</v>
      </c>
      <c r="E812" s="3" t="s">
        <v>2674</v>
      </c>
      <c r="F812" s="3">
        <f>COUNTIF(C812,PickedPlayers!D:D)</f>
        <v>0</v>
      </c>
      <c r="G812" s="3" t="str">
        <f t="shared" si="12"/>
        <v>Yes</v>
      </c>
    </row>
    <row r="813" spans="1:7" hidden="1" x14ac:dyDescent="0.25">
      <c r="A813" s="3" t="s">
        <v>558</v>
      </c>
      <c r="B813" s="3" t="s">
        <v>1973</v>
      </c>
      <c r="C813" s="3" t="s">
        <v>979</v>
      </c>
      <c r="D813" s="3" t="s">
        <v>108</v>
      </c>
      <c r="E813" s="3" t="s">
        <v>2674</v>
      </c>
      <c r="F813" s="3">
        <f>COUNTIF(C813,PickedPlayers!D:D)</f>
        <v>0</v>
      </c>
      <c r="G813" s="3" t="str">
        <f t="shared" si="12"/>
        <v>Yes</v>
      </c>
    </row>
    <row r="814" spans="1:7" hidden="1" x14ac:dyDescent="0.25">
      <c r="A814" s="3" t="s">
        <v>558</v>
      </c>
      <c r="B814" s="3" t="s">
        <v>1986</v>
      </c>
      <c r="C814" s="3" t="s">
        <v>1987</v>
      </c>
      <c r="D814" s="3" t="s">
        <v>108</v>
      </c>
      <c r="E814" s="3" t="s">
        <v>2674</v>
      </c>
      <c r="F814" s="3">
        <f>COUNTIF(C814,PickedPlayers!D:D)</f>
        <v>0</v>
      </c>
      <c r="G814" s="3" t="str">
        <f t="shared" si="12"/>
        <v>Yes</v>
      </c>
    </row>
    <row r="815" spans="1:7" hidden="1" x14ac:dyDescent="0.25">
      <c r="A815" s="3" t="s">
        <v>558</v>
      </c>
      <c r="B815" s="3" t="s">
        <v>1984</v>
      </c>
      <c r="C815" s="3" t="s">
        <v>1985</v>
      </c>
      <c r="D815" s="3" t="s">
        <v>108</v>
      </c>
      <c r="E815" s="3" t="s">
        <v>2674</v>
      </c>
      <c r="F815" s="3">
        <f>COUNTIF(C815,PickedPlayers!D:D)</f>
        <v>0</v>
      </c>
      <c r="G815" s="3" t="str">
        <f t="shared" si="12"/>
        <v>Yes</v>
      </c>
    </row>
    <row r="816" spans="1:7" hidden="1" x14ac:dyDescent="0.25">
      <c r="A816" s="3" t="s">
        <v>558</v>
      </c>
      <c r="B816" s="3" t="s">
        <v>1982</v>
      </c>
      <c r="C816" s="3" t="s">
        <v>1983</v>
      </c>
      <c r="D816" s="3" t="s">
        <v>108</v>
      </c>
      <c r="E816" s="3" t="s">
        <v>2674</v>
      </c>
      <c r="F816" s="3">
        <f>COUNTIF(C816,PickedPlayers!D:D)</f>
        <v>0</v>
      </c>
      <c r="G816" s="3" t="str">
        <f t="shared" si="12"/>
        <v>Yes</v>
      </c>
    </row>
    <row r="817" spans="1:7" hidden="1" x14ac:dyDescent="0.25">
      <c r="A817" s="3" t="s">
        <v>577</v>
      </c>
      <c r="B817" s="3" t="s">
        <v>1995</v>
      </c>
      <c r="C817" s="3" t="s">
        <v>1996</v>
      </c>
      <c r="D817" s="3" t="s">
        <v>108</v>
      </c>
      <c r="E817" s="3" t="s">
        <v>2675</v>
      </c>
      <c r="F817" s="3">
        <f>COUNTIF(C817,PickedPlayers!D:D)</f>
        <v>0</v>
      </c>
      <c r="G817" s="3" t="str">
        <f t="shared" si="12"/>
        <v>Yes</v>
      </c>
    </row>
    <row r="818" spans="1:7" hidden="1" x14ac:dyDescent="0.25">
      <c r="A818" s="3" t="s">
        <v>577</v>
      </c>
      <c r="B818" s="3" t="s">
        <v>1997</v>
      </c>
      <c r="C818" s="3" t="s">
        <v>1998</v>
      </c>
      <c r="D818" s="3" t="s">
        <v>108</v>
      </c>
      <c r="E818" s="3" t="s">
        <v>2675</v>
      </c>
      <c r="F818" s="3">
        <f>COUNTIF(C818,PickedPlayers!D:D)</f>
        <v>0</v>
      </c>
      <c r="G818" s="3" t="str">
        <f t="shared" si="12"/>
        <v>Yes</v>
      </c>
    </row>
    <row r="819" spans="1:7" hidden="1" x14ac:dyDescent="0.25">
      <c r="A819" s="3" t="s">
        <v>577</v>
      </c>
      <c r="B819" s="3" t="s">
        <v>1993</v>
      </c>
      <c r="C819" s="3" t="s">
        <v>1994</v>
      </c>
      <c r="D819" s="3" t="s">
        <v>108</v>
      </c>
      <c r="E819" s="3" t="s">
        <v>2675</v>
      </c>
      <c r="F819" s="3">
        <f>COUNTIF(C819,PickedPlayers!D:D)</f>
        <v>0</v>
      </c>
      <c r="G819" s="3" t="str">
        <f t="shared" si="12"/>
        <v>Yes</v>
      </c>
    </row>
    <row r="820" spans="1:7" hidden="1" x14ac:dyDescent="0.25">
      <c r="A820" s="3" t="s">
        <v>577</v>
      </c>
      <c r="B820" s="3" t="s">
        <v>1988</v>
      </c>
      <c r="C820" s="3" t="s">
        <v>1989</v>
      </c>
      <c r="D820" s="3" t="s">
        <v>108</v>
      </c>
      <c r="E820" s="3" t="s">
        <v>2675</v>
      </c>
      <c r="F820" s="3">
        <f>COUNTIF(C820,PickedPlayers!D:D)</f>
        <v>0</v>
      </c>
      <c r="G820" s="3" t="str">
        <f t="shared" si="12"/>
        <v>Yes</v>
      </c>
    </row>
    <row r="821" spans="1:7" hidden="1" x14ac:dyDescent="0.25">
      <c r="A821" s="3" t="s">
        <v>577</v>
      </c>
      <c r="B821" s="3" t="s">
        <v>1992</v>
      </c>
      <c r="C821" s="3" t="s">
        <v>968</v>
      </c>
      <c r="D821" s="3" t="s">
        <v>108</v>
      </c>
      <c r="E821" s="3" t="s">
        <v>2675</v>
      </c>
      <c r="F821" s="3">
        <f>COUNTIF(C821,PickedPlayers!D:D)</f>
        <v>0</v>
      </c>
      <c r="G821" s="3" t="str">
        <f t="shared" si="12"/>
        <v>Yes</v>
      </c>
    </row>
    <row r="822" spans="1:7" hidden="1" x14ac:dyDescent="0.25">
      <c r="A822" s="3" t="s">
        <v>577</v>
      </c>
      <c r="B822" s="3" t="s">
        <v>1990</v>
      </c>
      <c r="C822" s="3" t="s">
        <v>1991</v>
      </c>
      <c r="D822" s="3" t="s">
        <v>108</v>
      </c>
      <c r="E822" s="3" t="s">
        <v>2675</v>
      </c>
      <c r="F822" s="3">
        <f>COUNTIF(C822,PickedPlayers!D:D)</f>
        <v>0</v>
      </c>
      <c r="G822" s="3" t="str">
        <f t="shared" si="12"/>
        <v>Yes</v>
      </c>
    </row>
    <row r="823" spans="1:7" hidden="1" x14ac:dyDescent="0.25">
      <c r="A823" s="3" t="s">
        <v>592</v>
      </c>
      <c r="B823" s="3" t="s">
        <v>2009</v>
      </c>
      <c r="C823" s="3" t="s">
        <v>2010</v>
      </c>
      <c r="D823" s="3" t="s">
        <v>108</v>
      </c>
      <c r="E823" s="3" t="s">
        <v>2677</v>
      </c>
      <c r="F823" s="3">
        <f>COUNTIF(C823,PickedPlayers!D:D)</f>
        <v>0</v>
      </c>
      <c r="G823" s="3" t="str">
        <f t="shared" si="12"/>
        <v>Yes</v>
      </c>
    </row>
    <row r="824" spans="1:7" hidden="1" x14ac:dyDescent="0.25">
      <c r="A824" s="3" t="s">
        <v>592</v>
      </c>
      <c r="B824" s="3" t="s">
        <v>2001</v>
      </c>
      <c r="C824" s="3" t="s">
        <v>2002</v>
      </c>
      <c r="D824" s="3" t="s">
        <v>108</v>
      </c>
      <c r="E824" s="3" t="s">
        <v>2677</v>
      </c>
      <c r="F824" s="3">
        <f>COUNTIF(C824,PickedPlayers!D:D)</f>
        <v>0</v>
      </c>
      <c r="G824" s="3" t="str">
        <f t="shared" si="12"/>
        <v>Yes</v>
      </c>
    </row>
    <row r="825" spans="1:7" hidden="1" x14ac:dyDescent="0.25">
      <c r="A825" s="3" t="s">
        <v>592</v>
      </c>
      <c r="B825" s="3" t="s">
        <v>2011</v>
      </c>
      <c r="C825" s="3" t="s">
        <v>2012</v>
      </c>
      <c r="D825" s="3" t="s">
        <v>108</v>
      </c>
      <c r="E825" s="3" t="s">
        <v>2677</v>
      </c>
      <c r="F825" s="3">
        <f>COUNTIF(C825,PickedPlayers!D:D)</f>
        <v>0</v>
      </c>
      <c r="G825" s="3" t="str">
        <f t="shared" si="12"/>
        <v>Yes</v>
      </c>
    </row>
    <row r="826" spans="1:7" hidden="1" x14ac:dyDescent="0.25">
      <c r="A826" s="3" t="s">
        <v>592</v>
      </c>
      <c r="B826" s="3" t="s">
        <v>2005</v>
      </c>
      <c r="C826" s="3" t="s">
        <v>2006</v>
      </c>
      <c r="D826" s="3" t="s">
        <v>108</v>
      </c>
      <c r="E826" s="3" t="s">
        <v>2677</v>
      </c>
      <c r="F826" s="3">
        <f>COUNTIF(C826,PickedPlayers!D:D)</f>
        <v>0</v>
      </c>
      <c r="G826" s="3" t="str">
        <f t="shared" si="12"/>
        <v>Yes</v>
      </c>
    </row>
    <row r="827" spans="1:7" hidden="1" x14ac:dyDescent="0.25">
      <c r="A827" s="3" t="s">
        <v>592</v>
      </c>
      <c r="B827" s="3" t="s">
        <v>2003</v>
      </c>
      <c r="C827" s="3" t="s">
        <v>2004</v>
      </c>
      <c r="D827" s="3" t="s">
        <v>108</v>
      </c>
      <c r="E827" s="3" t="s">
        <v>2677</v>
      </c>
      <c r="F827" s="3">
        <f>COUNTIF(C827,PickedPlayers!D:D)</f>
        <v>0</v>
      </c>
      <c r="G827" s="3" t="str">
        <f t="shared" si="12"/>
        <v>Yes</v>
      </c>
    </row>
    <row r="828" spans="1:7" hidden="1" x14ac:dyDescent="0.25">
      <c r="A828" s="3" t="s">
        <v>592</v>
      </c>
      <c r="B828" s="3" t="s">
        <v>2007</v>
      </c>
      <c r="C828" s="3" t="s">
        <v>2008</v>
      </c>
      <c r="D828" s="3" t="s">
        <v>108</v>
      </c>
      <c r="E828" s="3" t="s">
        <v>2677</v>
      </c>
      <c r="F828" s="3">
        <f>COUNTIF(C828,PickedPlayers!D:D)</f>
        <v>0</v>
      </c>
      <c r="G828" s="3" t="str">
        <f t="shared" si="12"/>
        <v>Yes</v>
      </c>
    </row>
    <row r="829" spans="1:7" hidden="1" x14ac:dyDescent="0.25">
      <c r="A829" s="3" t="s">
        <v>592</v>
      </c>
      <c r="B829" s="3" t="s">
        <v>1999</v>
      </c>
      <c r="C829" s="3" t="s">
        <v>2000</v>
      </c>
      <c r="D829" s="3" t="s">
        <v>108</v>
      </c>
      <c r="E829" s="3" t="s">
        <v>2677</v>
      </c>
      <c r="F829" s="3">
        <f>COUNTIF(C829,PickedPlayers!D:D)</f>
        <v>0</v>
      </c>
      <c r="G829" s="3" t="str">
        <f t="shared" si="12"/>
        <v>Yes</v>
      </c>
    </row>
    <row r="830" spans="1:7" hidden="1" x14ac:dyDescent="0.25">
      <c r="A830" s="3" t="s">
        <v>551</v>
      </c>
      <c r="B830" s="3" t="s">
        <v>2015</v>
      </c>
      <c r="C830" s="3" t="s">
        <v>2016</v>
      </c>
      <c r="D830" s="3" t="s">
        <v>75</v>
      </c>
      <c r="E830" s="3" t="s">
        <v>2673</v>
      </c>
      <c r="F830" s="3">
        <f>COUNTIF(C830,PickedPlayers!D:D)</f>
        <v>0</v>
      </c>
      <c r="G830" s="3" t="str">
        <f t="shared" si="12"/>
        <v>Yes</v>
      </c>
    </row>
    <row r="831" spans="1:7" hidden="1" x14ac:dyDescent="0.25">
      <c r="A831" s="3" t="s">
        <v>551</v>
      </c>
      <c r="B831" s="3" t="s">
        <v>2017</v>
      </c>
      <c r="C831" s="3" t="s">
        <v>2018</v>
      </c>
      <c r="D831" s="3" t="s">
        <v>75</v>
      </c>
      <c r="E831" s="3" t="s">
        <v>2673</v>
      </c>
      <c r="F831" s="3">
        <f>COUNTIF(C831,PickedPlayers!D:D)</f>
        <v>0</v>
      </c>
      <c r="G831" s="3" t="str">
        <f t="shared" si="12"/>
        <v>Yes</v>
      </c>
    </row>
    <row r="832" spans="1:7" hidden="1" x14ac:dyDescent="0.25">
      <c r="A832" s="3" t="s">
        <v>551</v>
      </c>
      <c r="B832" s="3" t="s">
        <v>2013</v>
      </c>
      <c r="C832" s="3" t="s">
        <v>2014</v>
      </c>
      <c r="D832" s="3" t="s">
        <v>75</v>
      </c>
      <c r="E832" s="3" t="s">
        <v>2673</v>
      </c>
      <c r="F832" s="3">
        <f>COUNTIF(C832,PickedPlayers!D:D)</f>
        <v>0</v>
      </c>
      <c r="G832" s="3" t="str">
        <f t="shared" si="12"/>
        <v>Yes</v>
      </c>
    </row>
    <row r="833" spans="1:7" hidden="1" x14ac:dyDescent="0.25">
      <c r="A833" s="3" t="s">
        <v>558</v>
      </c>
      <c r="B833" s="3" t="s">
        <v>2033</v>
      </c>
      <c r="C833" s="3" t="s">
        <v>2034</v>
      </c>
      <c r="D833" s="3" t="s">
        <v>75</v>
      </c>
      <c r="E833" s="3" t="s">
        <v>2674</v>
      </c>
      <c r="F833" s="3">
        <f>COUNTIF(C833,PickedPlayers!D:D)</f>
        <v>0</v>
      </c>
      <c r="G833" s="3" t="str">
        <f t="shared" si="12"/>
        <v>Yes</v>
      </c>
    </row>
    <row r="834" spans="1:7" hidden="1" x14ac:dyDescent="0.25">
      <c r="A834" s="3" t="s">
        <v>558</v>
      </c>
      <c r="B834" s="3" t="s">
        <v>2031</v>
      </c>
      <c r="C834" s="3" t="s">
        <v>2032</v>
      </c>
      <c r="D834" s="3" t="s">
        <v>75</v>
      </c>
      <c r="E834" s="3" t="s">
        <v>2674</v>
      </c>
      <c r="F834" s="3">
        <f>COUNTIF(C834,PickedPlayers!D:D)</f>
        <v>0</v>
      </c>
      <c r="G834" s="3" t="str">
        <f t="shared" si="12"/>
        <v>Yes</v>
      </c>
    </row>
    <row r="835" spans="1:7" hidden="1" x14ac:dyDescent="0.25">
      <c r="A835" s="3" t="s">
        <v>558</v>
      </c>
      <c r="B835" s="3" t="s">
        <v>2029</v>
      </c>
      <c r="C835" s="3" t="s">
        <v>2030</v>
      </c>
      <c r="D835" s="3" t="s">
        <v>75</v>
      </c>
      <c r="E835" s="3" t="s">
        <v>2674</v>
      </c>
      <c r="F835" s="3">
        <f>COUNTIF(C835,PickedPlayers!D:D)</f>
        <v>0</v>
      </c>
      <c r="G835" s="3" t="str">
        <f t="shared" ref="G835:G898" si="13">IF(F835&gt;0,"No","Yes")</f>
        <v>Yes</v>
      </c>
    </row>
    <row r="836" spans="1:7" hidden="1" x14ac:dyDescent="0.25">
      <c r="A836" s="3" t="s">
        <v>558</v>
      </c>
      <c r="B836" s="3" t="s">
        <v>2019</v>
      </c>
      <c r="C836" s="3" t="s">
        <v>2020</v>
      </c>
      <c r="D836" s="3" t="s">
        <v>75</v>
      </c>
      <c r="E836" s="3" t="s">
        <v>2674</v>
      </c>
      <c r="F836" s="3">
        <f>COUNTIF(C836,PickedPlayers!D:D)</f>
        <v>0</v>
      </c>
      <c r="G836" s="3" t="str">
        <f t="shared" si="13"/>
        <v>Yes</v>
      </c>
    </row>
    <row r="837" spans="1:7" hidden="1" x14ac:dyDescent="0.25">
      <c r="A837" s="3" t="s">
        <v>558</v>
      </c>
      <c r="B837" s="3" t="s">
        <v>2021</v>
      </c>
      <c r="C837" s="3" t="s">
        <v>2022</v>
      </c>
      <c r="D837" s="3" t="s">
        <v>75</v>
      </c>
      <c r="E837" s="3" t="s">
        <v>2674</v>
      </c>
      <c r="F837" s="3">
        <f>COUNTIF(C837,PickedPlayers!D:D)</f>
        <v>0</v>
      </c>
      <c r="G837" s="3" t="str">
        <f t="shared" si="13"/>
        <v>Yes</v>
      </c>
    </row>
    <row r="838" spans="1:7" hidden="1" x14ac:dyDescent="0.25">
      <c r="A838" s="3" t="s">
        <v>558</v>
      </c>
      <c r="B838" s="3" t="s">
        <v>2027</v>
      </c>
      <c r="C838" s="3" t="s">
        <v>2028</v>
      </c>
      <c r="D838" s="3" t="s">
        <v>75</v>
      </c>
      <c r="E838" s="3" t="s">
        <v>2674</v>
      </c>
      <c r="F838" s="3">
        <f>COUNTIF(C838,PickedPlayers!D:D)</f>
        <v>0</v>
      </c>
      <c r="G838" s="3" t="str">
        <f t="shared" si="13"/>
        <v>Yes</v>
      </c>
    </row>
    <row r="839" spans="1:7" hidden="1" x14ac:dyDescent="0.25">
      <c r="A839" s="3" t="s">
        <v>558</v>
      </c>
      <c r="B839" s="3" t="s">
        <v>2025</v>
      </c>
      <c r="C839" s="3" t="s">
        <v>2026</v>
      </c>
      <c r="D839" s="3" t="s">
        <v>75</v>
      </c>
      <c r="E839" s="3" t="s">
        <v>2674</v>
      </c>
      <c r="F839" s="3">
        <f>COUNTIF(C839,PickedPlayers!D:D)</f>
        <v>0</v>
      </c>
      <c r="G839" s="3" t="str">
        <f t="shared" si="13"/>
        <v>Yes</v>
      </c>
    </row>
    <row r="840" spans="1:7" hidden="1" x14ac:dyDescent="0.25">
      <c r="A840" s="3" t="s">
        <v>558</v>
      </c>
      <c r="B840" s="3" t="s">
        <v>2023</v>
      </c>
      <c r="C840" s="3" t="s">
        <v>2024</v>
      </c>
      <c r="D840" s="3" t="s">
        <v>75</v>
      </c>
      <c r="E840" s="3" t="s">
        <v>2674</v>
      </c>
      <c r="F840" s="3">
        <f>COUNTIF(C840,PickedPlayers!D:D)</f>
        <v>0</v>
      </c>
      <c r="G840" s="3" t="str">
        <f t="shared" si="13"/>
        <v>Yes</v>
      </c>
    </row>
    <row r="841" spans="1:7" x14ac:dyDescent="0.25">
      <c r="A841" s="3" t="s">
        <v>577</v>
      </c>
      <c r="B841" s="3" t="s">
        <v>2043</v>
      </c>
      <c r="C841" s="3" t="s">
        <v>2044</v>
      </c>
      <c r="D841" s="3" t="s">
        <v>75</v>
      </c>
      <c r="E841" s="3" t="s">
        <v>2675</v>
      </c>
      <c r="F841" s="3">
        <f>COUNTIF(C841,PickedPlayers!D:D)</f>
        <v>0</v>
      </c>
      <c r="G841" s="3" t="str">
        <f t="shared" si="13"/>
        <v>Yes</v>
      </c>
    </row>
    <row r="842" spans="1:7" x14ac:dyDescent="0.25">
      <c r="A842" s="3" t="s">
        <v>577</v>
      </c>
      <c r="B842" s="3" t="s">
        <v>2037</v>
      </c>
      <c r="C842" s="3" t="s">
        <v>2038</v>
      </c>
      <c r="D842" s="3" t="s">
        <v>75</v>
      </c>
      <c r="E842" s="3" t="s">
        <v>2675</v>
      </c>
      <c r="F842" s="3">
        <f>COUNTIF(C842,PickedPlayers!D:D)</f>
        <v>0</v>
      </c>
      <c r="G842" s="3" t="str">
        <f t="shared" si="13"/>
        <v>Yes</v>
      </c>
    </row>
    <row r="843" spans="1:7" x14ac:dyDescent="0.25">
      <c r="A843" s="3" t="s">
        <v>577</v>
      </c>
      <c r="B843" s="3" t="s">
        <v>2045</v>
      </c>
      <c r="C843" s="3" t="s">
        <v>2046</v>
      </c>
      <c r="D843" s="3" t="s">
        <v>75</v>
      </c>
      <c r="E843" s="3" t="s">
        <v>2675</v>
      </c>
      <c r="F843" s="3">
        <f>COUNTIF(C843,PickedPlayers!D:D)</f>
        <v>0</v>
      </c>
      <c r="G843" s="3" t="str">
        <f t="shared" si="13"/>
        <v>Yes</v>
      </c>
    </row>
    <row r="844" spans="1:7" x14ac:dyDescent="0.25">
      <c r="A844" s="3" t="s">
        <v>577</v>
      </c>
      <c r="B844" s="3" t="s">
        <v>2047</v>
      </c>
      <c r="C844" s="3" t="s">
        <v>2048</v>
      </c>
      <c r="D844" s="3" t="s">
        <v>75</v>
      </c>
      <c r="E844" s="3" t="s">
        <v>2675</v>
      </c>
      <c r="F844" s="3">
        <f>COUNTIF(C844,PickedPlayers!D:D)</f>
        <v>0</v>
      </c>
      <c r="G844" s="3" t="str">
        <f t="shared" si="13"/>
        <v>Yes</v>
      </c>
    </row>
    <row r="845" spans="1:7" x14ac:dyDescent="0.25">
      <c r="A845" s="3" t="s">
        <v>577</v>
      </c>
      <c r="B845" s="3" t="s">
        <v>2035</v>
      </c>
      <c r="C845" s="3" t="s">
        <v>2036</v>
      </c>
      <c r="D845" s="3" t="s">
        <v>75</v>
      </c>
      <c r="E845" s="3" t="s">
        <v>2675</v>
      </c>
      <c r="F845" s="3">
        <f>COUNTIF(C845,PickedPlayers!D:D)</f>
        <v>0</v>
      </c>
      <c r="G845" s="3" t="str">
        <f t="shared" si="13"/>
        <v>Yes</v>
      </c>
    </row>
    <row r="846" spans="1:7" x14ac:dyDescent="0.25">
      <c r="A846" s="3" t="s">
        <v>577</v>
      </c>
      <c r="B846" s="3" t="s">
        <v>2041</v>
      </c>
      <c r="C846" s="3" t="s">
        <v>2042</v>
      </c>
      <c r="D846" s="3" t="s">
        <v>75</v>
      </c>
      <c r="E846" s="3" t="s">
        <v>2675</v>
      </c>
      <c r="F846" s="3">
        <f>COUNTIF(C846,PickedPlayers!D:D)</f>
        <v>0</v>
      </c>
      <c r="G846" s="3" t="str">
        <f t="shared" si="13"/>
        <v>Yes</v>
      </c>
    </row>
    <row r="847" spans="1:7" x14ac:dyDescent="0.25">
      <c r="A847" s="3" t="s">
        <v>577</v>
      </c>
      <c r="B847" s="3" t="s">
        <v>2049</v>
      </c>
      <c r="C847" s="3" t="s">
        <v>2050</v>
      </c>
      <c r="D847" s="3" t="s">
        <v>75</v>
      </c>
      <c r="E847" s="3" t="s">
        <v>2675</v>
      </c>
      <c r="F847" s="3">
        <f>COUNTIF(C847,PickedPlayers!D:D)</f>
        <v>0</v>
      </c>
      <c r="G847" s="3" t="str">
        <f t="shared" si="13"/>
        <v>Yes</v>
      </c>
    </row>
    <row r="848" spans="1:7" x14ac:dyDescent="0.25">
      <c r="A848" s="3" t="s">
        <v>577</v>
      </c>
      <c r="B848" s="3" t="s">
        <v>2039</v>
      </c>
      <c r="C848" s="3" t="s">
        <v>2040</v>
      </c>
      <c r="D848" s="3" t="s">
        <v>75</v>
      </c>
      <c r="E848" s="3" t="s">
        <v>2675</v>
      </c>
      <c r="F848" s="3">
        <f>COUNTIF(C848,PickedPlayers!D:D)</f>
        <v>0</v>
      </c>
      <c r="G848" s="3" t="str">
        <f t="shared" si="13"/>
        <v>Yes</v>
      </c>
    </row>
    <row r="849" spans="1:7" hidden="1" x14ac:dyDescent="0.25">
      <c r="A849" s="3" t="s">
        <v>592</v>
      </c>
      <c r="B849" s="3" t="s">
        <v>2063</v>
      </c>
      <c r="C849" s="3" t="s">
        <v>2064</v>
      </c>
      <c r="D849" s="3" t="s">
        <v>75</v>
      </c>
      <c r="E849" s="3" t="s">
        <v>2677</v>
      </c>
      <c r="F849" s="3">
        <f>COUNTIF(C849,PickedPlayers!D:D)</f>
        <v>0</v>
      </c>
      <c r="G849" s="3" t="str">
        <f t="shared" si="13"/>
        <v>Yes</v>
      </c>
    </row>
    <row r="850" spans="1:7" hidden="1" x14ac:dyDescent="0.25">
      <c r="A850" s="3" t="s">
        <v>592</v>
      </c>
      <c r="B850" s="3" t="s">
        <v>2055</v>
      </c>
      <c r="C850" s="3" t="s">
        <v>2056</v>
      </c>
      <c r="D850" s="3" t="s">
        <v>75</v>
      </c>
      <c r="E850" s="3" t="s">
        <v>2677</v>
      </c>
      <c r="F850" s="3">
        <f>COUNTIF(C850,PickedPlayers!D:D)</f>
        <v>0</v>
      </c>
      <c r="G850" s="3" t="str">
        <f t="shared" si="13"/>
        <v>Yes</v>
      </c>
    </row>
    <row r="851" spans="1:7" hidden="1" x14ac:dyDescent="0.25">
      <c r="A851" s="3" t="s">
        <v>592</v>
      </c>
      <c r="B851" s="3" t="s">
        <v>2053</v>
      </c>
      <c r="C851" s="3" t="s">
        <v>2054</v>
      </c>
      <c r="D851" s="3" t="s">
        <v>75</v>
      </c>
      <c r="E851" s="3" t="s">
        <v>2677</v>
      </c>
      <c r="F851" s="3">
        <f>COUNTIF(C851,PickedPlayers!D:D)</f>
        <v>0</v>
      </c>
      <c r="G851" s="3" t="str">
        <f t="shared" si="13"/>
        <v>Yes</v>
      </c>
    </row>
    <row r="852" spans="1:7" hidden="1" x14ac:dyDescent="0.25">
      <c r="A852" s="3" t="s">
        <v>592</v>
      </c>
      <c r="B852" s="3" t="s">
        <v>2057</v>
      </c>
      <c r="C852" s="3" t="s">
        <v>2058</v>
      </c>
      <c r="D852" s="3" t="s">
        <v>75</v>
      </c>
      <c r="E852" s="3" t="s">
        <v>2677</v>
      </c>
      <c r="F852" s="3">
        <f>COUNTIF(C852,PickedPlayers!D:D)</f>
        <v>0</v>
      </c>
      <c r="G852" s="3" t="str">
        <f t="shared" si="13"/>
        <v>Yes</v>
      </c>
    </row>
    <row r="853" spans="1:7" hidden="1" x14ac:dyDescent="0.25">
      <c r="A853" s="3" t="s">
        <v>592</v>
      </c>
      <c r="B853" s="3" t="s">
        <v>2061</v>
      </c>
      <c r="C853" s="3" t="s">
        <v>2062</v>
      </c>
      <c r="D853" s="3" t="s">
        <v>75</v>
      </c>
      <c r="E853" s="3" t="s">
        <v>2677</v>
      </c>
      <c r="F853" s="3">
        <f>COUNTIF(C853,PickedPlayers!D:D)</f>
        <v>0</v>
      </c>
      <c r="G853" s="3" t="str">
        <f t="shared" si="13"/>
        <v>Yes</v>
      </c>
    </row>
    <row r="854" spans="1:7" hidden="1" x14ac:dyDescent="0.25">
      <c r="A854" s="3" t="s">
        <v>592</v>
      </c>
      <c r="B854" s="3" t="s">
        <v>2059</v>
      </c>
      <c r="C854" s="3" t="s">
        <v>2060</v>
      </c>
      <c r="D854" s="3" t="s">
        <v>75</v>
      </c>
      <c r="E854" s="3" t="s">
        <v>2677</v>
      </c>
      <c r="F854" s="3">
        <f>COUNTIF(C854,PickedPlayers!D:D)</f>
        <v>0</v>
      </c>
      <c r="G854" s="3" t="str">
        <f t="shared" si="13"/>
        <v>Yes</v>
      </c>
    </row>
    <row r="855" spans="1:7" hidden="1" x14ac:dyDescent="0.25">
      <c r="A855" s="3" t="s">
        <v>592</v>
      </c>
      <c r="B855" s="3" t="s">
        <v>2051</v>
      </c>
      <c r="C855" s="3" t="s">
        <v>2052</v>
      </c>
      <c r="D855" s="3" t="s">
        <v>75</v>
      </c>
      <c r="E855" s="3" t="s">
        <v>2677</v>
      </c>
      <c r="F855" s="3">
        <f>COUNTIF(C855,PickedPlayers!D:D)</f>
        <v>0</v>
      </c>
      <c r="G855" s="3" t="str">
        <f t="shared" si="13"/>
        <v>Yes</v>
      </c>
    </row>
    <row r="856" spans="1:7" hidden="1" x14ac:dyDescent="0.25">
      <c r="A856" s="3" t="s">
        <v>551</v>
      </c>
      <c r="B856" s="3" t="s">
        <v>465</v>
      </c>
      <c r="C856" s="3" t="s">
        <v>465</v>
      </c>
      <c r="D856" s="3" t="s">
        <v>101</v>
      </c>
      <c r="E856" s="3" t="s">
        <v>2673</v>
      </c>
      <c r="F856" s="3">
        <f>COUNTIF(C856,PickedPlayers!D:D)</f>
        <v>0</v>
      </c>
      <c r="G856" s="3" t="str">
        <f t="shared" si="13"/>
        <v>Yes</v>
      </c>
    </row>
    <row r="857" spans="1:7" hidden="1" x14ac:dyDescent="0.25">
      <c r="A857" s="3" t="s">
        <v>551</v>
      </c>
      <c r="B857" s="3" t="s">
        <v>2066</v>
      </c>
      <c r="C857" s="3" t="s">
        <v>2066</v>
      </c>
      <c r="D857" s="3" t="s">
        <v>101</v>
      </c>
      <c r="E857" s="3" t="s">
        <v>2673</v>
      </c>
      <c r="F857" s="3">
        <f>COUNTIF(C857,PickedPlayers!D:D)</f>
        <v>0</v>
      </c>
      <c r="G857" s="3" t="str">
        <f t="shared" si="13"/>
        <v>Yes</v>
      </c>
    </row>
    <row r="858" spans="1:7" hidden="1" x14ac:dyDescent="0.25">
      <c r="A858" s="3" t="s">
        <v>551</v>
      </c>
      <c r="B858" s="3" t="s">
        <v>2065</v>
      </c>
      <c r="C858" s="3" t="s">
        <v>2065</v>
      </c>
      <c r="D858" s="3" t="s">
        <v>101</v>
      </c>
      <c r="E858" s="3" t="s">
        <v>2673</v>
      </c>
      <c r="F858" s="3">
        <f>COUNTIF(C858,PickedPlayers!D:D)</f>
        <v>0</v>
      </c>
      <c r="G858" s="3" t="str">
        <f t="shared" si="13"/>
        <v>Yes</v>
      </c>
    </row>
    <row r="859" spans="1:7" hidden="1" x14ac:dyDescent="0.25">
      <c r="A859" s="3" t="s">
        <v>558</v>
      </c>
      <c r="B859" s="3" t="s">
        <v>2071</v>
      </c>
      <c r="C859" s="3" t="s">
        <v>2071</v>
      </c>
      <c r="D859" s="3" t="s">
        <v>101</v>
      </c>
      <c r="E859" s="3" t="s">
        <v>2674</v>
      </c>
      <c r="F859" s="3">
        <f>COUNTIF(C859,PickedPlayers!D:D)</f>
        <v>0</v>
      </c>
      <c r="G859" s="3" t="str">
        <f t="shared" si="13"/>
        <v>Yes</v>
      </c>
    </row>
    <row r="860" spans="1:7" hidden="1" x14ac:dyDescent="0.25">
      <c r="A860" s="3" t="s">
        <v>558</v>
      </c>
      <c r="B860" s="3" t="s">
        <v>2069</v>
      </c>
      <c r="C860" s="3" t="s">
        <v>2069</v>
      </c>
      <c r="D860" s="3" t="s">
        <v>101</v>
      </c>
      <c r="E860" s="3" t="s">
        <v>2674</v>
      </c>
      <c r="F860" s="3">
        <f>COUNTIF(C860,PickedPlayers!D:D)</f>
        <v>0</v>
      </c>
      <c r="G860" s="3" t="str">
        <f t="shared" si="13"/>
        <v>Yes</v>
      </c>
    </row>
    <row r="861" spans="1:7" hidden="1" x14ac:dyDescent="0.25">
      <c r="A861" s="3" t="s">
        <v>558</v>
      </c>
      <c r="B861" s="3" t="s">
        <v>348</v>
      </c>
      <c r="C861" s="3" t="s">
        <v>348</v>
      </c>
      <c r="D861" s="3" t="s">
        <v>101</v>
      </c>
      <c r="E861" s="3" t="s">
        <v>2674</v>
      </c>
      <c r="F861" s="3">
        <f>COUNTIF(C861,PickedPlayers!D:D)</f>
        <v>0</v>
      </c>
      <c r="G861" s="3" t="str">
        <f t="shared" si="13"/>
        <v>Yes</v>
      </c>
    </row>
    <row r="862" spans="1:7" hidden="1" x14ac:dyDescent="0.25">
      <c r="A862" s="3" t="s">
        <v>558</v>
      </c>
      <c r="B862" s="3" t="s">
        <v>2067</v>
      </c>
      <c r="C862" s="3" t="s">
        <v>2067</v>
      </c>
      <c r="D862" s="3" t="s">
        <v>101</v>
      </c>
      <c r="E862" s="3" t="s">
        <v>2674</v>
      </c>
      <c r="F862" s="3">
        <f>COUNTIF(C862,PickedPlayers!D:D)</f>
        <v>0</v>
      </c>
      <c r="G862" s="3" t="str">
        <f t="shared" si="13"/>
        <v>Yes</v>
      </c>
    </row>
    <row r="863" spans="1:7" hidden="1" x14ac:dyDescent="0.25">
      <c r="A863" s="3" t="s">
        <v>558</v>
      </c>
      <c r="B863" s="3" t="s">
        <v>364</v>
      </c>
      <c r="C863" s="3" t="s">
        <v>364</v>
      </c>
      <c r="D863" s="3" t="s">
        <v>101</v>
      </c>
      <c r="E863" s="3" t="s">
        <v>2674</v>
      </c>
      <c r="F863" s="3">
        <f>COUNTIF(C863,PickedPlayers!D:D)</f>
        <v>0</v>
      </c>
      <c r="G863" s="3" t="str">
        <f t="shared" si="13"/>
        <v>Yes</v>
      </c>
    </row>
    <row r="864" spans="1:7" hidden="1" x14ac:dyDescent="0.25">
      <c r="A864" s="3" t="s">
        <v>558</v>
      </c>
      <c r="B864" s="3" t="s">
        <v>2068</v>
      </c>
      <c r="C864" s="3" t="s">
        <v>2068</v>
      </c>
      <c r="D864" s="3" t="s">
        <v>101</v>
      </c>
      <c r="E864" s="3" t="s">
        <v>2674</v>
      </c>
      <c r="F864" s="3">
        <f>COUNTIF(C864,PickedPlayers!D:D)</f>
        <v>0</v>
      </c>
      <c r="G864" s="3" t="str">
        <f t="shared" si="13"/>
        <v>Yes</v>
      </c>
    </row>
    <row r="865" spans="1:7" hidden="1" x14ac:dyDescent="0.25">
      <c r="A865" s="3" t="s">
        <v>558</v>
      </c>
      <c r="B865" s="3" t="s">
        <v>462</v>
      </c>
      <c r="C865" s="3" t="s">
        <v>462</v>
      </c>
      <c r="D865" s="3" t="s">
        <v>101</v>
      </c>
      <c r="E865" s="3" t="s">
        <v>2674</v>
      </c>
      <c r="F865" s="3">
        <f>COUNTIF(C865,PickedPlayers!D:D)</f>
        <v>0</v>
      </c>
      <c r="G865" s="3" t="str">
        <f t="shared" si="13"/>
        <v>Yes</v>
      </c>
    </row>
    <row r="866" spans="1:7" hidden="1" x14ac:dyDescent="0.25">
      <c r="A866" s="3" t="s">
        <v>558</v>
      </c>
      <c r="B866" s="3" t="s">
        <v>2070</v>
      </c>
      <c r="C866" s="3" t="s">
        <v>2070</v>
      </c>
      <c r="D866" s="3" t="s">
        <v>101</v>
      </c>
      <c r="E866" s="3" t="s">
        <v>2674</v>
      </c>
      <c r="F866" s="3">
        <f>COUNTIF(C866,PickedPlayers!D:D)</f>
        <v>0</v>
      </c>
      <c r="G866" s="3" t="str">
        <f t="shared" si="13"/>
        <v>Yes</v>
      </c>
    </row>
    <row r="867" spans="1:7" x14ac:dyDescent="0.25">
      <c r="A867" s="3" t="s">
        <v>577</v>
      </c>
      <c r="B867" s="3" t="s">
        <v>410</v>
      </c>
      <c r="C867" s="3" t="s">
        <v>410</v>
      </c>
      <c r="D867" s="3" t="s">
        <v>101</v>
      </c>
      <c r="E867" s="3" t="s">
        <v>2675</v>
      </c>
      <c r="F867" s="3">
        <f>COUNTIF(C867,PickedPlayers!D:D)</f>
        <v>0</v>
      </c>
      <c r="G867" s="3" t="str">
        <f t="shared" si="13"/>
        <v>Yes</v>
      </c>
    </row>
    <row r="868" spans="1:7" x14ac:dyDescent="0.25">
      <c r="A868" s="3" t="s">
        <v>577</v>
      </c>
      <c r="B868" s="3" t="s">
        <v>293</v>
      </c>
      <c r="C868" s="3" t="s">
        <v>293</v>
      </c>
      <c r="D868" s="3" t="s">
        <v>101</v>
      </c>
      <c r="E868" s="3" t="s">
        <v>2675</v>
      </c>
      <c r="F868" s="3">
        <f>COUNTIF(C868,PickedPlayers!D:D)</f>
        <v>0</v>
      </c>
      <c r="G868" s="3" t="str">
        <f t="shared" si="13"/>
        <v>Yes</v>
      </c>
    </row>
    <row r="869" spans="1:7" x14ac:dyDescent="0.25">
      <c r="A869" s="3" t="s">
        <v>577</v>
      </c>
      <c r="B869" s="3" t="s">
        <v>426</v>
      </c>
      <c r="C869" s="3" t="s">
        <v>426</v>
      </c>
      <c r="D869" s="3" t="s">
        <v>101</v>
      </c>
      <c r="E869" s="3" t="s">
        <v>2675</v>
      </c>
      <c r="F869" s="3">
        <f>COUNTIF(C869,PickedPlayers!D:D)</f>
        <v>0</v>
      </c>
      <c r="G869" s="3" t="str">
        <f t="shared" si="13"/>
        <v>Yes</v>
      </c>
    </row>
    <row r="870" spans="1:7" x14ac:dyDescent="0.25">
      <c r="A870" s="3" t="s">
        <v>577</v>
      </c>
      <c r="B870" s="3" t="s">
        <v>2072</v>
      </c>
      <c r="C870" s="3" t="s">
        <v>2072</v>
      </c>
      <c r="D870" s="3" t="s">
        <v>101</v>
      </c>
      <c r="E870" s="3" t="s">
        <v>2675</v>
      </c>
      <c r="F870" s="3">
        <f>COUNTIF(C870,PickedPlayers!D:D)</f>
        <v>0</v>
      </c>
      <c r="G870" s="3" t="str">
        <f t="shared" si="13"/>
        <v>Yes</v>
      </c>
    </row>
    <row r="871" spans="1:7" x14ac:dyDescent="0.25">
      <c r="A871" s="3" t="s">
        <v>577</v>
      </c>
      <c r="B871" s="3" t="s">
        <v>2073</v>
      </c>
      <c r="C871" s="3" t="s">
        <v>2073</v>
      </c>
      <c r="D871" s="3" t="s">
        <v>101</v>
      </c>
      <c r="E871" s="3" t="s">
        <v>2675</v>
      </c>
      <c r="F871" s="3">
        <f>COUNTIF(C871,PickedPlayers!D:D)</f>
        <v>0</v>
      </c>
      <c r="G871" s="3" t="str">
        <f t="shared" si="13"/>
        <v>Yes</v>
      </c>
    </row>
    <row r="872" spans="1:7" x14ac:dyDescent="0.25">
      <c r="A872" s="3" t="s">
        <v>577</v>
      </c>
      <c r="B872" s="3" t="s">
        <v>2075</v>
      </c>
      <c r="C872" s="3" t="s">
        <v>2075</v>
      </c>
      <c r="D872" s="3" t="s">
        <v>101</v>
      </c>
      <c r="E872" s="3" t="s">
        <v>2675</v>
      </c>
      <c r="F872" s="3">
        <f>COUNTIF(C872,PickedPlayers!D:D)</f>
        <v>0</v>
      </c>
      <c r="G872" s="3" t="str">
        <f t="shared" si="13"/>
        <v>Yes</v>
      </c>
    </row>
    <row r="873" spans="1:7" x14ac:dyDescent="0.25">
      <c r="A873" s="3" t="s">
        <v>577</v>
      </c>
      <c r="B873" s="3" t="s">
        <v>2074</v>
      </c>
      <c r="C873" s="3" t="s">
        <v>2074</v>
      </c>
      <c r="D873" s="3" t="s">
        <v>101</v>
      </c>
      <c r="E873" s="3" t="s">
        <v>2675</v>
      </c>
      <c r="F873" s="3">
        <f>COUNTIF(C873,PickedPlayers!D:D)</f>
        <v>0</v>
      </c>
      <c r="G873" s="3" t="str">
        <f t="shared" si="13"/>
        <v>Yes</v>
      </c>
    </row>
    <row r="874" spans="1:7" hidden="1" x14ac:dyDescent="0.25">
      <c r="A874" s="3" t="s">
        <v>592</v>
      </c>
      <c r="B874" s="3" t="s">
        <v>296</v>
      </c>
      <c r="C874" s="3" t="s">
        <v>296</v>
      </c>
      <c r="D874" s="3" t="s">
        <v>101</v>
      </c>
      <c r="E874" s="3" t="s">
        <v>2677</v>
      </c>
      <c r="F874" s="3">
        <f>COUNTIF(C874,PickedPlayers!D:D)</f>
        <v>0</v>
      </c>
      <c r="G874" s="3" t="str">
        <f t="shared" si="13"/>
        <v>Yes</v>
      </c>
    </row>
    <row r="875" spans="1:7" hidden="1" x14ac:dyDescent="0.25">
      <c r="A875" s="3" t="s">
        <v>592</v>
      </c>
      <c r="B875" s="3" t="s">
        <v>2081</v>
      </c>
      <c r="C875" s="3" t="s">
        <v>2081</v>
      </c>
      <c r="D875" s="3" t="s">
        <v>101</v>
      </c>
      <c r="E875" s="3" t="s">
        <v>2677</v>
      </c>
      <c r="F875" s="3">
        <f>COUNTIF(C875,PickedPlayers!D:D)</f>
        <v>0</v>
      </c>
      <c r="G875" s="3" t="str">
        <f t="shared" si="13"/>
        <v>Yes</v>
      </c>
    </row>
    <row r="876" spans="1:7" hidden="1" x14ac:dyDescent="0.25">
      <c r="A876" s="3" t="s">
        <v>592</v>
      </c>
      <c r="B876" s="3" t="s">
        <v>2079</v>
      </c>
      <c r="C876" s="3" t="s">
        <v>2079</v>
      </c>
      <c r="D876" s="3" t="s">
        <v>101</v>
      </c>
      <c r="E876" s="3" t="s">
        <v>2677</v>
      </c>
      <c r="F876" s="3">
        <f>COUNTIF(C876,PickedPlayers!D:D)</f>
        <v>0</v>
      </c>
      <c r="G876" s="3" t="str">
        <f t="shared" si="13"/>
        <v>Yes</v>
      </c>
    </row>
    <row r="877" spans="1:7" hidden="1" x14ac:dyDescent="0.25">
      <c r="A877" s="3" t="s">
        <v>592</v>
      </c>
      <c r="B877" s="3" t="s">
        <v>2076</v>
      </c>
      <c r="C877" s="3" t="s">
        <v>2076</v>
      </c>
      <c r="D877" s="3" t="s">
        <v>101</v>
      </c>
      <c r="E877" s="3" t="s">
        <v>2677</v>
      </c>
      <c r="F877" s="3">
        <f>COUNTIF(C877,PickedPlayers!D:D)</f>
        <v>0</v>
      </c>
      <c r="G877" s="3" t="str">
        <f t="shared" si="13"/>
        <v>Yes</v>
      </c>
    </row>
    <row r="878" spans="1:7" hidden="1" x14ac:dyDescent="0.25">
      <c r="A878" s="3" t="s">
        <v>592</v>
      </c>
      <c r="B878" s="3" t="s">
        <v>2078</v>
      </c>
      <c r="C878" s="3" t="s">
        <v>2078</v>
      </c>
      <c r="D878" s="3" t="s">
        <v>101</v>
      </c>
      <c r="E878" s="3" t="s">
        <v>2677</v>
      </c>
      <c r="F878" s="3">
        <f>COUNTIF(C878,PickedPlayers!D:D)</f>
        <v>0</v>
      </c>
      <c r="G878" s="3" t="str">
        <f t="shared" si="13"/>
        <v>Yes</v>
      </c>
    </row>
    <row r="879" spans="1:7" hidden="1" x14ac:dyDescent="0.25">
      <c r="A879" s="3" t="s">
        <v>592</v>
      </c>
      <c r="B879" s="3" t="s">
        <v>2077</v>
      </c>
      <c r="C879" s="3" t="s">
        <v>2077</v>
      </c>
      <c r="D879" s="3" t="s">
        <v>101</v>
      </c>
      <c r="E879" s="3" t="s">
        <v>2677</v>
      </c>
      <c r="F879" s="3">
        <f>COUNTIF(C879,PickedPlayers!D:D)</f>
        <v>0</v>
      </c>
      <c r="G879" s="3" t="str">
        <f t="shared" si="13"/>
        <v>Yes</v>
      </c>
    </row>
    <row r="880" spans="1:7" hidden="1" x14ac:dyDescent="0.25">
      <c r="A880" s="3" t="s">
        <v>592</v>
      </c>
      <c r="B880" s="3" t="s">
        <v>366</v>
      </c>
      <c r="C880" s="3" t="s">
        <v>366</v>
      </c>
      <c r="D880" s="3" t="s">
        <v>101</v>
      </c>
      <c r="E880" s="3" t="s">
        <v>2677</v>
      </c>
      <c r="F880" s="3">
        <f>COUNTIF(C880,PickedPlayers!D:D)</f>
        <v>0</v>
      </c>
      <c r="G880" s="3" t="str">
        <f t="shared" si="13"/>
        <v>Yes</v>
      </c>
    </row>
    <row r="881" spans="1:7" hidden="1" x14ac:dyDescent="0.25">
      <c r="A881" s="3" t="s">
        <v>592</v>
      </c>
      <c r="B881" s="3" t="s">
        <v>2080</v>
      </c>
      <c r="C881" s="3" t="s">
        <v>2080</v>
      </c>
      <c r="D881" s="3" t="s">
        <v>101</v>
      </c>
      <c r="E881" s="3" t="s">
        <v>2677</v>
      </c>
      <c r="F881" s="3">
        <f>COUNTIF(C881,PickedPlayers!D:D)</f>
        <v>0</v>
      </c>
      <c r="G881" s="3" t="str">
        <f t="shared" si="13"/>
        <v>Yes</v>
      </c>
    </row>
    <row r="882" spans="1:7" hidden="1" x14ac:dyDescent="0.25">
      <c r="A882" s="3" t="s">
        <v>551</v>
      </c>
      <c r="B882" s="3" t="s">
        <v>2082</v>
      </c>
      <c r="C882" s="3" t="s">
        <v>2083</v>
      </c>
      <c r="D882" s="3" t="s">
        <v>162</v>
      </c>
      <c r="E882" s="3" t="s">
        <v>2673</v>
      </c>
      <c r="F882" s="3">
        <f>COUNTIF(C882,PickedPlayers!D:D)</f>
        <v>0</v>
      </c>
      <c r="G882" s="3" t="str">
        <f t="shared" si="13"/>
        <v>Yes</v>
      </c>
    </row>
    <row r="883" spans="1:7" hidden="1" x14ac:dyDescent="0.25">
      <c r="A883" s="3" t="s">
        <v>551</v>
      </c>
      <c r="B883" s="3" t="s">
        <v>2084</v>
      </c>
      <c r="C883" s="3" t="s">
        <v>2084</v>
      </c>
      <c r="D883" s="3" t="s">
        <v>162</v>
      </c>
      <c r="E883" s="3" t="s">
        <v>2673</v>
      </c>
      <c r="F883" s="3">
        <f>COUNTIF(C883,PickedPlayers!D:D)</f>
        <v>0</v>
      </c>
      <c r="G883" s="3" t="str">
        <f t="shared" si="13"/>
        <v>Yes</v>
      </c>
    </row>
    <row r="884" spans="1:7" hidden="1" x14ac:dyDescent="0.25">
      <c r="A884" s="3" t="s">
        <v>551</v>
      </c>
      <c r="B884" s="3" t="s">
        <v>2085</v>
      </c>
      <c r="C884" s="3" t="s">
        <v>2085</v>
      </c>
      <c r="D884" s="3" t="s">
        <v>162</v>
      </c>
      <c r="E884" s="3" t="s">
        <v>2673</v>
      </c>
      <c r="F884" s="3">
        <f>COUNTIF(C884,PickedPlayers!D:D)</f>
        <v>0</v>
      </c>
      <c r="G884" s="3" t="str">
        <f t="shared" si="13"/>
        <v>Yes</v>
      </c>
    </row>
    <row r="885" spans="1:7" hidden="1" x14ac:dyDescent="0.25">
      <c r="A885" s="3" t="s">
        <v>558</v>
      </c>
      <c r="B885" s="3" t="s">
        <v>2093</v>
      </c>
      <c r="C885" s="3" t="s">
        <v>2093</v>
      </c>
      <c r="D885" s="3" t="s">
        <v>162</v>
      </c>
      <c r="E885" s="3" t="s">
        <v>2674</v>
      </c>
      <c r="F885" s="3">
        <f>COUNTIF(C885,PickedPlayers!D:D)</f>
        <v>0</v>
      </c>
      <c r="G885" s="3" t="str">
        <f t="shared" si="13"/>
        <v>Yes</v>
      </c>
    </row>
    <row r="886" spans="1:7" hidden="1" x14ac:dyDescent="0.25">
      <c r="A886" s="3" t="s">
        <v>558</v>
      </c>
      <c r="B886" s="3" t="s">
        <v>2094</v>
      </c>
      <c r="C886" s="3" t="s">
        <v>2094</v>
      </c>
      <c r="D886" s="3" t="s">
        <v>162</v>
      </c>
      <c r="E886" s="3" t="s">
        <v>2674</v>
      </c>
      <c r="F886" s="3">
        <f>COUNTIF(C886,PickedPlayers!D:D)</f>
        <v>0</v>
      </c>
      <c r="G886" s="3" t="str">
        <f t="shared" si="13"/>
        <v>Yes</v>
      </c>
    </row>
    <row r="887" spans="1:7" hidden="1" x14ac:dyDescent="0.25">
      <c r="A887" s="3" t="s">
        <v>558</v>
      </c>
      <c r="B887" s="3" t="s">
        <v>2089</v>
      </c>
      <c r="C887" s="3" t="s">
        <v>2089</v>
      </c>
      <c r="D887" s="3" t="s">
        <v>162</v>
      </c>
      <c r="E887" s="3" t="s">
        <v>2674</v>
      </c>
      <c r="F887" s="3">
        <f>COUNTIF(C887,PickedPlayers!D:D)</f>
        <v>0</v>
      </c>
      <c r="G887" s="3" t="str">
        <f t="shared" si="13"/>
        <v>Yes</v>
      </c>
    </row>
    <row r="888" spans="1:7" hidden="1" x14ac:dyDescent="0.25">
      <c r="A888" s="3" t="s">
        <v>558</v>
      </c>
      <c r="B888" s="3" t="s">
        <v>2087</v>
      </c>
      <c r="C888" s="3" t="s">
        <v>2087</v>
      </c>
      <c r="D888" s="3" t="s">
        <v>162</v>
      </c>
      <c r="E888" s="3" t="s">
        <v>2674</v>
      </c>
      <c r="F888" s="3">
        <f>COUNTIF(C888,PickedPlayers!D:D)</f>
        <v>0</v>
      </c>
      <c r="G888" s="3" t="str">
        <f t="shared" si="13"/>
        <v>Yes</v>
      </c>
    </row>
    <row r="889" spans="1:7" hidden="1" x14ac:dyDescent="0.25">
      <c r="A889" s="3" t="s">
        <v>558</v>
      </c>
      <c r="B889" s="3" t="s">
        <v>2090</v>
      </c>
      <c r="C889" s="3" t="s">
        <v>2090</v>
      </c>
      <c r="D889" s="3" t="s">
        <v>162</v>
      </c>
      <c r="E889" s="3" t="s">
        <v>2674</v>
      </c>
      <c r="F889" s="3">
        <f>COUNTIF(C889,PickedPlayers!D:D)</f>
        <v>0</v>
      </c>
      <c r="G889" s="3" t="str">
        <f t="shared" si="13"/>
        <v>Yes</v>
      </c>
    </row>
    <row r="890" spans="1:7" hidden="1" x14ac:dyDescent="0.25">
      <c r="A890" s="3" t="s">
        <v>558</v>
      </c>
      <c r="B890" s="3" t="s">
        <v>2092</v>
      </c>
      <c r="C890" s="3" t="s">
        <v>2092</v>
      </c>
      <c r="D890" s="3" t="s">
        <v>162</v>
      </c>
      <c r="E890" s="3" t="s">
        <v>2674</v>
      </c>
      <c r="F890" s="3">
        <f>COUNTIF(C890,PickedPlayers!D:D)</f>
        <v>0</v>
      </c>
      <c r="G890" s="3" t="str">
        <f t="shared" si="13"/>
        <v>Yes</v>
      </c>
    </row>
    <row r="891" spans="1:7" hidden="1" x14ac:dyDescent="0.25">
      <c r="A891" s="3" t="s">
        <v>558</v>
      </c>
      <c r="B891" s="3" t="s">
        <v>2088</v>
      </c>
      <c r="C891" s="3" t="s">
        <v>2088</v>
      </c>
      <c r="D891" s="3" t="s">
        <v>162</v>
      </c>
      <c r="E891" s="3" t="s">
        <v>2674</v>
      </c>
      <c r="F891" s="3">
        <f>COUNTIF(C891,PickedPlayers!D:D)</f>
        <v>0</v>
      </c>
      <c r="G891" s="3" t="str">
        <f t="shared" si="13"/>
        <v>Yes</v>
      </c>
    </row>
    <row r="892" spans="1:7" hidden="1" x14ac:dyDescent="0.25">
      <c r="A892" s="3" t="s">
        <v>558</v>
      </c>
      <c r="B892" s="3" t="s">
        <v>2086</v>
      </c>
      <c r="C892" s="3" t="s">
        <v>2086</v>
      </c>
      <c r="D892" s="3" t="s">
        <v>162</v>
      </c>
      <c r="E892" s="3" t="s">
        <v>2674</v>
      </c>
      <c r="F892" s="3">
        <f>COUNTIF(C892,PickedPlayers!D:D)</f>
        <v>0</v>
      </c>
      <c r="G892" s="3" t="str">
        <f t="shared" si="13"/>
        <v>Yes</v>
      </c>
    </row>
    <row r="893" spans="1:7" hidden="1" x14ac:dyDescent="0.25">
      <c r="A893" s="3" t="s">
        <v>558</v>
      </c>
      <c r="B893" s="3" t="s">
        <v>2091</v>
      </c>
      <c r="C893" s="3" t="s">
        <v>2091</v>
      </c>
      <c r="D893" s="3" t="s">
        <v>162</v>
      </c>
      <c r="E893" s="3" t="s">
        <v>2674</v>
      </c>
      <c r="F893" s="3">
        <f>COUNTIF(C893,PickedPlayers!D:D)</f>
        <v>0</v>
      </c>
      <c r="G893" s="3" t="str">
        <f t="shared" si="13"/>
        <v>Yes</v>
      </c>
    </row>
    <row r="894" spans="1:7" hidden="1" x14ac:dyDescent="0.25">
      <c r="A894" s="3" t="s">
        <v>577</v>
      </c>
      <c r="B894" s="3" t="s">
        <v>2095</v>
      </c>
      <c r="C894" s="3" t="s">
        <v>2095</v>
      </c>
      <c r="D894" s="3" t="s">
        <v>162</v>
      </c>
      <c r="E894" s="3" t="s">
        <v>2675</v>
      </c>
      <c r="F894" s="3">
        <f>COUNTIF(C894,PickedPlayers!D:D)</f>
        <v>0</v>
      </c>
      <c r="G894" s="3" t="str">
        <f t="shared" si="13"/>
        <v>Yes</v>
      </c>
    </row>
    <row r="895" spans="1:7" hidden="1" x14ac:dyDescent="0.25">
      <c r="A895" s="3" t="s">
        <v>577</v>
      </c>
      <c r="B895" s="3" t="s">
        <v>2099</v>
      </c>
      <c r="C895" s="3" t="s">
        <v>2099</v>
      </c>
      <c r="D895" s="3" t="s">
        <v>162</v>
      </c>
      <c r="E895" s="3" t="s">
        <v>2675</v>
      </c>
      <c r="F895" s="3">
        <f>COUNTIF(C895,PickedPlayers!D:D)</f>
        <v>0</v>
      </c>
      <c r="G895" s="3" t="str">
        <f t="shared" si="13"/>
        <v>Yes</v>
      </c>
    </row>
    <row r="896" spans="1:7" hidden="1" x14ac:dyDescent="0.25">
      <c r="A896" s="3" t="s">
        <v>577</v>
      </c>
      <c r="B896" s="3" t="s">
        <v>2096</v>
      </c>
      <c r="C896" s="3" t="s">
        <v>2096</v>
      </c>
      <c r="D896" s="3" t="s">
        <v>162</v>
      </c>
      <c r="E896" s="3" t="s">
        <v>2675</v>
      </c>
      <c r="F896" s="3">
        <f>COUNTIF(C896,PickedPlayers!D:D)</f>
        <v>0</v>
      </c>
      <c r="G896" s="3" t="str">
        <f t="shared" si="13"/>
        <v>Yes</v>
      </c>
    </row>
    <row r="897" spans="1:7" hidden="1" x14ac:dyDescent="0.25">
      <c r="A897" s="3" t="s">
        <v>577</v>
      </c>
      <c r="B897" s="3" t="s">
        <v>2097</v>
      </c>
      <c r="C897" s="3" t="s">
        <v>2097</v>
      </c>
      <c r="D897" s="3" t="s">
        <v>162</v>
      </c>
      <c r="E897" s="3" t="s">
        <v>2675</v>
      </c>
      <c r="F897" s="3">
        <f>COUNTIF(C897,PickedPlayers!D:D)</f>
        <v>0</v>
      </c>
      <c r="G897" s="3" t="str">
        <f t="shared" si="13"/>
        <v>Yes</v>
      </c>
    </row>
    <row r="898" spans="1:7" hidden="1" x14ac:dyDescent="0.25">
      <c r="A898" s="3" t="s">
        <v>577</v>
      </c>
      <c r="B898" s="3" t="s">
        <v>2098</v>
      </c>
      <c r="C898" s="3" t="s">
        <v>2098</v>
      </c>
      <c r="D898" s="3" t="s">
        <v>162</v>
      </c>
      <c r="E898" s="3" t="s">
        <v>2675</v>
      </c>
      <c r="F898" s="3">
        <f>COUNTIF(C898,PickedPlayers!D:D)</f>
        <v>0</v>
      </c>
      <c r="G898" s="3" t="str">
        <f t="shared" si="13"/>
        <v>Yes</v>
      </c>
    </row>
    <row r="899" spans="1:7" hidden="1" x14ac:dyDescent="0.25">
      <c r="A899" s="3" t="s">
        <v>592</v>
      </c>
      <c r="B899" s="3" t="s">
        <v>2103</v>
      </c>
      <c r="C899" s="3" t="s">
        <v>2103</v>
      </c>
      <c r="D899" s="3" t="s">
        <v>162</v>
      </c>
      <c r="E899" s="3" t="s">
        <v>2677</v>
      </c>
      <c r="F899" s="3">
        <f>COUNTIF(C899,PickedPlayers!D:D)</f>
        <v>0</v>
      </c>
      <c r="G899" s="3" t="str">
        <f t="shared" ref="G899:G962" si="14">IF(F899&gt;0,"No","Yes")</f>
        <v>Yes</v>
      </c>
    </row>
    <row r="900" spans="1:7" hidden="1" x14ac:dyDescent="0.25">
      <c r="A900" s="3" t="s">
        <v>592</v>
      </c>
      <c r="B900" s="3" t="s">
        <v>2100</v>
      </c>
      <c r="C900" s="3" t="s">
        <v>2100</v>
      </c>
      <c r="D900" s="3" t="s">
        <v>162</v>
      </c>
      <c r="E900" s="3" t="s">
        <v>2677</v>
      </c>
      <c r="F900" s="3">
        <f>COUNTIF(C900,PickedPlayers!D:D)</f>
        <v>0</v>
      </c>
      <c r="G900" s="3" t="str">
        <f t="shared" si="14"/>
        <v>Yes</v>
      </c>
    </row>
    <row r="901" spans="1:7" hidden="1" x14ac:dyDescent="0.25">
      <c r="A901" s="3" t="s">
        <v>592</v>
      </c>
      <c r="B901" s="3" t="s">
        <v>2108</v>
      </c>
      <c r="C901" s="3" t="s">
        <v>2108</v>
      </c>
      <c r="D901" s="3" t="s">
        <v>162</v>
      </c>
      <c r="E901" s="3" t="s">
        <v>2677</v>
      </c>
      <c r="F901" s="3">
        <f>COUNTIF(C901,PickedPlayers!D:D)</f>
        <v>0</v>
      </c>
      <c r="G901" s="3" t="str">
        <f t="shared" si="14"/>
        <v>Yes</v>
      </c>
    </row>
    <row r="902" spans="1:7" hidden="1" x14ac:dyDescent="0.25">
      <c r="A902" s="3" t="s">
        <v>592</v>
      </c>
      <c r="B902" s="3" t="s">
        <v>2105</v>
      </c>
      <c r="C902" s="3" t="s">
        <v>2105</v>
      </c>
      <c r="D902" s="3" t="s">
        <v>162</v>
      </c>
      <c r="E902" s="3" t="s">
        <v>2677</v>
      </c>
      <c r="F902" s="3">
        <f>COUNTIF(C902,PickedPlayers!D:D)</f>
        <v>0</v>
      </c>
      <c r="G902" s="3" t="str">
        <f t="shared" si="14"/>
        <v>Yes</v>
      </c>
    </row>
    <row r="903" spans="1:7" hidden="1" x14ac:dyDescent="0.25">
      <c r="A903" s="3" t="s">
        <v>592</v>
      </c>
      <c r="B903" s="3" t="s">
        <v>2102</v>
      </c>
      <c r="C903" s="3" t="s">
        <v>2102</v>
      </c>
      <c r="D903" s="3" t="s">
        <v>162</v>
      </c>
      <c r="E903" s="3" t="s">
        <v>2677</v>
      </c>
      <c r="F903" s="3">
        <f>COUNTIF(C903,PickedPlayers!D:D)</f>
        <v>0</v>
      </c>
      <c r="G903" s="3" t="str">
        <f t="shared" si="14"/>
        <v>Yes</v>
      </c>
    </row>
    <row r="904" spans="1:7" hidden="1" x14ac:dyDescent="0.25">
      <c r="A904" s="3" t="s">
        <v>592</v>
      </c>
      <c r="B904" s="3" t="s">
        <v>2106</v>
      </c>
      <c r="C904" s="3" t="s">
        <v>2106</v>
      </c>
      <c r="D904" s="3" t="s">
        <v>162</v>
      </c>
      <c r="E904" s="3" t="s">
        <v>2677</v>
      </c>
      <c r="F904" s="3">
        <f>COUNTIF(C904,PickedPlayers!D:D)</f>
        <v>0</v>
      </c>
      <c r="G904" s="3" t="str">
        <f t="shared" si="14"/>
        <v>Yes</v>
      </c>
    </row>
    <row r="905" spans="1:7" hidden="1" x14ac:dyDescent="0.25">
      <c r="A905" s="3" t="s">
        <v>592</v>
      </c>
      <c r="B905" s="3" t="s">
        <v>2104</v>
      </c>
      <c r="C905" s="3" t="s">
        <v>2104</v>
      </c>
      <c r="D905" s="3" t="s">
        <v>162</v>
      </c>
      <c r="E905" s="3" t="s">
        <v>2677</v>
      </c>
      <c r="F905" s="3">
        <f>COUNTIF(C905,PickedPlayers!D:D)</f>
        <v>0</v>
      </c>
      <c r="G905" s="3" t="str">
        <f t="shared" si="14"/>
        <v>Yes</v>
      </c>
    </row>
    <row r="906" spans="1:7" hidden="1" x14ac:dyDescent="0.25">
      <c r="A906" s="3" t="s">
        <v>592</v>
      </c>
      <c r="B906" s="3" t="s">
        <v>2107</v>
      </c>
      <c r="C906" s="3" t="s">
        <v>2107</v>
      </c>
      <c r="D906" s="3" t="s">
        <v>162</v>
      </c>
      <c r="E906" s="3" t="s">
        <v>2677</v>
      </c>
      <c r="F906" s="3">
        <f>COUNTIF(C906,PickedPlayers!D:D)</f>
        <v>0</v>
      </c>
      <c r="G906" s="3" t="str">
        <f t="shared" si="14"/>
        <v>Yes</v>
      </c>
    </row>
    <row r="907" spans="1:7" hidden="1" x14ac:dyDescent="0.25">
      <c r="A907" s="3" t="s">
        <v>592</v>
      </c>
      <c r="B907" s="3" t="s">
        <v>2101</v>
      </c>
      <c r="C907" s="3" t="s">
        <v>2101</v>
      </c>
      <c r="D907" s="3" t="s">
        <v>162</v>
      </c>
      <c r="E907" s="3" t="s">
        <v>2677</v>
      </c>
      <c r="F907" s="3">
        <f>COUNTIF(C907,PickedPlayers!D:D)</f>
        <v>0</v>
      </c>
      <c r="G907" s="3" t="str">
        <f t="shared" si="14"/>
        <v>Yes</v>
      </c>
    </row>
    <row r="908" spans="1:7" hidden="1" x14ac:dyDescent="0.25">
      <c r="A908" s="3" t="s">
        <v>551</v>
      </c>
      <c r="B908" s="3" t="s">
        <v>2110</v>
      </c>
      <c r="C908" s="3" t="s">
        <v>2110</v>
      </c>
      <c r="D908" s="3" t="s">
        <v>119</v>
      </c>
      <c r="E908" s="3" t="s">
        <v>2673</v>
      </c>
      <c r="F908" s="3">
        <f>COUNTIF(C908,PickedPlayers!D:D)</f>
        <v>0</v>
      </c>
      <c r="G908" s="3" t="str">
        <f t="shared" si="14"/>
        <v>Yes</v>
      </c>
    </row>
    <row r="909" spans="1:7" hidden="1" x14ac:dyDescent="0.25">
      <c r="A909" s="3" t="s">
        <v>551</v>
      </c>
      <c r="B909" s="3" t="s">
        <v>2111</v>
      </c>
      <c r="C909" s="3" t="s">
        <v>2111</v>
      </c>
      <c r="D909" s="3" t="s">
        <v>119</v>
      </c>
      <c r="E909" s="3" t="s">
        <v>2673</v>
      </c>
      <c r="F909" s="3">
        <f>COUNTIF(C909,PickedPlayers!D:D)</f>
        <v>0</v>
      </c>
      <c r="G909" s="3" t="str">
        <f t="shared" si="14"/>
        <v>Yes</v>
      </c>
    </row>
    <row r="910" spans="1:7" hidden="1" x14ac:dyDescent="0.25">
      <c r="A910" s="3" t="s">
        <v>551</v>
      </c>
      <c r="B910" s="3" t="s">
        <v>2109</v>
      </c>
      <c r="C910" s="3" t="s">
        <v>2109</v>
      </c>
      <c r="D910" s="3" t="s">
        <v>119</v>
      </c>
      <c r="E910" s="3" t="s">
        <v>2673</v>
      </c>
      <c r="F910" s="3">
        <f>COUNTIF(C910,PickedPlayers!D:D)</f>
        <v>0</v>
      </c>
      <c r="G910" s="3" t="str">
        <f t="shared" si="14"/>
        <v>Yes</v>
      </c>
    </row>
    <row r="911" spans="1:7" hidden="1" x14ac:dyDescent="0.25">
      <c r="A911" s="3" t="s">
        <v>558</v>
      </c>
      <c r="B911" s="3" t="s">
        <v>2116</v>
      </c>
      <c r="C911" s="3" t="s">
        <v>2116</v>
      </c>
      <c r="D911" s="3" t="s">
        <v>119</v>
      </c>
      <c r="E911" s="3" t="s">
        <v>2674</v>
      </c>
      <c r="F911" s="3">
        <f>COUNTIF(C911,PickedPlayers!D:D)</f>
        <v>0</v>
      </c>
      <c r="G911" s="3" t="str">
        <f t="shared" si="14"/>
        <v>Yes</v>
      </c>
    </row>
    <row r="912" spans="1:7" hidden="1" x14ac:dyDescent="0.25">
      <c r="A912" s="3" t="s">
        <v>558</v>
      </c>
      <c r="B912" s="3" t="s">
        <v>2114</v>
      </c>
      <c r="C912" s="3" t="s">
        <v>2114</v>
      </c>
      <c r="D912" s="3" t="s">
        <v>119</v>
      </c>
      <c r="E912" s="3" t="s">
        <v>2674</v>
      </c>
      <c r="F912" s="3">
        <f>COUNTIF(C912,PickedPlayers!D:D)</f>
        <v>0</v>
      </c>
      <c r="G912" s="3" t="str">
        <f t="shared" si="14"/>
        <v>Yes</v>
      </c>
    </row>
    <row r="913" spans="1:7" hidden="1" x14ac:dyDescent="0.25">
      <c r="A913" s="3" t="s">
        <v>558</v>
      </c>
      <c r="B913" s="3" t="s">
        <v>2112</v>
      </c>
      <c r="C913" s="3" t="s">
        <v>2112</v>
      </c>
      <c r="D913" s="3" t="s">
        <v>119</v>
      </c>
      <c r="E913" s="3" t="s">
        <v>2674</v>
      </c>
      <c r="F913" s="3">
        <f>COUNTIF(C913,PickedPlayers!D:D)</f>
        <v>0</v>
      </c>
      <c r="G913" s="3" t="str">
        <f t="shared" si="14"/>
        <v>Yes</v>
      </c>
    </row>
    <row r="914" spans="1:7" hidden="1" x14ac:dyDescent="0.25">
      <c r="A914" s="3" t="s">
        <v>558</v>
      </c>
      <c r="B914" s="3" t="s">
        <v>2118</v>
      </c>
      <c r="C914" s="3" t="s">
        <v>2118</v>
      </c>
      <c r="D914" s="3" t="s">
        <v>119</v>
      </c>
      <c r="E914" s="3" t="s">
        <v>2674</v>
      </c>
      <c r="F914" s="3">
        <f>COUNTIF(C914,PickedPlayers!D:D)</f>
        <v>0</v>
      </c>
      <c r="G914" s="3" t="str">
        <f t="shared" si="14"/>
        <v>Yes</v>
      </c>
    </row>
    <row r="915" spans="1:7" hidden="1" x14ac:dyDescent="0.25">
      <c r="A915" s="3" t="s">
        <v>558</v>
      </c>
      <c r="B915" s="3" t="s">
        <v>2115</v>
      </c>
      <c r="C915" s="3" t="s">
        <v>2115</v>
      </c>
      <c r="D915" s="3" t="s">
        <v>119</v>
      </c>
      <c r="E915" s="3" t="s">
        <v>2674</v>
      </c>
      <c r="F915" s="3">
        <f>COUNTIF(C915,PickedPlayers!D:D)</f>
        <v>0</v>
      </c>
      <c r="G915" s="3" t="str">
        <f t="shared" si="14"/>
        <v>Yes</v>
      </c>
    </row>
    <row r="916" spans="1:7" hidden="1" x14ac:dyDescent="0.25">
      <c r="A916" s="3" t="s">
        <v>558</v>
      </c>
      <c r="B916" s="3" t="s">
        <v>2119</v>
      </c>
      <c r="C916" s="3" t="s">
        <v>2119</v>
      </c>
      <c r="D916" s="3" t="s">
        <v>119</v>
      </c>
      <c r="E916" s="3" t="s">
        <v>2674</v>
      </c>
      <c r="F916" s="3">
        <f>COUNTIF(C916,PickedPlayers!D:D)</f>
        <v>0</v>
      </c>
      <c r="G916" s="3" t="str">
        <f t="shared" si="14"/>
        <v>Yes</v>
      </c>
    </row>
    <row r="917" spans="1:7" hidden="1" x14ac:dyDescent="0.25">
      <c r="A917" s="3" t="s">
        <v>558</v>
      </c>
      <c r="B917" s="3" t="s">
        <v>2117</v>
      </c>
      <c r="C917" s="3" t="s">
        <v>2117</v>
      </c>
      <c r="D917" s="3" t="s">
        <v>119</v>
      </c>
      <c r="E917" s="3" t="s">
        <v>2674</v>
      </c>
      <c r="F917" s="3">
        <f>COUNTIF(C917,PickedPlayers!D:D)</f>
        <v>0</v>
      </c>
      <c r="G917" s="3" t="str">
        <f t="shared" si="14"/>
        <v>Yes</v>
      </c>
    </row>
    <row r="918" spans="1:7" hidden="1" x14ac:dyDescent="0.25">
      <c r="A918" s="3" t="s">
        <v>558</v>
      </c>
      <c r="B918" s="3" t="s">
        <v>2113</v>
      </c>
      <c r="C918" s="3" t="s">
        <v>2113</v>
      </c>
      <c r="D918" s="3" t="s">
        <v>119</v>
      </c>
      <c r="E918" s="3" t="s">
        <v>2674</v>
      </c>
      <c r="F918" s="3">
        <f>COUNTIF(C918,PickedPlayers!D:D)</f>
        <v>0</v>
      </c>
      <c r="G918" s="3" t="str">
        <f t="shared" si="14"/>
        <v>Yes</v>
      </c>
    </row>
    <row r="919" spans="1:7" hidden="1" x14ac:dyDescent="0.25">
      <c r="A919" s="3" t="s">
        <v>558</v>
      </c>
      <c r="B919" s="3" t="s">
        <v>2120</v>
      </c>
      <c r="C919" s="3" t="s">
        <v>2120</v>
      </c>
      <c r="D919" s="3" t="s">
        <v>119</v>
      </c>
      <c r="E919" s="3" t="s">
        <v>2674</v>
      </c>
      <c r="F919" s="3">
        <f>COUNTIF(C919,PickedPlayers!D:D)</f>
        <v>0</v>
      </c>
      <c r="G919" s="3" t="str">
        <f t="shared" si="14"/>
        <v>Yes</v>
      </c>
    </row>
    <row r="920" spans="1:7" hidden="1" x14ac:dyDescent="0.25">
      <c r="A920" s="3" t="s">
        <v>577</v>
      </c>
      <c r="B920" s="3" t="s">
        <v>2129</v>
      </c>
      <c r="C920" s="3" t="s">
        <v>2129</v>
      </c>
      <c r="D920" s="3" t="s">
        <v>119</v>
      </c>
      <c r="E920" s="3" t="s">
        <v>2675</v>
      </c>
      <c r="F920" s="3">
        <f>COUNTIF(C920,PickedPlayers!D:D)</f>
        <v>0</v>
      </c>
      <c r="G920" s="3" t="str">
        <f t="shared" si="14"/>
        <v>Yes</v>
      </c>
    </row>
    <row r="921" spans="1:7" hidden="1" x14ac:dyDescent="0.25">
      <c r="A921" s="3" t="s">
        <v>577</v>
      </c>
      <c r="B921" s="3" t="s">
        <v>2125</v>
      </c>
      <c r="C921" s="3" t="s">
        <v>2125</v>
      </c>
      <c r="D921" s="3" t="s">
        <v>119</v>
      </c>
      <c r="E921" s="3" t="s">
        <v>2675</v>
      </c>
      <c r="F921" s="3">
        <f>COUNTIF(C921,PickedPlayers!D:D)</f>
        <v>0</v>
      </c>
      <c r="G921" s="3" t="str">
        <f t="shared" si="14"/>
        <v>Yes</v>
      </c>
    </row>
    <row r="922" spans="1:7" hidden="1" x14ac:dyDescent="0.25">
      <c r="A922" s="3" t="s">
        <v>577</v>
      </c>
      <c r="B922" s="3" t="s">
        <v>2124</v>
      </c>
      <c r="C922" s="3" t="s">
        <v>2124</v>
      </c>
      <c r="D922" s="3" t="s">
        <v>119</v>
      </c>
      <c r="E922" s="3" t="s">
        <v>2675</v>
      </c>
      <c r="F922" s="3">
        <f>COUNTIF(C922,PickedPlayers!D:D)</f>
        <v>0</v>
      </c>
      <c r="G922" s="3" t="str">
        <f t="shared" si="14"/>
        <v>Yes</v>
      </c>
    </row>
    <row r="923" spans="1:7" hidden="1" x14ac:dyDescent="0.25">
      <c r="A923" s="3" t="s">
        <v>577</v>
      </c>
      <c r="B923" s="3" t="s">
        <v>2126</v>
      </c>
      <c r="C923" s="3" t="s">
        <v>2126</v>
      </c>
      <c r="D923" s="3" t="s">
        <v>119</v>
      </c>
      <c r="E923" s="3" t="s">
        <v>2675</v>
      </c>
      <c r="F923" s="3">
        <f>COUNTIF(C923,PickedPlayers!D:D)</f>
        <v>0</v>
      </c>
      <c r="G923" s="3" t="str">
        <f t="shared" si="14"/>
        <v>Yes</v>
      </c>
    </row>
    <row r="924" spans="1:7" hidden="1" x14ac:dyDescent="0.25">
      <c r="A924" s="3" t="s">
        <v>577</v>
      </c>
      <c r="B924" s="3" t="s">
        <v>2128</v>
      </c>
      <c r="C924" s="3" t="s">
        <v>2128</v>
      </c>
      <c r="D924" s="3" t="s">
        <v>119</v>
      </c>
      <c r="E924" s="3" t="s">
        <v>2675</v>
      </c>
      <c r="F924" s="3">
        <f>COUNTIF(C924,PickedPlayers!D:D)</f>
        <v>0</v>
      </c>
      <c r="G924" s="3" t="str">
        <f t="shared" si="14"/>
        <v>Yes</v>
      </c>
    </row>
    <row r="925" spans="1:7" hidden="1" x14ac:dyDescent="0.25">
      <c r="A925" s="3" t="s">
        <v>577</v>
      </c>
      <c r="B925" s="3" t="s">
        <v>2123</v>
      </c>
      <c r="C925" s="3" t="s">
        <v>2123</v>
      </c>
      <c r="D925" s="3" t="s">
        <v>119</v>
      </c>
      <c r="E925" s="3" t="s">
        <v>2675</v>
      </c>
      <c r="F925" s="3">
        <f>COUNTIF(C925,PickedPlayers!D:D)</f>
        <v>0</v>
      </c>
      <c r="G925" s="3" t="str">
        <f t="shared" si="14"/>
        <v>Yes</v>
      </c>
    </row>
    <row r="926" spans="1:7" hidden="1" x14ac:dyDescent="0.25">
      <c r="A926" s="3" t="s">
        <v>577</v>
      </c>
      <c r="B926" s="3" t="s">
        <v>2121</v>
      </c>
      <c r="C926" s="3" t="s">
        <v>2121</v>
      </c>
      <c r="D926" s="3" t="s">
        <v>119</v>
      </c>
      <c r="E926" s="3" t="s">
        <v>2675</v>
      </c>
      <c r="F926" s="3">
        <f>COUNTIF(C926,PickedPlayers!D:D)</f>
        <v>0</v>
      </c>
      <c r="G926" s="3" t="str">
        <f t="shared" si="14"/>
        <v>Yes</v>
      </c>
    </row>
    <row r="927" spans="1:7" hidden="1" x14ac:dyDescent="0.25">
      <c r="A927" s="3" t="s">
        <v>577</v>
      </c>
      <c r="B927" s="3" t="s">
        <v>2127</v>
      </c>
      <c r="C927" s="3" t="s">
        <v>2127</v>
      </c>
      <c r="D927" s="3" t="s">
        <v>119</v>
      </c>
      <c r="E927" s="3" t="s">
        <v>2675</v>
      </c>
      <c r="F927" s="3">
        <f>COUNTIF(C927,PickedPlayers!D:D)</f>
        <v>0</v>
      </c>
      <c r="G927" s="3" t="str">
        <f t="shared" si="14"/>
        <v>Yes</v>
      </c>
    </row>
    <row r="928" spans="1:7" hidden="1" x14ac:dyDescent="0.25">
      <c r="A928" s="3" t="s">
        <v>577</v>
      </c>
      <c r="B928" s="3" t="s">
        <v>2122</v>
      </c>
      <c r="C928" s="3" t="s">
        <v>2122</v>
      </c>
      <c r="D928" s="3" t="s">
        <v>119</v>
      </c>
      <c r="E928" s="3" t="s">
        <v>2675</v>
      </c>
      <c r="F928" s="3">
        <f>COUNTIF(C928,PickedPlayers!D:D)</f>
        <v>0</v>
      </c>
      <c r="G928" s="3" t="str">
        <f t="shared" si="14"/>
        <v>Yes</v>
      </c>
    </row>
    <row r="929" spans="1:7" hidden="1" x14ac:dyDescent="0.25">
      <c r="A929" s="3" t="s">
        <v>592</v>
      </c>
      <c r="B929" s="3" t="s">
        <v>2131</v>
      </c>
      <c r="C929" s="3" t="s">
        <v>2131</v>
      </c>
      <c r="D929" s="3" t="s">
        <v>119</v>
      </c>
      <c r="E929" s="3" t="s">
        <v>2677</v>
      </c>
      <c r="F929" s="3">
        <f>COUNTIF(C929,PickedPlayers!D:D)</f>
        <v>0</v>
      </c>
      <c r="G929" s="3" t="str">
        <f t="shared" si="14"/>
        <v>Yes</v>
      </c>
    </row>
    <row r="930" spans="1:7" hidden="1" x14ac:dyDescent="0.25">
      <c r="A930" s="3" t="s">
        <v>592</v>
      </c>
      <c r="B930" s="3" t="s">
        <v>2130</v>
      </c>
      <c r="C930" s="3" t="s">
        <v>2130</v>
      </c>
      <c r="D930" s="3" t="s">
        <v>119</v>
      </c>
      <c r="E930" s="3" t="s">
        <v>2677</v>
      </c>
      <c r="F930" s="3">
        <f>COUNTIF(C930,PickedPlayers!D:D)</f>
        <v>0</v>
      </c>
      <c r="G930" s="3" t="str">
        <f t="shared" si="14"/>
        <v>Yes</v>
      </c>
    </row>
    <row r="931" spans="1:7" hidden="1" x14ac:dyDescent="0.25">
      <c r="A931" s="3" t="s">
        <v>592</v>
      </c>
      <c r="B931" s="3" t="s">
        <v>2134</v>
      </c>
      <c r="C931" s="3" t="s">
        <v>2134</v>
      </c>
      <c r="D931" s="3" t="s">
        <v>119</v>
      </c>
      <c r="E931" s="3" t="s">
        <v>2677</v>
      </c>
      <c r="F931" s="3">
        <f>COUNTIF(C931,PickedPlayers!D:D)</f>
        <v>0</v>
      </c>
      <c r="G931" s="3" t="str">
        <f t="shared" si="14"/>
        <v>Yes</v>
      </c>
    </row>
    <row r="932" spans="1:7" hidden="1" x14ac:dyDescent="0.25">
      <c r="A932" s="3" t="s">
        <v>592</v>
      </c>
      <c r="B932" s="3" t="s">
        <v>2132</v>
      </c>
      <c r="C932" s="3" t="s">
        <v>2132</v>
      </c>
      <c r="D932" s="3" t="s">
        <v>119</v>
      </c>
      <c r="E932" s="3" t="s">
        <v>2677</v>
      </c>
      <c r="F932" s="3">
        <f>COUNTIF(C932,PickedPlayers!D:D)</f>
        <v>0</v>
      </c>
      <c r="G932" s="3" t="str">
        <f t="shared" si="14"/>
        <v>Yes</v>
      </c>
    </row>
    <row r="933" spans="1:7" hidden="1" x14ac:dyDescent="0.25">
      <c r="A933" s="3" t="s">
        <v>592</v>
      </c>
      <c r="B933" s="3" t="s">
        <v>2133</v>
      </c>
      <c r="C933" s="3" t="s">
        <v>2133</v>
      </c>
      <c r="D933" s="3" t="s">
        <v>119</v>
      </c>
      <c r="E933" s="3" t="s">
        <v>2677</v>
      </c>
      <c r="F933" s="3">
        <f>COUNTIF(C933,PickedPlayers!D:D)</f>
        <v>0</v>
      </c>
      <c r="G933" s="3" t="str">
        <f t="shared" si="14"/>
        <v>Yes</v>
      </c>
    </row>
    <row r="934" spans="1:7" hidden="1" x14ac:dyDescent="0.25">
      <c r="A934" s="3" t="s">
        <v>551</v>
      </c>
      <c r="B934" s="3" t="s">
        <v>2135</v>
      </c>
      <c r="C934" s="3" t="s">
        <v>2136</v>
      </c>
      <c r="D934" s="3" t="s">
        <v>156</v>
      </c>
      <c r="E934" s="3" t="s">
        <v>2673</v>
      </c>
      <c r="F934" s="3">
        <f>COUNTIF(C934,PickedPlayers!D:D)</f>
        <v>0</v>
      </c>
      <c r="G934" s="3" t="str">
        <f t="shared" si="14"/>
        <v>Yes</v>
      </c>
    </row>
    <row r="935" spans="1:7" hidden="1" x14ac:dyDescent="0.25">
      <c r="A935" s="3" t="s">
        <v>551</v>
      </c>
      <c r="B935" s="3" t="s">
        <v>2137</v>
      </c>
      <c r="C935" s="3" t="s">
        <v>2138</v>
      </c>
      <c r="D935" s="3" t="s">
        <v>156</v>
      </c>
      <c r="E935" s="3" t="s">
        <v>2673</v>
      </c>
      <c r="F935" s="3">
        <f>COUNTIF(C935,PickedPlayers!D:D)</f>
        <v>0</v>
      </c>
      <c r="G935" s="3" t="str">
        <f t="shared" si="14"/>
        <v>Yes</v>
      </c>
    </row>
    <row r="936" spans="1:7" hidden="1" x14ac:dyDescent="0.25">
      <c r="A936" s="3" t="s">
        <v>551</v>
      </c>
      <c r="B936" s="3" t="s">
        <v>2139</v>
      </c>
      <c r="C936" s="3" t="s">
        <v>2140</v>
      </c>
      <c r="D936" s="3" t="s">
        <v>156</v>
      </c>
      <c r="E936" s="3" t="s">
        <v>2673</v>
      </c>
      <c r="F936" s="3">
        <f>COUNTIF(C936,PickedPlayers!D:D)</f>
        <v>0</v>
      </c>
      <c r="G936" s="3" t="str">
        <f t="shared" si="14"/>
        <v>Yes</v>
      </c>
    </row>
    <row r="937" spans="1:7" hidden="1" x14ac:dyDescent="0.25">
      <c r="A937" s="3" t="s">
        <v>558</v>
      </c>
      <c r="B937" s="3" t="s">
        <v>2141</v>
      </c>
      <c r="C937" s="3" t="s">
        <v>2142</v>
      </c>
      <c r="D937" s="3" t="s">
        <v>156</v>
      </c>
      <c r="E937" s="3" t="s">
        <v>2674</v>
      </c>
      <c r="F937" s="3">
        <f>COUNTIF(C937,PickedPlayers!D:D)</f>
        <v>0</v>
      </c>
      <c r="G937" s="3" t="str">
        <f t="shared" si="14"/>
        <v>Yes</v>
      </c>
    </row>
    <row r="938" spans="1:7" hidden="1" x14ac:dyDescent="0.25">
      <c r="A938" s="3" t="s">
        <v>558</v>
      </c>
      <c r="B938" s="3" t="s">
        <v>2155</v>
      </c>
      <c r="C938" s="3" t="s">
        <v>2156</v>
      </c>
      <c r="D938" s="3" t="s">
        <v>156</v>
      </c>
      <c r="E938" s="3" t="s">
        <v>2674</v>
      </c>
      <c r="F938" s="3">
        <f>COUNTIF(C938,PickedPlayers!D:D)</f>
        <v>0</v>
      </c>
      <c r="G938" s="3" t="str">
        <f t="shared" si="14"/>
        <v>Yes</v>
      </c>
    </row>
    <row r="939" spans="1:7" hidden="1" x14ac:dyDescent="0.25">
      <c r="A939" s="3" t="s">
        <v>558</v>
      </c>
      <c r="B939" s="3" t="s">
        <v>2145</v>
      </c>
      <c r="C939" s="3" t="s">
        <v>2146</v>
      </c>
      <c r="D939" s="3" t="s">
        <v>156</v>
      </c>
      <c r="E939" s="3" t="s">
        <v>2674</v>
      </c>
      <c r="F939" s="3">
        <f>COUNTIF(C939,PickedPlayers!D:D)</f>
        <v>0</v>
      </c>
      <c r="G939" s="3" t="str">
        <f t="shared" si="14"/>
        <v>Yes</v>
      </c>
    </row>
    <row r="940" spans="1:7" hidden="1" x14ac:dyDescent="0.25">
      <c r="A940" s="3" t="s">
        <v>558</v>
      </c>
      <c r="B940" s="3" t="s">
        <v>2147</v>
      </c>
      <c r="C940" s="3" t="s">
        <v>2148</v>
      </c>
      <c r="D940" s="3" t="s">
        <v>156</v>
      </c>
      <c r="E940" s="3" t="s">
        <v>2674</v>
      </c>
      <c r="F940" s="3">
        <f>COUNTIF(C940,PickedPlayers!D:D)</f>
        <v>0</v>
      </c>
      <c r="G940" s="3" t="str">
        <f t="shared" si="14"/>
        <v>Yes</v>
      </c>
    </row>
    <row r="941" spans="1:7" hidden="1" x14ac:dyDescent="0.25">
      <c r="A941" s="3" t="s">
        <v>558</v>
      </c>
      <c r="B941" s="3" t="s">
        <v>2149</v>
      </c>
      <c r="C941" s="3" t="s">
        <v>2150</v>
      </c>
      <c r="D941" s="3" t="s">
        <v>156</v>
      </c>
      <c r="E941" s="3" t="s">
        <v>2674</v>
      </c>
      <c r="F941" s="3">
        <f>COUNTIF(C941,PickedPlayers!D:D)</f>
        <v>0</v>
      </c>
      <c r="G941" s="3" t="str">
        <f t="shared" si="14"/>
        <v>Yes</v>
      </c>
    </row>
    <row r="942" spans="1:7" hidden="1" x14ac:dyDescent="0.25">
      <c r="A942" s="3" t="s">
        <v>558</v>
      </c>
      <c r="B942" s="3" t="s">
        <v>2157</v>
      </c>
      <c r="C942" s="3" t="s">
        <v>2158</v>
      </c>
      <c r="D942" s="3" t="s">
        <v>156</v>
      </c>
      <c r="E942" s="3" t="s">
        <v>2674</v>
      </c>
      <c r="F942" s="3">
        <f>COUNTIF(C942,PickedPlayers!D:D)</f>
        <v>0</v>
      </c>
      <c r="G942" s="3" t="str">
        <f t="shared" si="14"/>
        <v>Yes</v>
      </c>
    </row>
    <row r="943" spans="1:7" hidden="1" x14ac:dyDescent="0.25">
      <c r="A943" s="3" t="s">
        <v>558</v>
      </c>
      <c r="B943" s="3" t="s">
        <v>2143</v>
      </c>
      <c r="C943" s="3" t="s">
        <v>2144</v>
      </c>
      <c r="D943" s="3" t="s">
        <v>156</v>
      </c>
      <c r="E943" s="3" t="s">
        <v>2674</v>
      </c>
      <c r="F943" s="3">
        <f>COUNTIF(C943,PickedPlayers!D:D)</f>
        <v>0</v>
      </c>
      <c r="G943" s="3" t="str">
        <f t="shared" si="14"/>
        <v>Yes</v>
      </c>
    </row>
    <row r="944" spans="1:7" hidden="1" x14ac:dyDescent="0.25">
      <c r="A944" s="3" t="s">
        <v>558</v>
      </c>
      <c r="B944" s="3" t="s">
        <v>2153</v>
      </c>
      <c r="C944" s="3" t="s">
        <v>2154</v>
      </c>
      <c r="D944" s="3" t="s">
        <v>156</v>
      </c>
      <c r="E944" s="3" t="s">
        <v>2674</v>
      </c>
      <c r="F944" s="3">
        <f>COUNTIF(C944,PickedPlayers!D:D)</f>
        <v>0</v>
      </c>
      <c r="G944" s="3" t="str">
        <f t="shared" si="14"/>
        <v>Yes</v>
      </c>
    </row>
    <row r="945" spans="1:7" hidden="1" x14ac:dyDescent="0.25">
      <c r="A945" s="3" t="s">
        <v>558</v>
      </c>
      <c r="B945" s="3" t="s">
        <v>2151</v>
      </c>
      <c r="C945" s="3" t="s">
        <v>2152</v>
      </c>
      <c r="D945" s="3" t="s">
        <v>156</v>
      </c>
      <c r="E945" s="3" t="s">
        <v>2674</v>
      </c>
      <c r="F945" s="3">
        <f>COUNTIF(C945,PickedPlayers!D:D)</f>
        <v>0</v>
      </c>
      <c r="G945" s="3" t="str">
        <f t="shared" si="14"/>
        <v>Yes</v>
      </c>
    </row>
    <row r="946" spans="1:7" hidden="1" x14ac:dyDescent="0.25">
      <c r="A946" s="3" t="s">
        <v>558</v>
      </c>
      <c r="B946" s="3" t="s">
        <v>2159</v>
      </c>
      <c r="C946" s="3" t="s">
        <v>2160</v>
      </c>
      <c r="D946" s="3" t="s">
        <v>156</v>
      </c>
      <c r="E946" s="3" t="s">
        <v>2674</v>
      </c>
      <c r="F946" s="3">
        <f>COUNTIF(C946,PickedPlayers!D:D)</f>
        <v>0</v>
      </c>
      <c r="G946" s="3" t="str">
        <f t="shared" si="14"/>
        <v>Yes</v>
      </c>
    </row>
    <row r="947" spans="1:7" hidden="1" x14ac:dyDescent="0.25">
      <c r="A947" s="3" t="s">
        <v>577</v>
      </c>
      <c r="B947" s="3" t="s">
        <v>2164</v>
      </c>
      <c r="C947" s="3" t="s">
        <v>2165</v>
      </c>
      <c r="D947" s="3" t="s">
        <v>156</v>
      </c>
      <c r="E947" s="3" t="s">
        <v>2675</v>
      </c>
      <c r="F947" s="3">
        <f>COUNTIF(C947,PickedPlayers!D:D)</f>
        <v>0</v>
      </c>
      <c r="G947" s="3" t="str">
        <f t="shared" si="14"/>
        <v>Yes</v>
      </c>
    </row>
    <row r="948" spans="1:7" hidden="1" x14ac:dyDescent="0.25">
      <c r="A948" s="3" t="s">
        <v>577</v>
      </c>
      <c r="B948" s="3" t="s">
        <v>2170</v>
      </c>
      <c r="C948" s="3" t="s">
        <v>2171</v>
      </c>
      <c r="D948" s="3" t="s">
        <v>156</v>
      </c>
      <c r="E948" s="3" t="s">
        <v>2675</v>
      </c>
      <c r="F948" s="3">
        <f>COUNTIF(C948,PickedPlayers!D:D)</f>
        <v>0</v>
      </c>
      <c r="G948" s="3" t="str">
        <f t="shared" si="14"/>
        <v>Yes</v>
      </c>
    </row>
    <row r="949" spans="1:7" hidden="1" x14ac:dyDescent="0.25">
      <c r="A949" s="3" t="s">
        <v>577</v>
      </c>
      <c r="B949" s="3" t="s">
        <v>2166</v>
      </c>
      <c r="C949" s="3" t="s">
        <v>2167</v>
      </c>
      <c r="D949" s="3" t="s">
        <v>156</v>
      </c>
      <c r="E949" s="3" t="s">
        <v>2675</v>
      </c>
      <c r="F949" s="3">
        <f>COUNTIF(C949,PickedPlayers!D:D)</f>
        <v>0</v>
      </c>
      <c r="G949" s="3" t="str">
        <f t="shared" si="14"/>
        <v>Yes</v>
      </c>
    </row>
    <row r="950" spans="1:7" hidden="1" x14ac:dyDescent="0.25">
      <c r="A950" s="3" t="s">
        <v>577</v>
      </c>
      <c r="B950" s="3" t="s">
        <v>2162</v>
      </c>
      <c r="C950" s="3" t="s">
        <v>2163</v>
      </c>
      <c r="D950" s="3" t="s">
        <v>156</v>
      </c>
      <c r="E950" s="3" t="s">
        <v>2675</v>
      </c>
      <c r="F950" s="3">
        <f>COUNTIF(C950,PickedPlayers!D:D)</f>
        <v>0</v>
      </c>
      <c r="G950" s="3" t="str">
        <f t="shared" si="14"/>
        <v>Yes</v>
      </c>
    </row>
    <row r="951" spans="1:7" hidden="1" x14ac:dyDescent="0.25">
      <c r="A951" s="3" t="s">
        <v>577</v>
      </c>
      <c r="B951" s="3" t="s">
        <v>2161</v>
      </c>
      <c r="C951" s="3" t="s">
        <v>310</v>
      </c>
      <c r="D951" s="3" t="s">
        <v>156</v>
      </c>
      <c r="E951" s="3" t="s">
        <v>2675</v>
      </c>
      <c r="F951" s="3">
        <f>COUNTIF(C951,PickedPlayers!D:D)</f>
        <v>0</v>
      </c>
      <c r="G951" s="3" t="str">
        <f t="shared" si="14"/>
        <v>Yes</v>
      </c>
    </row>
    <row r="952" spans="1:7" hidden="1" x14ac:dyDescent="0.25">
      <c r="A952" s="3" t="s">
        <v>577</v>
      </c>
      <c r="B952" s="3" t="s">
        <v>2168</v>
      </c>
      <c r="C952" s="3" t="s">
        <v>2169</v>
      </c>
      <c r="D952" s="3" t="s">
        <v>156</v>
      </c>
      <c r="E952" s="3" t="s">
        <v>2675</v>
      </c>
      <c r="F952" s="3">
        <f>COUNTIF(C952,PickedPlayers!D:D)</f>
        <v>0</v>
      </c>
      <c r="G952" s="3" t="str">
        <f t="shared" si="14"/>
        <v>Yes</v>
      </c>
    </row>
    <row r="953" spans="1:7" hidden="1" x14ac:dyDescent="0.25">
      <c r="A953" s="3" t="s">
        <v>592</v>
      </c>
      <c r="B953" s="3" t="s">
        <v>2184</v>
      </c>
      <c r="C953" s="3" t="s">
        <v>2185</v>
      </c>
      <c r="D953" s="3" t="s">
        <v>156</v>
      </c>
      <c r="E953" s="3" t="s">
        <v>2677</v>
      </c>
      <c r="F953" s="3">
        <f>COUNTIF(C953,PickedPlayers!D:D)</f>
        <v>0</v>
      </c>
      <c r="G953" s="3" t="str">
        <f t="shared" si="14"/>
        <v>Yes</v>
      </c>
    </row>
    <row r="954" spans="1:7" hidden="1" x14ac:dyDescent="0.25">
      <c r="A954" s="3" t="s">
        <v>592</v>
      </c>
      <c r="B954" s="3" t="s">
        <v>2176</v>
      </c>
      <c r="C954" s="3" t="s">
        <v>2177</v>
      </c>
      <c r="D954" s="3" t="s">
        <v>156</v>
      </c>
      <c r="E954" s="3" t="s">
        <v>2677</v>
      </c>
      <c r="F954" s="3">
        <f>COUNTIF(C954,PickedPlayers!D:D)</f>
        <v>0</v>
      </c>
      <c r="G954" s="3" t="str">
        <f t="shared" si="14"/>
        <v>Yes</v>
      </c>
    </row>
    <row r="955" spans="1:7" hidden="1" x14ac:dyDescent="0.25">
      <c r="A955" s="3" t="s">
        <v>592</v>
      </c>
      <c r="B955" s="3" t="s">
        <v>2182</v>
      </c>
      <c r="C955" s="3" t="s">
        <v>2183</v>
      </c>
      <c r="D955" s="3" t="s">
        <v>156</v>
      </c>
      <c r="E955" s="3" t="s">
        <v>2677</v>
      </c>
      <c r="F955" s="3">
        <f>COUNTIF(C955,PickedPlayers!D:D)</f>
        <v>0</v>
      </c>
      <c r="G955" s="3" t="str">
        <f t="shared" si="14"/>
        <v>Yes</v>
      </c>
    </row>
    <row r="956" spans="1:7" hidden="1" x14ac:dyDescent="0.25">
      <c r="A956" s="3" t="s">
        <v>592</v>
      </c>
      <c r="B956" s="3" t="s">
        <v>2174</v>
      </c>
      <c r="C956" s="3" t="s">
        <v>2175</v>
      </c>
      <c r="D956" s="3" t="s">
        <v>156</v>
      </c>
      <c r="E956" s="3" t="s">
        <v>2677</v>
      </c>
      <c r="F956" s="3">
        <f>COUNTIF(C956,PickedPlayers!D:D)</f>
        <v>0</v>
      </c>
      <c r="G956" s="3" t="str">
        <f t="shared" si="14"/>
        <v>Yes</v>
      </c>
    </row>
    <row r="957" spans="1:7" hidden="1" x14ac:dyDescent="0.25">
      <c r="A957" s="3" t="s">
        <v>592</v>
      </c>
      <c r="B957" s="3" t="s">
        <v>2172</v>
      </c>
      <c r="C957" s="3" t="s">
        <v>2173</v>
      </c>
      <c r="D957" s="3" t="s">
        <v>156</v>
      </c>
      <c r="E957" s="3" t="s">
        <v>2677</v>
      </c>
      <c r="F957" s="3">
        <f>COUNTIF(C957,PickedPlayers!D:D)</f>
        <v>0</v>
      </c>
      <c r="G957" s="3" t="str">
        <f t="shared" si="14"/>
        <v>Yes</v>
      </c>
    </row>
    <row r="958" spans="1:7" hidden="1" x14ac:dyDescent="0.25">
      <c r="A958" s="3" t="s">
        <v>592</v>
      </c>
      <c r="B958" s="3" t="s">
        <v>2178</v>
      </c>
      <c r="C958" s="3" t="s">
        <v>2179</v>
      </c>
      <c r="D958" s="3" t="s">
        <v>156</v>
      </c>
      <c r="E958" s="3" t="s">
        <v>2677</v>
      </c>
      <c r="F958" s="3">
        <f>COUNTIF(C958,PickedPlayers!D:D)</f>
        <v>0</v>
      </c>
      <c r="G958" s="3" t="str">
        <f t="shared" si="14"/>
        <v>Yes</v>
      </c>
    </row>
    <row r="959" spans="1:7" hidden="1" x14ac:dyDescent="0.25">
      <c r="A959" s="3" t="s">
        <v>592</v>
      </c>
      <c r="B959" s="3" t="s">
        <v>2180</v>
      </c>
      <c r="C959" s="3" t="s">
        <v>2181</v>
      </c>
      <c r="D959" s="3" t="s">
        <v>156</v>
      </c>
      <c r="E959" s="3" t="s">
        <v>2677</v>
      </c>
      <c r="F959" s="3">
        <f>COUNTIF(C959,PickedPlayers!D:D)</f>
        <v>0</v>
      </c>
      <c r="G959" s="3" t="str">
        <f t="shared" si="14"/>
        <v>Yes</v>
      </c>
    </row>
    <row r="960" spans="1:7" hidden="1" x14ac:dyDescent="0.25">
      <c r="A960" s="3" t="s">
        <v>551</v>
      </c>
      <c r="B960" s="3" t="s">
        <v>2190</v>
      </c>
      <c r="C960" s="3" t="s">
        <v>2191</v>
      </c>
      <c r="D960" s="3" t="s">
        <v>126</v>
      </c>
      <c r="E960" s="3" t="s">
        <v>2673</v>
      </c>
      <c r="F960" s="3">
        <f>COUNTIF(C960,PickedPlayers!D:D)</f>
        <v>0</v>
      </c>
      <c r="G960" s="3" t="str">
        <f t="shared" si="14"/>
        <v>Yes</v>
      </c>
    </row>
    <row r="961" spans="1:7" hidden="1" x14ac:dyDescent="0.25">
      <c r="A961" s="3" t="s">
        <v>551</v>
      </c>
      <c r="B961" s="3" t="s">
        <v>2188</v>
      </c>
      <c r="C961" s="3" t="s">
        <v>2189</v>
      </c>
      <c r="D961" s="3" t="s">
        <v>126</v>
      </c>
      <c r="E961" s="3" t="s">
        <v>2673</v>
      </c>
      <c r="F961" s="3">
        <f>COUNTIF(C961,PickedPlayers!D:D)</f>
        <v>0</v>
      </c>
      <c r="G961" s="3" t="str">
        <f t="shared" si="14"/>
        <v>Yes</v>
      </c>
    </row>
    <row r="962" spans="1:7" hidden="1" x14ac:dyDescent="0.25">
      <c r="A962" s="3" t="s">
        <v>551</v>
      </c>
      <c r="B962" s="3" t="s">
        <v>2186</v>
      </c>
      <c r="C962" s="3" t="s">
        <v>2187</v>
      </c>
      <c r="D962" s="3" t="s">
        <v>126</v>
      </c>
      <c r="E962" s="3" t="s">
        <v>2673</v>
      </c>
      <c r="F962" s="3">
        <f>COUNTIF(C962,PickedPlayers!D:D)</f>
        <v>0</v>
      </c>
      <c r="G962" s="3" t="str">
        <f t="shared" si="14"/>
        <v>Yes</v>
      </c>
    </row>
    <row r="963" spans="1:7" hidden="1" x14ac:dyDescent="0.25">
      <c r="A963" s="3" t="s">
        <v>558</v>
      </c>
      <c r="B963" s="3" t="s">
        <v>2198</v>
      </c>
      <c r="C963" s="3" t="s">
        <v>2199</v>
      </c>
      <c r="D963" s="3" t="s">
        <v>126</v>
      </c>
      <c r="E963" s="3" t="s">
        <v>2674</v>
      </c>
      <c r="F963" s="3">
        <f>COUNTIF(C963,PickedPlayers!D:D)</f>
        <v>0</v>
      </c>
      <c r="G963" s="3" t="str">
        <f t="shared" ref="G963:G1026" si="15">IF(F963&gt;0,"No","Yes")</f>
        <v>Yes</v>
      </c>
    </row>
    <row r="964" spans="1:7" hidden="1" x14ac:dyDescent="0.25">
      <c r="A964" s="3" t="s">
        <v>558</v>
      </c>
      <c r="B964" s="3" t="s">
        <v>2200</v>
      </c>
      <c r="C964" s="3" t="s">
        <v>2201</v>
      </c>
      <c r="D964" s="3" t="s">
        <v>126</v>
      </c>
      <c r="E964" s="3" t="s">
        <v>2674</v>
      </c>
      <c r="F964" s="3">
        <f>COUNTIF(C964,PickedPlayers!D:D)</f>
        <v>0</v>
      </c>
      <c r="G964" s="3" t="str">
        <f t="shared" si="15"/>
        <v>Yes</v>
      </c>
    </row>
    <row r="965" spans="1:7" hidden="1" x14ac:dyDescent="0.25">
      <c r="A965" s="3" t="s">
        <v>558</v>
      </c>
      <c r="B965" s="3" t="s">
        <v>2202</v>
      </c>
      <c r="C965" s="3" t="s">
        <v>2203</v>
      </c>
      <c r="D965" s="3" t="s">
        <v>126</v>
      </c>
      <c r="E965" s="3" t="s">
        <v>2674</v>
      </c>
      <c r="F965" s="3">
        <f>COUNTIF(C965,PickedPlayers!D:D)</f>
        <v>0</v>
      </c>
      <c r="G965" s="3" t="str">
        <f t="shared" si="15"/>
        <v>Yes</v>
      </c>
    </row>
    <row r="966" spans="1:7" hidden="1" x14ac:dyDescent="0.25">
      <c r="A966" s="3" t="s">
        <v>558</v>
      </c>
      <c r="B966" s="3" t="s">
        <v>2204</v>
      </c>
      <c r="C966" s="3" t="s">
        <v>2205</v>
      </c>
      <c r="D966" s="3" t="s">
        <v>126</v>
      </c>
      <c r="E966" s="3" t="s">
        <v>2674</v>
      </c>
      <c r="F966" s="3">
        <f>COUNTIF(C966,PickedPlayers!D:D)</f>
        <v>0</v>
      </c>
      <c r="G966" s="3" t="str">
        <f t="shared" si="15"/>
        <v>Yes</v>
      </c>
    </row>
    <row r="967" spans="1:7" hidden="1" x14ac:dyDescent="0.25">
      <c r="A967" s="3" t="s">
        <v>558</v>
      </c>
      <c r="B967" s="3" t="s">
        <v>2196</v>
      </c>
      <c r="C967" s="3" t="s">
        <v>2197</v>
      </c>
      <c r="D967" s="3" t="s">
        <v>126</v>
      </c>
      <c r="E967" s="3" t="s">
        <v>2674</v>
      </c>
      <c r="F967" s="3">
        <f>COUNTIF(C967,PickedPlayers!D:D)</f>
        <v>0</v>
      </c>
      <c r="G967" s="3" t="str">
        <f t="shared" si="15"/>
        <v>Yes</v>
      </c>
    </row>
    <row r="968" spans="1:7" hidden="1" x14ac:dyDescent="0.25">
      <c r="A968" s="3" t="s">
        <v>558</v>
      </c>
      <c r="B968" s="3" t="s">
        <v>2194</v>
      </c>
      <c r="C968" s="3" t="s">
        <v>2195</v>
      </c>
      <c r="D968" s="3" t="s">
        <v>126</v>
      </c>
      <c r="E968" s="3" t="s">
        <v>2674</v>
      </c>
      <c r="F968" s="3">
        <f>COUNTIF(C968,PickedPlayers!D:D)</f>
        <v>0</v>
      </c>
      <c r="G968" s="3" t="str">
        <f t="shared" si="15"/>
        <v>Yes</v>
      </c>
    </row>
    <row r="969" spans="1:7" hidden="1" x14ac:dyDescent="0.25">
      <c r="A969" s="3" t="s">
        <v>558</v>
      </c>
      <c r="B969" s="3" t="s">
        <v>2192</v>
      </c>
      <c r="C969" s="3" t="s">
        <v>2193</v>
      </c>
      <c r="D969" s="3" t="s">
        <v>126</v>
      </c>
      <c r="E969" s="3" t="s">
        <v>2674</v>
      </c>
      <c r="F969" s="3">
        <f>COUNTIF(C969,PickedPlayers!D:D)</f>
        <v>0</v>
      </c>
      <c r="G969" s="3" t="str">
        <f t="shared" si="15"/>
        <v>Yes</v>
      </c>
    </row>
    <row r="970" spans="1:7" x14ac:dyDescent="0.25">
      <c r="A970" s="3" t="s">
        <v>577</v>
      </c>
      <c r="B970" s="3" t="s">
        <v>2216</v>
      </c>
      <c r="C970" s="3" t="s">
        <v>2217</v>
      </c>
      <c r="D970" s="3" t="s">
        <v>126</v>
      </c>
      <c r="E970" s="3" t="s">
        <v>2675</v>
      </c>
      <c r="F970" s="3">
        <f>COUNTIF(C970,PickedPlayers!D:D)</f>
        <v>0</v>
      </c>
      <c r="G970" s="3" t="str">
        <f t="shared" si="15"/>
        <v>Yes</v>
      </c>
    </row>
    <row r="971" spans="1:7" x14ac:dyDescent="0.25">
      <c r="A971" s="3" t="s">
        <v>577</v>
      </c>
      <c r="B971" s="3" t="s">
        <v>2212</v>
      </c>
      <c r="C971" s="3" t="s">
        <v>2213</v>
      </c>
      <c r="D971" s="3" t="s">
        <v>126</v>
      </c>
      <c r="E971" s="3" t="s">
        <v>2675</v>
      </c>
      <c r="F971" s="3">
        <f>COUNTIF(C971,PickedPlayers!D:D)</f>
        <v>0</v>
      </c>
      <c r="G971" s="3" t="str">
        <f t="shared" si="15"/>
        <v>Yes</v>
      </c>
    </row>
    <row r="972" spans="1:7" x14ac:dyDescent="0.25">
      <c r="A972" s="3" t="s">
        <v>577</v>
      </c>
      <c r="B972" s="3" t="s">
        <v>2206</v>
      </c>
      <c r="C972" s="3" t="s">
        <v>2207</v>
      </c>
      <c r="D972" s="3" t="s">
        <v>126</v>
      </c>
      <c r="E972" s="3" t="s">
        <v>2675</v>
      </c>
      <c r="F972" s="3">
        <f>COUNTIF(C972,PickedPlayers!D:D)</f>
        <v>0</v>
      </c>
      <c r="G972" s="3" t="str">
        <f t="shared" si="15"/>
        <v>Yes</v>
      </c>
    </row>
    <row r="973" spans="1:7" x14ac:dyDescent="0.25">
      <c r="A973" s="3" t="s">
        <v>577</v>
      </c>
      <c r="B973" s="3" t="s">
        <v>2218</v>
      </c>
      <c r="C973" s="3" t="s">
        <v>2219</v>
      </c>
      <c r="D973" s="3" t="s">
        <v>126</v>
      </c>
      <c r="E973" s="3" t="s">
        <v>2675</v>
      </c>
      <c r="F973" s="3">
        <f>COUNTIF(C973,PickedPlayers!D:D)</f>
        <v>0</v>
      </c>
      <c r="G973" s="3" t="str">
        <f t="shared" si="15"/>
        <v>Yes</v>
      </c>
    </row>
    <row r="974" spans="1:7" x14ac:dyDescent="0.25">
      <c r="A974" s="3" t="s">
        <v>577</v>
      </c>
      <c r="B974" s="3" t="s">
        <v>2214</v>
      </c>
      <c r="C974" s="3" t="s">
        <v>2215</v>
      </c>
      <c r="D974" s="3" t="s">
        <v>126</v>
      </c>
      <c r="E974" s="3" t="s">
        <v>2675</v>
      </c>
      <c r="F974" s="3">
        <f>COUNTIF(C974,PickedPlayers!D:D)</f>
        <v>0</v>
      </c>
      <c r="G974" s="3" t="str">
        <f t="shared" si="15"/>
        <v>Yes</v>
      </c>
    </row>
    <row r="975" spans="1:7" x14ac:dyDescent="0.25">
      <c r="A975" s="3" t="s">
        <v>577</v>
      </c>
      <c r="B975" s="3" t="s">
        <v>2210</v>
      </c>
      <c r="C975" s="3" t="s">
        <v>2211</v>
      </c>
      <c r="D975" s="3" t="s">
        <v>126</v>
      </c>
      <c r="E975" s="3" t="s">
        <v>2675</v>
      </c>
      <c r="F975" s="3">
        <f>COUNTIF(C975,PickedPlayers!D:D)</f>
        <v>0</v>
      </c>
      <c r="G975" s="3" t="str">
        <f t="shared" si="15"/>
        <v>Yes</v>
      </c>
    </row>
    <row r="976" spans="1:7" x14ac:dyDescent="0.25">
      <c r="A976" s="3" t="s">
        <v>577</v>
      </c>
      <c r="B976" s="3" t="s">
        <v>2220</v>
      </c>
      <c r="C976" s="3" t="s">
        <v>2221</v>
      </c>
      <c r="D976" s="3" t="s">
        <v>126</v>
      </c>
      <c r="E976" s="3" t="s">
        <v>2675</v>
      </c>
      <c r="F976" s="3">
        <f>COUNTIF(C976,PickedPlayers!D:D)</f>
        <v>0</v>
      </c>
      <c r="G976" s="3" t="str">
        <f t="shared" si="15"/>
        <v>Yes</v>
      </c>
    </row>
    <row r="977" spans="1:7" x14ac:dyDescent="0.25">
      <c r="A977" s="3" t="s">
        <v>577</v>
      </c>
      <c r="B977" s="3" t="s">
        <v>2208</v>
      </c>
      <c r="C977" s="3" t="s">
        <v>2209</v>
      </c>
      <c r="D977" s="3" t="s">
        <v>126</v>
      </c>
      <c r="E977" s="3" t="s">
        <v>2675</v>
      </c>
      <c r="F977" s="3">
        <f>COUNTIF(C977,PickedPlayers!D:D)</f>
        <v>0</v>
      </c>
      <c r="G977" s="3" t="str">
        <f t="shared" si="15"/>
        <v>Yes</v>
      </c>
    </row>
    <row r="978" spans="1:7" hidden="1" x14ac:dyDescent="0.25">
      <c r="A978" s="3" t="s">
        <v>592</v>
      </c>
      <c r="B978" s="3" t="s">
        <v>2222</v>
      </c>
      <c r="C978" s="3" t="s">
        <v>2223</v>
      </c>
      <c r="D978" s="3" t="s">
        <v>126</v>
      </c>
      <c r="E978" s="3" t="s">
        <v>2677</v>
      </c>
      <c r="F978" s="3">
        <f>COUNTIF(C978,PickedPlayers!D:D)</f>
        <v>0</v>
      </c>
      <c r="G978" s="3" t="str">
        <f t="shared" si="15"/>
        <v>Yes</v>
      </c>
    </row>
    <row r="979" spans="1:7" hidden="1" x14ac:dyDescent="0.25">
      <c r="A979" s="3" t="s">
        <v>592</v>
      </c>
      <c r="B979" s="3" t="s">
        <v>2226</v>
      </c>
      <c r="C979" s="3" t="s">
        <v>2227</v>
      </c>
      <c r="D979" s="3" t="s">
        <v>126</v>
      </c>
      <c r="E979" s="3" t="s">
        <v>2677</v>
      </c>
      <c r="F979" s="3">
        <f>COUNTIF(C979,PickedPlayers!D:D)</f>
        <v>0</v>
      </c>
      <c r="G979" s="3" t="str">
        <f t="shared" si="15"/>
        <v>Yes</v>
      </c>
    </row>
    <row r="980" spans="1:7" hidden="1" x14ac:dyDescent="0.25">
      <c r="A980" s="3" t="s">
        <v>592</v>
      </c>
      <c r="B980" s="3" t="s">
        <v>2224</v>
      </c>
      <c r="C980" s="3" t="s">
        <v>2225</v>
      </c>
      <c r="D980" s="3" t="s">
        <v>126</v>
      </c>
      <c r="E980" s="3" t="s">
        <v>2677</v>
      </c>
      <c r="F980" s="3">
        <f>COUNTIF(C980,PickedPlayers!D:D)</f>
        <v>0</v>
      </c>
      <c r="G980" s="3" t="str">
        <f t="shared" si="15"/>
        <v>Yes</v>
      </c>
    </row>
    <row r="981" spans="1:7" hidden="1" x14ac:dyDescent="0.25">
      <c r="A981" s="3" t="s">
        <v>592</v>
      </c>
      <c r="B981" s="3" t="s">
        <v>2235</v>
      </c>
      <c r="C981" s="3" t="s">
        <v>2236</v>
      </c>
      <c r="D981" s="3" t="s">
        <v>126</v>
      </c>
      <c r="E981" s="3" t="s">
        <v>2677</v>
      </c>
      <c r="F981" s="3">
        <f>COUNTIF(C981,PickedPlayers!D:D)</f>
        <v>0</v>
      </c>
      <c r="G981" s="3" t="str">
        <f t="shared" si="15"/>
        <v>Yes</v>
      </c>
    </row>
    <row r="982" spans="1:7" hidden="1" x14ac:dyDescent="0.25">
      <c r="A982" s="3" t="s">
        <v>592</v>
      </c>
      <c r="B982" s="3" t="s">
        <v>2228</v>
      </c>
      <c r="C982" s="3" t="s">
        <v>2229</v>
      </c>
      <c r="D982" s="3" t="s">
        <v>126</v>
      </c>
      <c r="E982" s="3" t="s">
        <v>2677</v>
      </c>
      <c r="F982" s="3">
        <f>COUNTIF(C982,PickedPlayers!D:D)</f>
        <v>0</v>
      </c>
      <c r="G982" s="3" t="str">
        <f t="shared" si="15"/>
        <v>Yes</v>
      </c>
    </row>
    <row r="983" spans="1:7" hidden="1" x14ac:dyDescent="0.25">
      <c r="A983" s="3" t="s">
        <v>592</v>
      </c>
      <c r="B983" s="3" t="s">
        <v>2231</v>
      </c>
      <c r="C983" s="3" t="s">
        <v>2232</v>
      </c>
      <c r="D983" s="3" t="s">
        <v>126</v>
      </c>
      <c r="E983" s="3" t="s">
        <v>2677</v>
      </c>
      <c r="F983" s="3">
        <f>COUNTIF(C983,PickedPlayers!D:D)</f>
        <v>0</v>
      </c>
      <c r="G983" s="3" t="str">
        <f t="shared" si="15"/>
        <v>Yes</v>
      </c>
    </row>
    <row r="984" spans="1:7" hidden="1" x14ac:dyDescent="0.25">
      <c r="A984" s="3" t="s">
        <v>592</v>
      </c>
      <c r="B984" s="3" t="s">
        <v>2233</v>
      </c>
      <c r="C984" s="3" t="s">
        <v>2234</v>
      </c>
      <c r="D984" s="3" t="s">
        <v>126</v>
      </c>
      <c r="E984" s="3" t="s">
        <v>2677</v>
      </c>
      <c r="F984" s="3">
        <f>COUNTIF(C984,PickedPlayers!D:D)</f>
        <v>0</v>
      </c>
      <c r="G984" s="3" t="str">
        <f t="shared" si="15"/>
        <v>Yes</v>
      </c>
    </row>
    <row r="985" spans="1:7" hidden="1" x14ac:dyDescent="0.25">
      <c r="A985" s="3" t="s">
        <v>592</v>
      </c>
      <c r="B985" s="3" t="s">
        <v>2230</v>
      </c>
      <c r="C985" s="3" t="s">
        <v>446</v>
      </c>
      <c r="D985" s="3" t="s">
        <v>126</v>
      </c>
      <c r="E985" s="3" t="s">
        <v>2677</v>
      </c>
      <c r="F985" s="3">
        <f>COUNTIF(C985,PickedPlayers!D:D)</f>
        <v>0</v>
      </c>
      <c r="G985" s="3" t="str">
        <f t="shared" si="15"/>
        <v>Yes</v>
      </c>
    </row>
    <row r="986" spans="1:7" hidden="1" x14ac:dyDescent="0.25">
      <c r="A986" s="3" t="s">
        <v>551</v>
      </c>
      <c r="B986" s="3" t="s">
        <v>2239</v>
      </c>
      <c r="C986" s="3" t="s">
        <v>2240</v>
      </c>
      <c r="D986" s="3" t="s">
        <v>82</v>
      </c>
      <c r="E986" s="3" t="s">
        <v>2673</v>
      </c>
      <c r="F986" s="3">
        <f>COUNTIF(C986,PickedPlayers!D:D)</f>
        <v>0</v>
      </c>
      <c r="G986" s="3" t="str">
        <f t="shared" si="15"/>
        <v>Yes</v>
      </c>
    </row>
    <row r="987" spans="1:7" hidden="1" x14ac:dyDescent="0.25">
      <c r="A987" s="3" t="s">
        <v>551</v>
      </c>
      <c r="B987" s="3" t="s">
        <v>2237</v>
      </c>
      <c r="C987" s="3" t="s">
        <v>2238</v>
      </c>
      <c r="D987" s="3" t="s">
        <v>82</v>
      </c>
      <c r="E987" s="3" t="s">
        <v>2673</v>
      </c>
      <c r="F987" s="3">
        <f>COUNTIF(C987,PickedPlayers!D:D)</f>
        <v>0</v>
      </c>
      <c r="G987" s="3" t="str">
        <f t="shared" si="15"/>
        <v>Yes</v>
      </c>
    </row>
    <row r="988" spans="1:7" hidden="1" x14ac:dyDescent="0.25">
      <c r="A988" s="3" t="s">
        <v>551</v>
      </c>
      <c r="B988" s="3" t="s">
        <v>2241</v>
      </c>
      <c r="C988" s="3" t="s">
        <v>2242</v>
      </c>
      <c r="D988" s="3" t="s">
        <v>82</v>
      </c>
      <c r="E988" s="3" t="s">
        <v>2673</v>
      </c>
      <c r="F988" s="3">
        <f>COUNTIF(C988,PickedPlayers!D:D)</f>
        <v>0</v>
      </c>
      <c r="G988" s="3" t="str">
        <f t="shared" si="15"/>
        <v>Yes</v>
      </c>
    </row>
    <row r="989" spans="1:7" hidden="1" x14ac:dyDescent="0.25">
      <c r="A989" s="3" t="s">
        <v>558</v>
      </c>
      <c r="B989" s="3" t="s">
        <v>2251</v>
      </c>
      <c r="C989" s="3" t="s">
        <v>2252</v>
      </c>
      <c r="D989" s="3" t="s">
        <v>82</v>
      </c>
      <c r="E989" s="3" t="s">
        <v>2674</v>
      </c>
      <c r="F989" s="3">
        <f>COUNTIF(C989,PickedPlayers!D:D)</f>
        <v>0</v>
      </c>
      <c r="G989" s="3" t="str">
        <f t="shared" si="15"/>
        <v>Yes</v>
      </c>
    </row>
    <row r="990" spans="1:7" hidden="1" x14ac:dyDescent="0.25">
      <c r="A990" s="3" t="s">
        <v>558</v>
      </c>
      <c r="B990" s="3" t="s">
        <v>2261</v>
      </c>
      <c r="C990" s="3" t="s">
        <v>2262</v>
      </c>
      <c r="D990" s="3" t="s">
        <v>82</v>
      </c>
      <c r="E990" s="3" t="s">
        <v>2674</v>
      </c>
      <c r="F990" s="3">
        <f>COUNTIF(C990,PickedPlayers!D:D)</f>
        <v>0</v>
      </c>
      <c r="G990" s="3" t="str">
        <f t="shared" si="15"/>
        <v>Yes</v>
      </c>
    </row>
    <row r="991" spans="1:7" hidden="1" x14ac:dyDescent="0.25">
      <c r="A991" s="3" t="s">
        <v>558</v>
      </c>
      <c r="B991" s="3" t="s">
        <v>2253</v>
      </c>
      <c r="C991" s="3" t="s">
        <v>2254</v>
      </c>
      <c r="D991" s="3" t="s">
        <v>82</v>
      </c>
      <c r="E991" s="3" t="s">
        <v>2674</v>
      </c>
      <c r="F991" s="3">
        <f>COUNTIF(C991,PickedPlayers!D:D)</f>
        <v>0</v>
      </c>
      <c r="G991" s="3" t="str">
        <f t="shared" si="15"/>
        <v>Yes</v>
      </c>
    </row>
    <row r="992" spans="1:7" hidden="1" x14ac:dyDescent="0.25">
      <c r="A992" s="3" t="s">
        <v>558</v>
      </c>
      <c r="B992" s="3" t="s">
        <v>2249</v>
      </c>
      <c r="C992" s="3" t="s">
        <v>2250</v>
      </c>
      <c r="D992" s="3" t="s">
        <v>82</v>
      </c>
      <c r="E992" s="3" t="s">
        <v>2674</v>
      </c>
      <c r="F992" s="3">
        <f>COUNTIF(C992,PickedPlayers!D:D)</f>
        <v>0</v>
      </c>
      <c r="G992" s="3" t="str">
        <f t="shared" si="15"/>
        <v>Yes</v>
      </c>
    </row>
    <row r="993" spans="1:7" hidden="1" x14ac:dyDescent="0.25">
      <c r="A993" s="3" t="s">
        <v>558</v>
      </c>
      <c r="B993" s="3" t="s">
        <v>2247</v>
      </c>
      <c r="C993" s="3" t="s">
        <v>2248</v>
      </c>
      <c r="D993" s="3" t="s">
        <v>82</v>
      </c>
      <c r="E993" s="3" t="s">
        <v>2674</v>
      </c>
      <c r="F993" s="3">
        <f>COUNTIF(C993,PickedPlayers!D:D)</f>
        <v>0</v>
      </c>
      <c r="G993" s="3" t="str">
        <f t="shared" si="15"/>
        <v>Yes</v>
      </c>
    </row>
    <row r="994" spans="1:7" hidden="1" x14ac:dyDescent="0.25">
      <c r="A994" s="3" t="s">
        <v>558</v>
      </c>
      <c r="B994" s="3" t="s">
        <v>2255</v>
      </c>
      <c r="C994" s="3" t="s">
        <v>2256</v>
      </c>
      <c r="D994" s="3" t="s">
        <v>82</v>
      </c>
      <c r="E994" s="3" t="s">
        <v>2674</v>
      </c>
      <c r="F994" s="3">
        <f>COUNTIF(C994,PickedPlayers!D:D)</f>
        <v>0</v>
      </c>
      <c r="G994" s="3" t="str">
        <f t="shared" si="15"/>
        <v>Yes</v>
      </c>
    </row>
    <row r="995" spans="1:7" hidden="1" x14ac:dyDescent="0.25">
      <c r="A995" s="3" t="s">
        <v>558</v>
      </c>
      <c r="B995" s="3" t="s">
        <v>2245</v>
      </c>
      <c r="C995" s="3" t="s">
        <v>2246</v>
      </c>
      <c r="D995" s="3" t="s">
        <v>82</v>
      </c>
      <c r="E995" s="3" t="s">
        <v>2674</v>
      </c>
      <c r="F995" s="3">
        <f>COUNTIF(C995,PickedPlayers!D:D)</f>
        <v>0</v>
      </c>
      <c r="G995" s="3" t="str">
        <f t="shared" si="15"/>
        <v>Yes</v>
      </c>
    </row>
    <row r="996" spans="1:7" hidden="1" x14ac:dyDescent="0.25">
      <c r="A996" s="3" t="s">
        <v>558</v>
      </c>
      <c r="B996" s="3" t="s">
        <v>2257</v>
      </c>
      <c r="C996" s="3" t="s">
        <v>2258</v>
      </c>
      <c r="D996" s="3" t="s">
        <v>82</v>
      </c>
      <c r="E996" s="3" t="s">
        <v>2674</v>
      </c>
      <c r="F996" s="3">
        <f>COUNTIF(C996,PickedPlayers!D:D)</f>
        <v>0</v>
      </c>
      <c r="G996" s="3" t="str">
        <f t="shared" si="15"/>
        <v>Yes</v>
      </c>
    </row>
    <row r="997" spans="1:7" hidden="1" x14ac:dyDescent="0.25">
      <c r="A997" s="3" t="s">
        <v>558</v>
      </c>
      <c r="B997" s="3" t="s">
        <v>2259</v>
      </c>
      <c r="C997" s="3" t="s">
        <v>2260</v>
      </c>
      <c r="D997" s="3" t="s">
        <v>82</v>
      </c>
      <c r="E997" s="3" t="s">
        <v>2674</v>
      </c>
      <c r="F997" s="3">
        <f>COUNTIF(C997,PickedPlayers!D:D)</f>
        <v>0</v>
      </c>
      <c r="G997" s="3" t="str">
        <f t="shared" si="15"/>
        <v>Yes</v>
      </c>
    </row>
    <row r="998" spans="1:7" hidden="1" x14ac:dyDescent="0.25">
      <c r="A998" s="3" t="s">
        <v>558</v>
      </c>
      <c r="B998" s="3" t="s">
        <v>2243</v>
      </c>
      <c r="C998" s="3" t="s">
        <v>2244</v>
      </c>
      <c r="D998" s="3" t="s">
        <v>82</v>
      </c>
      <c r="E998" s="3" t="s">
        <v>2674</v>
      </c>
      <c r="F998" s="3">
        <f>COUNTIF(C998,PickedPlayers!D:D)</f>
        <v>0</v>
      </c>
      <c r="G998" s="3" t="str">
        <f t="shared" si="15"/>
        <v>Yes</v>
      </c>
    </row>
    <row r="999" spans="1:7" x14ac:dyDescent="0.25">
      <c r="A999" s="3" t="s">
        <v>577</v>
      </c>
      <c r="B999" s="3" t="s">
        <v>2269</v>
      </c>
      <c r="C999" s="3" t="s">
        <v>2270</v>
      </c>
      <c r="D999" s="3" t="s">
        <v>82</v>
      </c>
      <c r="E999" s="3" t="s">
        <v>2675</v>
      </c>
      <c r="F999" s="3">
        <f>COUNTIF(C999,PickedPlayers!D:D)</f>
        <v>0</v>
      </c>
      <c r="G999" s="3" t="str">
        <f t="shared" si="15"/>
        <v>Yes</v>
      </c>
    </row>
    <row r="1000" spans="1:7" x14ac:dyDescent="0.25">
      <c r="A1000" s="3" t="s">
        <v>577</v>
      </c>
      <c r="B1000" s="3" t="s">
        <v>2273</v>
      </c>
      <c r="C1000" s="3" t="s">
        <v>2274</v>
      </c>
      <c r="D1000" s="3" t="s">
        <v>82</v>
      </c>
      <c r="E1000" s="3" t="s">
        <v>2675</v>
      </c>
      <c r="F1000" s="3">
        <f>COUNTIF(C1000,PickedPlayers!D:D)</f>
        <v>0</v>
      </c>
      <c r="G1000" s="3" t="str">
        <f t="shared" si="15"/>
        <v>Yes</v>
      </c>
    </row>
    <row r="1001" spans="1:7" x14ac:dyDescent="0.25">
      <c r="A1001" s="3" t="s">
        <v>577</v>
      </c>
      <c r="B1001" s="3" t="s">
        <v>2267</v>
      </c>
      <c r="C1001" s="3" t="s">
        <v>2268</v>
      </c>
      <c r="D1001" s="3" t="s">
        <v>82</v>
      </c>
      <c r="E1001" s="3" t="s">
        <v>2675</v>
      </c>
      <c r="F1001" s="3">
        <f>COUNTIF(C1001,PickedPlayers!D:D)</f>
        <v>0</v>
      </c>
      <c r="G1001" s="3" t="str">
        <f t="shared" si="15"/>
        <v>Yes</v>
      </c>
    </row>
    <row r="1002" spans="1:7" x14ac:dyDescent="0.25">
      <c r="A1002" s="3" t="s">
        <v>577</v>
      </c>
      <c r="B1002" s="3" t="s">
        <v>2263</v>
      </c>
      <c r="C1002" s="3" t="s">
        <v>2264</v>
      </c>
      <c r="D1002" s="3" t="s">
        <v>82</v>
      </c>
      <c r="E1002" s="3" t="s">
        <v>2675</v>
      </c>
      <c r="F1002" s="3">
        <f>COUNTIF(C1002,PickedPlayers!D:D)</f>
        <v>0</v>
      </c>
      <c r="G1002" s="3" t="str">
        <f t="shared" si="15"/>
        <v>Yes</v>
      </c>
    </row>
    <row r="1003" spans="1:7" x14ac:dyDescent="0.25">
      <c r="A1003" s="3" t="s">
        <v>577</v>
      </c>
      <c r="B1003" s="3" t="s">
        <v>2271</v>
      </c>
      <c r="C1003" s="3" t="s">
        <v>2272</v>
      </c>
      <c r="D1003" s="3" t="s">
        <v>82</v>
      </c>
      <c r="E1003" s="3" t="s">
        <v>2675</v>
      </c>
      <c r="F1003" s="3">
        <f>COUNTIF(C1003,PickedPlayers!D:D)</f>
        <v>0</v>
      </c>
      <c r="G1003" s="3" t="str">
        <f t="shared" si="15"/>
        <v>Yes</v>
      </c>
    </row>
    <row r="1004" spans="1:7" x14ac:dyDescent="0.25">
      <c r="A1004" s="3" t="s">
        <v>577</v>
      </c>
      <c r="B1004" s="3" t="s">
        <v>2265</v>
      </c>
      <c r="C1004" s="3" t="s">
        <v>2266</v>
      </c>
      <c r="D1004" s="3" t="s">
        <v>82</v>
      </c>
      <c r="E1004" s="3" t="s">
        <v>2675</v>
      </c>
      <c r="F1004" s="3">
        <f>COUNTIF(C1004,PickedPlayers!D:D)</f>
        <v>0</v>
      </c>
      <c r="G1004" s="3" t="str">
        <f t="shared" si="15"/>
        <v>Yes</v>
      </c>
    </row>
    <row r="1005" spans="1:7" hidden="1" x14ac:dyDescent="0.25">
      <c r="A1005" s="3" t="s">
        <v>592</v>
      </c>
      <c r="B1005" s="3" t="s">
        <v>2285</v>
      </c>
      <c r="C1005" s="3" t="s">
        <v>2286</v>
      </c>
      <c r="D1005" s="3" t="s">
        <v>82</v>
      </c>
      <c r="E1005" s="3" t="s">
        <v>2677</v>
      </c>
      <c r="F1005" s="3">
        <f>COUNTIF(C1005,PickedPlayers!D:D)</f>
        <v>0</v>
      </c>
      <c r="G1005" s="3" t="str">
        <f t="shared" si="15"/>
        <v>Yes</v>
      </c>
    </row>
    <row r="1006" spans="1:7" hidden="1" x14ac:dyDescent="0.25">
      <c r="A1006" s="3" t="s">
        <v>592</v>
      </c>
      <c r="B1006" s="3" t="s">
        <v>2281</v>
      </c>
      <c r="C1006" s="3" t="s">
        <v>2282</v>
      </c>
      <c r="D1006" s="3" t="s">
        <v>82</v>
      </c>
      <c r="E1006" s="3" t="s">
        <v>2677</v>
      </c>
      <c r="F1006" s="3">
        <f>COUNTIF(C1006,PickedPlayers!D:D)</f>
        <v>0</v>
      </c>
      <c r="G1006" s="3" t="str">
        <f t="shared" si="15"/>
        <v>Yes</v>
      </c>
    </row>
    <row r="1007" spans="1:7" hidden="1" x14ac:dyDescent="0.25">
      <c r="A1007" s="3" t="s">
        <v>592</v>
      </c>
      <c r="B1007" s="3" t="s">
        <v>2283</v>
      </c>
      <c r="C1007" s="3" t="s">
        <v>2284</v>
      </c>
      <c r="D1007" s="3" t="s">
        <v>82</v>
      </c>
      <c r="E1007" s="3" t="s">
        <v>2677</v>
      </c>
      <c r="F1007" s="3">
        <f>COUNTIF(C1007,PickedPlayers!D:D)</f>
        <v>0</v>
      </c>
      <c r="G1007" s="3" t="str">
        <f t="shared" si="15"/>
        <v>Yes</v>
      </c>
    </row>
    <row r="1008" spans="1:7" hidden="1" x14ac:dyDescent="0.25">
      <c r="A1008" s="3" t="s">
        <v>592</v>
      </c>
      <c r="B1008" s="3" t="s">
        <v>2275</v>
      </c>
      <c r="C1008" s="3" t="s">
        <v>2276</v>
      </c>
      <c r="D1008" s="3" t="s">
        <v>82</v>
      </c>
      <c r="E1008" s="3" t="s">
        <v>2677</v>
      </c>
      <c r="F1008" s="3">
        <f>COUNTIF(C1008,PickedPlayers!D:D)</f>
        <v>0</v>
      </c>
      <c r="G1008" s="3" t="str">
        <f t="shared" si="15"/>
        <v>Yes</v>
      </c>
    </row>
    <row r="1009" spans="1:7" hidden="1" x14ac:dyDescent="0.25">
      <c r="A1009" s="3" t="s">
        <v>592</v>
      </c>
      <c r="B1009" s="3" t="s">
        <v>2287</v>
      </c>
      <c r="C1009" s="3" t="s">
        <v>527</v>
      </c>
      <c r="D1009" s="3" t="s">
        <v>82</v>
      </c>
      <c r="E1009" s="3" t="s">
        <v>2677</v>
      </c>
      <c r="F1009" s="3">
        <f>COUNTIF(C1009,PickedPlayers!D:D)</f>
        <v>0</v>
      </c>
      <c r="G1009" s="3" t="str">
        <f t="shared" si="15"/>
        <v>Yes</v>
      </c>
    </row>
    <row r="1010" spans="1:7" hidden="1" x14ac:dyDescent="0.25">
      <c r="A1010" s="3" t="s">
        <v>592</v>
      </c>
      <c r="B1010" s="3" t="s">
        <v>2277</v>
      </c>
      <c r="C1010" s="3" t="s">
        <v>2278</v>
      </c>
      <c r="D1010" s="3" t="s">
        <v>82</v>
      </c>
      <c r="E1010" s="3" t="s">
        <v>2677</v>
      </c>
      <c r="F1010" s="3">
        <f>COUNTIF(C1010,PickedPlayers!D:D)</f>
        <v>0</v>
      </c>
      <c r="G1010" s="3" t="str">
        <f t="shared" si="15"/>
        <v>Yes</v>
      </c>
    </row>
    <row r="1011" spans="1:7" hidden="1" x14ac:dyDescent="0.25">
      <c r="A1011" s="3" t="s">
        <v>592</v>
      </c>
      <c r="B1011" s="3" t="s">
        <v>2279</v>
      </c>
      <c r="C1011" s="3" t="s">
        <v>2280</v>
      </c>
      <c r="D1011" s="3" t="s">
        <v>82</v>
      </c>
      <c r="E1011" s="3" t="s">
        <v>2677</v>
      </c>
      <c r="F1011" s="3">
        <f>COUNTIF(C1011,PickedPlayers!D:D)</f>
        <v>0</v>
      </c>
      <c r="G1011" s="3" t="str">
        <f t="shared" si="15"/>
        <v>Yes</v>
      </c>
    </row>
    <row r="1012" spans="1:7" hidden="1" x14ac:dyDescent="0.25">
      <c r="A1012" s="3" t="s">
        <v>551</v>
      </c>
      <c r="B1012" s="3" t="s">
        <v>1695</v>
      </c>
      <c r="C1012" s="3" t="s">
        <v>1695</v>
      </c>
      <c r="D1012" s="3" t="s">
        <v>2697</v>
      </c>
      <c r="E1012" s="3" t="s">
        <v>2673</v>
      </c>
      <c r="F1012" s="3">
        <f>COUNTIF(C1012,PickedPlayers!D:D)</f>
        <v>0</v>
      </c>
      <c r="G1012" s="3" t="str">
        <f t="shared" si="15"/>
        <v>Yes</v>
      </c>
    </row>
    <row r="1013" spans="1:7" hidden="1" x14ac:dyDescent="0.25">
      <c r="A1013" s="3" t="s">
        <v>551</v>
      </c>
      <c r="B1013" s="3" t="s">
        <v>1694</v>
      </c>
      <c r="C1013" s="3" t="s">
        <v>1694</v>
      </c>
      <c r="D1013" s="3" t="s">
        <v>2697</v>
      </c>
      <c r="E1013" s="3" t="s">
        <v>2673</v>
      </c>
      <c r="F1013" s="3">
        <f>COUNTIF(C1013,PickedPlayers!D:D)</f>
        <v>0</v>
      </c>
      <c r="G1013" s="3" t="str">
        <f t="shared" si="15"/>
        <v>Yes</v>
      </c>
    </row>
    <row r="1014" spans="1:7" hidden="1" x14ac:dyDescent="0.25">
      <c r="A1014" s="3" t="s">
        <v>551</v>
      </c>
      <c r="B1014" s="3" t="s">
        <v>1696</v>
      </c>
      <c r="C1014" s="3" t="s">
        <v>1696</v>
      </c>
      <c r="D1014" s="3" t="s">
        <v>2697</v>
      </c>
      <c r="E1014" s="3" t="s">
        <v>2673</v>
      </c>
      <c r="F1014" s="3">
        <f>COUNTIF(C1014,PickedPlayers!D:D)</f>
        <v>0</v>
      </c>
      <c r="G1014" s="3" t="str">
        <f t="shared" si="15"/>
        <v>Yes</v>
      </c>
    </row>
    <row r="1015" spans="1:7" hidden="1" x14ac:dyDescent="0.25">
      <c r="A1015" s="3" t="s">
        <v>558</v>
      </c>
      <c r="B1015" s="3" t="s">
        <v>1700</v>
      </c>
      <c r="C1015" s="3" t="s">
        <v>1700</v>
      </c>
      <c r="D1015" s="3" t="s">
        <v>2697</v>
      </c>
      <c r="E1015" s="3" t="s">
        <v>2674</v>
      </c>
      <c r="F1015" s="3">
        <f>COUNTIF(C1015,PickedPlayers!D:D)</f>
        <v>0</v>
      </c>
      <c r="G1015" s="3" t="str">
        <f t="shared" si="15"/>
        <v>Yes</v>
      </c>
    </row>
    <row r="1016" spans="1:7" hidden="1" x14ac:dyDescent="0.25">
      <c r="A1016" s="3" t="s">
        <v>558</v>
      </c>
      <c r="B1016" s="3" t="s">
        <v>473</v>
      </c>
      <c r="C1016" s="3" t="s">
        <v>473</v>
      </c>
      <c r="D1016" s="3" t="s">
        <v>2697</v>
      </c>
      <c r="E1016" s="3" t="s">
        <v>2674</v>
      </c>
      <c r="F1016" s="3">
        <f>COUNTIF(C1016,PickedPlayers!D:D)</f>
        <v>0</v>
      </c>
      <c r="G1016" s="3" t="str">
        <f t="shared" si="15"/>
        <v>Yes</v>
      </c>
    </row>
    <row r="1017" spans="1:7" hidden="1" x14ac:dyDescent="0.25">
      <c r="A1017" s="3" t="s">
        <v>558</v>
      </c>
      <c r="B1017" s="3" t="s">
        <v>1701</v>
      </c>
      <c r="C1017" s="3" t="s">
        <v>1701</v>
      </c>
      <c r="D1017" s="3" t="s">
        <v>2697</v>
      </c>
      <c r="E1017" s="3" t="s">
        <v>2674</v>
      </c>
      <c r="F1017" s="3">
        <f>COUNTIF(C1017,PickedPlayers!D:D)</f>
        <v>0</v>
      </c>
      <c r="G1017" s="3" t="str">
        <f t="shared" si="15"/>
        <v>Yes</v>
      </c>
    </row>
    <row r="1018" spans="1:7" hidden="1" x14ac:dyDescent="0.25">
      <c r="A1018" s="3" t="s">
        <v>558</v>
      </c>
      <c r="B1018" s="3" t="s">
        <v>1702</v>
      </c>
      <c r="C1018" s="3" t="s">
        <v>1702</v>
      </c>
      <c r="D1018" s="3" t="s">
        <v>2697</v>
      </c>
      <c r="E1018" s="3" t="s">
        <v>2674</v>
      </c>
      <c r="F1018" s="3">
        <f>COUNTIF(C1018,PickedPlayers!D:D)</f>
        <v>0</v>
      </c>
      <c r="G1018" s="3" t="str">
        <f t="shared" si="15"/>
        <v>Yes</v>
      </c>
    </row>
    <row r="1019" spans="1:7" hidden="1" x14ac:dyDescent="0.25">
      <c r="A1019" s="3" t="s">
        <v>558</v>
      </c>
      <c r="B1019" s="3" t="s">
        <v>1699</v>
      </c>
      <c r="C1019" s="3" t="s">
        <v>1699</v>
      </c>
      <c r="D1019" s="3" t="s">
        <v>2697</v>
      </c>
      <c r="E1019" s="3" t="s">
        <v>2674</v>
      </c>
      <c r="F1019" s="3">
        <f>COUNTIF(C1019,PickedPlayers!D:D)</f>
        <v>0</v>
      </c>
      <c r="G1019" s="3" t="str">
        <f t="shared" si="15"/>
        <v>Yes</v>
      </c>
    </row>
    <row r="1020" spans="1:7" hidden="1" x14ac:dyDescent="0.25">
      <c r="A1020" s="3" t="s">
        <v>558</v>
      </c>
      <c r="B1020" s="3" t="s">
        <v>1697</v>
      </c>
      <c r="C1020" s="3" t="s">
        <v>1697</v>
      </c>
      <c r="D1020" s="3" t="s">
        <v>2697</v>
      </c>
      <c r="E1020" s="3" t="s">
        <v>2674</v>
      </c>
      <c r="F1020" s="3">
        <f>COUNTIF(C1020,PickedPlayers!D:D)</f>
        <v>0</v>
      </c>
      <c r="G1020" s="3" t="str">
        <f t="shared" si="15"/>
        <v>Yes</v>
      </c>
    </row>
    <row r="1021" spans="1:7" hidden="1" x14ac:dyDescent="0.25">
      <c r="A1021" s="3" t="s">
        <v>558</v>
      </c>
      <c r="B1021" s="3" t="s">
        <v>1698</v>
      </c>
      <c r="C1021" s="3" t="s">
        <v>1698</v>
      </c>
      <c r="D1021" s="3" t="s">
        <v>2697</v>
      </c>
      <c r="E1021" s="3" t="s">
        <v>2674</v>
      </c>
      <c r="F1021" s="3">
        <f>COUNTIF(C1021,PickedPlayers!D:D)</f>
        <v>0</v>
      </c>
      <c r="G1021" s="3" t="str">
        <f t="shared" si="15"/>
        <v>Yes</v>
      </c>
    </row>
    <row r="1022" spans="1:7" hidden="1" x14ac:dyDescent="0.25">
      <c r="A1022" s="3" t="s">
        <v>558</v>
      </c>
      <c r="B1022" s="3" t="s">
        <v>1703</v>
      </c>
      <c r="C1022" s="3" t="s">
        <v>1703</v>
      </c>
      <c r="D1022" s="3" t="s">
        <v>2697</v>
      </c>
      <c r="E1022" s="3" t="s">
        <v>2674</v>
      </c>
      <c r="F1022" s="3">
        <f>COUNTIF(C1022,PickedPlayers!D:D)</f>
        <v>0</v>
      </c>
      <c r="G1022" s="3" t="str">
        <f t="shared" si="15"/>
        <v>Yes</v>
      </c>
    </row>
    <row r="1023" spans="1:7" hidden="1" x14ac:dyDescent="0.25">
      <c r="A1023" s="3" t="s">
        <v>577</v>
      </c>
      <c r="B1023" s="3" t="s">
        <v>1713</v>
      </c>
      <c r="C1023" s="3" t="s">
        <v>1713</v>
      </c>
      <c r="D1023" s="3" t="s">
        <v>2697</v>
      </c>
      <c r="E1023" s="3" t="s">
        <v>2675</v>
      </c>
      <c r="F1023" s="3">
        <f>COUNTIF(C1023,PickedPlayers!D:D)</f>
        <v>0</v>
      </c>
      <c r="G1023" s="3" t="str">
        <f t="shared" si="15"/>
        <v>Yes</v>
      </c>
    </row>
    <row r="1024" spans="1:7" hidden="1" x14ac:dyDescent="0.25">
      <c r="A1024" s="3" t="s">
        <v>577</v>
      </c>
      <c r="B1024" s="3" t="s">
        <v>1704</v>
      </c>
      <c r="C1024" s="3" t="s">
        <v>1704</v>
      </c>
      <c r="D1024" s="3" t="s">
        <v>2697</v>
      </c>
      <c r="E1024" s="3" t="s">
        <v>2675</v>
      </c>
      <c r="F1024" s="3">
        <f>COUNTIF(C1024,PickedPlayers!D:D)</f>
        <v>0</v>
      </c>
      <c r="G1024" s="3" t="str">
        <f t="shared" si="15"/>
        <v>Yes</v>
      </c>
    </row>
    <row r="1025" spans="1:7" hidden="1" x14ac:dyDescent="0.25">
      <c r="A1025" s="3" t="s">
        <v>577</v>
      </c>
      <c r="B1025" s="3" t="s">
        <v>1707</v>
      </c>
      <c r="C1025" s="3" t="s">
        <v>1708</v>
      </c>
      <c r="D1025" s="3" t="s">
        <v>2697</v>
      </c>
      <c r="E1025" s="3" t="s">
        <v>2675</v>
      </c>
      <c r="F1025" s="3">
        <f>COUNTIF(C1025,PickedPlayers!D:D)</f>
        <v>0</v>
      </c>
      <c r="G1025" s="3" t="str">
        <f t="shared" si="15"/>
        <v>Yes</v>
      </c>
    </row>
    <row r="1026" spans="1:7" hidden="1" x14ac:dyDescent="0.25">
      <c r="A1026" s="3" t="s">
        <v>577</v>
      </c>
      <c r="B1026" s="3" t="s">
        <v>1710</v>
      </c>
      <c r="C1026" s="3" t="s">
        <v>1710</v>
      </c>
      <c r="D1026" s="3" t="s">
        <v>2697</v>
      </c>
      <c r="E1026" s="3" t="s">
        <v>2675</v>
      </c>
      <c r="F1026" s="3">
        <f>COUNTIF(C1026,PickedPlayers!D:D)</f>
        <v>0</v>
      </c>
      <c r="G1026" s="3" t="str">
        <f t="shared" si="15"/>
        <v>Yes</v>
      </c>
    </row>
    <row r="1027" spans="1:7" hidden="1" x14ac:dyDescent="0.25">
      <c r="A1027" s="3" t="s">
        <v>577</v>
      </c>
      <c r="B1027" s="3" t="s">
        <v>1712</v>
      </c>
      <c r="C1027" s="3" t="s">
        <v>1712</v>
      </c>
      <c r="D1027" s="3" t="s">
        <v>2697</v>
      </c>
      <c r="E1027" s="3" t="s">
        <v>2675</v>
      </c>
      <c r="F1027" s="3">
        <f>COUNTIF(C1027,PickedPlayers!D:D)</f>
        <v>0</v>
      </c>
      <c r="G1027" s="3" t="str">
        <f t="shared" ref="G1027:G1090" si="16">IF(F1027&gt;0,"No","Yes")</f>
        <v>Yes</v>
      </c>
    </row>
    <row r="1028" spans="1:7" hidden="1" x14ac:dyDescent="0.25">
      <c r="A1028" s="3" t="s">
        <v>577</v>
      </c>
      <c r="B1028" s="3" t="s">
        <v>1709</v>
      </c>
      <c r="C1028" s="3" t="s">
        <v>1709</v>
      </c>
      <c r="D1028" s="3" t="s">
        <v>2697</v>
      </c>
      <c r="E1028" s="3" t="s">
        <v>2675</v>
      </c>
      <c r="F1028" s="3">
        <f>COUNTIF(C1028,PickedPlayers!D:D)</f>
        <v>0</v>
      </c>
      <c r="G1028" s="3" t="str">
        <f t="shared" si="16"/>
        <v>Yes</v>
      </c>
    </row>
    <row r="1029" spans="1:7" hidden="1" x14ac:dyDescent="0.25">
      <c r="A1029" s="3" t="s">
        <v>577</v>
      </c>
      <c r="B1029" s="3" t="s">
        <v>1705</v>
      </c>
      <c r="C1029" s="3" t="s">
        <v>1705</v>
      </c>
      <c r="D1029" s="3" t="s">
        <v>2697</v>
      </c>
      <c r="E1029" s="3" t="s">
        <v>2675</v>
      </c>
      <c r="F1029" s="3">
        <f>COUNTIF(C1029,PickedPlayers!D:D)</f>
        <v>0</v>
      </c>
      <c r="G1029" s="3" t="str">
        <f t="shared" si="16"/>
        <v>Yes</v>
      </c>
    </row>
    <row r="1030" spans="1:7" hidden="1" x14ac:dyDescent="0.25">
      <c r="A1030" s="3" t="s">
        <v>577</v>
      </c>
      <c r="B1030" s="3" t="s">
        <v>1706</v>
      </c>
      <c r="C1030" s="3" t="s">
        <v>1706</v>
      </c>
      <c r="D1030" s="3" t="s">
        <v>2697</v>
      </c>
      <c r="E1030" s="3" t="s">
        <v>2675</v>
      </c>
      <c r="F1030" s="3">
        <f>COUNTIF(C1030,PickedPlayers!D:D)</f>
        <v>0</v>
      </c>
      <c r="G1030" s="3" t="str">
        <f t="shared" si="16"/>
        <v>Yes</v>
      </c>
    </row>
    <row r="1031" spans="1:7" hidden="1" x14ac:dyDescent="0.25">
      <c r="A1031" s="3" t="s">
        <v>577</v>
      </c>
      <c r="B1031" s="3" t="s">
        <v>1711</v>
      </c>
      <c r="C1031" s="3" t="s">
        <v>1711</v>
      </c>
      <c r="D1031" s="3" t="s">
        <v>2697</v>
      </c>
      <c r="E1031" s="3" t="s">
        <v>2675</v>
      </c>
      <c r="F1031" s="3">
        <f>COUNTIF(C1031,PickedPlayers!D:D)</f>
        <v>0</v>
      </c>
      <c r="G1031" s="3" t="str">
        <f t="shared" si="16"/>
        <v>Yes</v>
      </c>
    </row>
    <row r="1032" spans="1:7" hidden="1" x14ac:dyDescent="0.25">
      <c r="A1032" s="3" t="s">
        <v>592</v>
      </c>
      <c r="B1032" s="3" t="s">
        <v>1715</v>
      </c>
      <c r="C1032" s="3" t="s">
        <v>1715</v>
      </c>
      <c r="D1032" s="3" t="s">
        <v>2697</v>
      </c>
      <c r="E1032" s="3" t="s">
        <v>2677</v>
      </c>
      <c r="F1032" s="3">
        <f>COUNTIF(C1032,PickedPlayers!D:D)</f>
        <v>0</v>
      </c>
      <c r="G1032" s="3" t="str">
        <f t="shared" si="16"/>
        <v>Yes</v>
      </c>
    </row>
    <row r="1033" spans="1:7" hidden="1" x14ac:dyDescent="0.25">
      <c r="A1033" s="3" t="s">
        <v>592</v>
      </c>
      <c r="B1033" s="3" t="s">
        <v>1718</v>
      </c>
      <c r="C1033" s="3" t="s">
        <v>1718</v>
      </c>
      <c r="D1033" s="3" t="s">
        <v>2697</v>
      </c>
      <c r="E1033" s="3" t="s">
        <v>2677</v>
      </c>
      <c r="F1033" s="3">
        <f>COUNTIF(C1033,PickedPlayers!D:D)</f>
        <v>0</v>
      </c>
      <c r="G1033" s="3" t="str">
        <f t="shared" si="16"/>
        <v>Yes</v>
      </c>
    </row>
    <row r="1034" spans="1:7" hidden="1" x14ac:dyDescent="0.25">
      <c r="A1034" s="3" t="s">
        <v>592</v>
      </c>
      <c r="B1034" s="3" t="s">
        <v>1717</v>
      </c>
      <c r="C1034" s="3" t="s">
        <v>1717</v>
      </c>
      <c r="D1034" s="3" t="s">
        <v>2697</v>
      </c>
      <c r="E1034" s="3" t="s">
        <v>2677</v>
      </c>
      <c r="F1034" s="3">
        <f>COUNTIF(C1034,PickedPlayers!D:D)</f>
        <v>0</v>
      </c>
      <c r="G1034" s="3" t="str">
        <f t="shared" si="16"/>
        <v>Yes</v>
      </c>
    </row>
    <row r="1035" spans="1:7" hidden="1" x14ac:dyDescent="0.25">
      <c r="A1035" s="3" t="s">
        <v>592</v>
      </c>
      <c r="B1035" s="3" t="s">
        <v>1714</v>
      </c>
      <c r="C1035" s="3" t="s">
        <v>1714</v>
      </c>
      <c r="D1035" s="3" t="s">
        <v>2697</v>
      </c>
      <c r="E1035" s="3" t="s">
        <v>2677</v>
      </c>
      <c r="F1035" s="3">
        <f>COUNTIF(C1035,PickedPlayers!D:D)</f>
        <v>0</v>
      </c>
      <c r="G1035" s="3" t="str">
        <f t="shared" si="16"/>
        <v>Yes</v>
      </c>
    </row>
    <row r="1036" spans="1:7" hidden="1" x14ac:dyDescent="0.25">
      <c r="A1036" s="3" t="s">
        <v>592</v>
      </c>
      <c r="B1036" s="3" t="s">
        <v>440</v>
      </c>
      <c r="C1036" s="3" t="s">
        <v>440</v>
      </c>
      <c r="D1036" s="3" t="s">
        <v>2697</v>
      </c>
      <c r="E1036" s="3" t="s">
        <v>2677</v>
      </c>
      <c r="F1036" s="3">
        <f>COUNTIF(C1036,PickedPlayers!D:D)</f>
        <v>0</v>
      </c>
      <c r="G1036" s="3" t="str">
        <f t="shared" si="16"/>
        <v>Yes</v>
      </c>
    </row>
    <row r="1037" spans="1:7" hidden="1" x14ac:dyDescent="0.25">
      <c r="A1037" s="3" t="s">
        <v>592</v>
      </c>
      <c r="B1037" s="3" t="s">
        <v>1716</v>
      </c>
      <c r="C1037" s="3" t="s">
        <v>1716</v>
      </c>
      <c r="D1037" s="3" t="s">
        <v>2697</v>
      </c>
      <c r="E1037" s="3" t="s">
        <v>2677</v>
      </c>
      <c r="F1037" s="3">
        <f>COUNTIF(C1037,PickedPlayers!D:D)</f>
        <v>0</v>
      </c>
      <c r="G1037" s="3" t="str">
        <f t="shared" si="16"/>
        <v>Yes</v>
      </c>
    </row>
    <row r="1038" spans="1:7" hidden="1" x14ac:dyDescent="0.25">
      <c r="A1038" s="3" t="s">
        <v>551</v>
      </c>
      <c r="B1038" s="3" t="s">
        <v>2288</v>
      </c>
      <c r="C1038" s="3" t="s">
        <v>529</v>
      </c>
      <c r="D1038" s="3" t="s">
        <v>123</v>
      </c>
      <c r="E1038" s="3" t="s">
        <v>2673</v>
      </c>
      <c r="F1038" s="3">
        <f>COUNTIF(C1038,PickedPlayers!D:D)</f>
        <v>0</v>
      </c>
      <c r="G1038" s="3" t="str">
        <f t="shared" si="16"/>
        <v>Yes</v>
      </c>
    </row>
    <row r="1039" spans="1:7" hidden="1" x14ac:dyDescent="0.25">
      <c r="A1039" s="3" t="s">
        <v>551</v>
      </c>
      <c r="B1039" s="3" t="s">
        <v>2290</v>
      </c>
      <c r="C1039" s="3" t="s">
        <v>2290</v>
      </c>
      <c r="D1039" s="3" t="s">
        <v>123</v>
      </c>
      <c r="E1039" s="3" t="s">
        <v>2673</v>
      </c>
      <c r="F1039" s="3">
        <f>COUNTIF(C1039,PickedPlayers!D:D)</f>
        <v>0</v>
      </c>
      <c r="G1039" s="3" t="str">
        <f t="shared" si="16"/>
        <v>Yes</v>
      </c>
    </row>
    <row r="1040" spans="1:7" hidden="1" x14ac:dyDescent="0.25">
      <c r="A1040" s="3" t="s">
        <v>551</v>
      </c>
      <c r="B1040" s="3" t="s">
        <v>2289</v>
      </c>
      <c r="C1040" s="3" t="s">
        <v>352</v>
      </c>
      <c r="D1040" s="3" t="s">
        <v>123</v>
      </c>
      <c r="E1040" s="3" t="s">
        <v>2673</v>
      </c>
      <c r="F1040" s="3">
        <f>COUNTIF(C1040,PickedPlayers!D:D)</f>
        <v>0</v>
      </c>
      <c r="G1040" s="3" t="str">
        <f t="shared" si="16"/>
        <v>Yes</v>
      </c>
    </row>
    <row r="1041" spans="1:7" hidden="1" x14ac:dyDescent="0.25">
      <c r="A1041" s="3" t="s">
        <v>558</v>
      </c>
      <c r="B1041" s="3" t="s">
        <v>2294</v>
      </c>
      <c r="C1041" s="3" t="s">
        <v>398</v>
      </c>
      <c r="D1041" s="3" t="s">
        <v>123</v>
      </c>
      <c r="E1041" s="3" t="s">
        <v>2674</v>
      </c>
      <c r="F1041" s="3">
        <f>COUNTIF(C1041,PickedPlayers!D:D)</f>
        <v>0</v>
      </c>
      <c r="G1041" s="3" t="str">
        <f t="shared" si="16"/>
        <v>Yes</v>
      </c>
    </row>
    <row r="1042" spans="1:7" hidden="1" x14ac:dyDescent="0.25">
      <c r="A1042" s="3" t="s">
        <v>558</v>
      </c>
      <c r="B1042" s="3" t="s">
        <v>2293</v>
      </c>
      <c r="C1042" s="3" t="s">
        <v>378</v>
      </c>
      <c r="D1042" s="3" t="s">
        <v>123</v>
      </c>
      <c r="E1042" s="3" t="s">
        <v>2674</v>
      </c>
      <c r="F1042" s="3">
        <f>COUNTIF(C1042,PickedPlayers!D:D)</f>
        <v>0</v>
      </c>
      <c r="G1042" s="3" t="str">
        <f t="shared" si="16"/>
        <v>Yes</v>
      </c>
    </row>
    <row r="1043" spans="1:7" hidden="1" x14ac:dyDescent="0.25">
      <c r="A1043" s="3" t="s">
        <v>558</v>
      </c>
      <c r="B1043" s="3" t="s">
        <v>2296</v>
      </c>
      <c r="C1043" s="3" t="s">
        <v>2296</v>
      </c>
      <c r="D1043" s="3" t="s">
        <v>123</v>
      </c>
      <c r="E1043" s="3" t="s">
        <v>2674</v>
      </c>
      <c r="F1043" s="3">
        <f>COUNTIF(C1043,PickedPlayers!D:D)</f>
        <v>0</v>
      </c>
      <c r="G1043" s="3" t="str">
        <f t="shared" si="16"/>
        <v>Yes</v>
      </c>
    </row>
    <row r="1044" spans="1:7" hidden="1" x14ac:dyDescent="0.25">
      <c r="A1044" s="3" t="s">
        <v>558</v>
      </c>
      <c r="B1044" s="3" t="s">
        <v>2297</v>
      </c>
      <c r="C1044" s="3" t="s">
        <v>370</v>
      </c>
      <c r="D1044" s="3" t="s">
        <v>123</v>
      </c>
      <c r="E1044" s="3" t="s">
        <v>2674</v>
      </c>
      <c r="F1044" s="3">
        <f>COUNTIF(C1044,PickedPlayers!D:D)</f>
        <v>0</v>
      </c>
      <c r="G1044" s="3" t="str">
        <f t="shared" si="16"/>
        <v>Yes</v>
      </c>
    </row>
    <row r="1045" spans="1:7" hidden="1" x14ac:dyDescent="0.25">
      <c r="A1045" s="3" t="s">
        <v>558</v>
      </c>
      <c r="B1045" s="3" t="s">
        <v>2291</v>
      </c>
      <c r="C1045" s="3" t="s">
        <v>2292</v>
      </c>
      <c r="D1045" s="3" t="s">
        <v>123</v>
      </c>
      <c r="E1045" s="3" t="s">
        <v>2674</v>
      </c>
      <c r="F1045" s="3">
        <f>COUNTIF(C1045,PickedPlayers!D:D)</f>
        <v>0</v>
      </c>
      <c r="G1045" s="3" t="str">
        <f t="shared" si="16"/>
        <v>Yes</v>
      </c>
    </row>
    <row r="1046" spans="1:7" hidden="1" x14ac:dyDescent="0.25">
      <c r="A1046" s="3" t="s">
        <v>558</v>
      </c>
      <c r="B1046" s="3" t="s">
        <v>2295</v>
      </c>
      <c r="C1046" s="3" t="s">
        <v>469</v>
      </c>
      <c r="D1046" s="3" t="s">
        <v>123</v>
      </c>
      <c r="E1046" s="3" t="s">
        <v>2674</v>
      </c>
      <c r="F1046" s="3">
        <f>COUNTIF(C1046,PickedPlayers!D:D)</f>
        <v>0</v>
      </c>
      <c r="G1046" s="3" t="str">
        <f t="shared" si="16"/>
        <v>Yes</v>
      </c>
    </row>
    <row r="1047" spans="1:7" hidden="1" x14ac:dyDescent="0.25">
      <c r="A1047" s="3" t="s">
        <v>558</v>
      </c>
      <c r="B1047" s="3" t="s">
        <v>2298</v>
      </c>
      <c r="C1047" s="3" t="s">
        <v>402</v>
      </c>
      <c r="D1047" s="3" t="s">
        <v>123</v>
      </c>
      <c r="E1047" s="3" t="s">
        <v>2674</v>
      </c>
      <c r="F1047" s="3">
        <f>COUNTIF(C1047,PickedPlayers!D:D)</f>
        <v>0</v>
      </c>
      <c r="G1047" s="3" t="str">
        <f t="shared" si="16"/>
        <v>Yes</v>
      </c>
    </row>
    <row r="1048" spans="1:7" x14ac:dyDescent="0.25">
      <c r="A1048" s="3" t="s">
        <v>577</v>
      </c>
      <c r="B1048" s="3" t="s">
        <v>2304</v>
      </c>
      <c r="C1048" s="3" t="s">
        <v>2305</v>
      </c>
      <c r="D1048" s="3" t="s">
        <v>123</v>
      </c>
      <c r="E1048" s="3" t="s">
        <v>2675</v>
      </c>
      <c r="F1048" s="3">
        <f>COUNTIF(C1048,PickedPlayers!D:D)</f>
        <v>0</v>
      </c>
      <c r="G1048" s="3" t="str">
        <f t="shared" si="16"/>
        <v>Yes</v>
      </c>
    </row>
    <row r="1049" spans="1:7" x14ac:dyDescent="0.25">
      <c r="A1049" s="3" t="s">
        <v>577</v>
      </c>
      <c r="B1049" s="3" t="s">
        <v>2310</v>
      </c>
      <c r="C1049" s="3" t="s">
        <v>519</v>
      </c>
      <c r="D1049" s="3" t="s">
        <v>123</v>
      </c>
      <c r="E1049" s="3" t="s">
        <v>2675</v>
      </c>
      <c r="F1049" s="3">
        <f>COUNTIF(C1049,PickedPlayers!D:D)</f>
        <v>0</v>
      </c>
      <c r="G1049" s="3" t="str">
        <f t="shared" si="16"/>
        <v>Yes</v>
      </c>
    </row>
    <row r="1050" spans="1:7" x14ac:dyDescent="0.25">
      <c r="A1050" s="3" t="s">
        <v>577</v>
      </c>
      <c r="B1050" s="3" t="s">
        <v>2306</v>
      </c>
      <c r="C1050" s="3" t="s">
        <v>481</v>
      </c>
      <c r="D1050" s="3" t="s">
        <v>123</v>
      </c>
      <c r="E1050" s="3" t="s">
        <v>2675</v>
      </c>
      <c r="F1050" s="3">
        <f>COUNTIF(C1050,PickedPlayers!D:D)</f>
        <v>0</v>
      </c>
      <c r="G1050" s="3" t="str">
        <f t="shared" si="16"/>
        <v>Yes</v>
      </c>
    </row>
    <row r="1051" spans="1:7" x14ac:dyDescent="0.25">
      <c r="A1051" s="3" t="s">
        <v>577</v>
      </c>
      <c r="B1051" s="3" t="s">
        <v>2307</v>
      </c>
      <c r="C1051" s="3" t="s">
        <v>2307</v>
      </c>
      <c r="D1051" s="3" t="s">
        <v>123</v>
      </c>
      <c r="E1051" s="3" t="s">
        <v>2675</v>
      </c>
      <c r="F1051" s="3">
        <f>COUNTIF(C1051,PickedPlayers!D:D)</f>
        <v>0</v>
      </c>
      <c r="G1051" s="3" t="str">
        <f t="shared" si="16"/>
        <v>Yes</v>
      </c>
    </row>
    <row r="1052" spans="1:7" x14ac:dyDescent="0.25">
      <c r="A1052" s="3" t="s">
        <v>577</v>
      </c>
      <c r="B1052" s="3" t="s">
        <v>2299</v>
      </c>
      <c r="C1052" s="3" t="s">
        <v>406</v>
      </c>
      <c r="D1052" s="3" t="s">
        <v>123</v>
      </c>
      <c r="E1052" s="3" t="s">
        <v>2675</v>
      </c>
      <c r="F1052" s="3">
        <f>COUNTIF(C1052,PickedPlayers!D:D)</f>
        <v>0</v>
      </c>
      <c r="G1052" s="3" t="str">
        <f t="shared" si="16"/>
        <v>Yes</v>
      </c>
    </row>
    <row r="1053" spans="1:7" x14ac:dyDescent="0.25">
      <c r="A1053" s="3" t="s">
        <v>577</v>
      </c>
      <c r="B1053" s="3" t="s">
        <v>2308</v>
      </c>
      <c r="C1053" s="3" t="s">
        <v>2309</v>
      </c>
      <c r="D1053" s="3" t="s">
        <v>123</v>
      </c>
      <c r="E1053" s="3" t="s">
        <v>2675</v>
      </c>
      <c r="F1053" s="3">
        <f>COUNTIF(C1053,PickedPlayers!D:D)</f>
        <v>0</v>
      </c>
      <c r="G1053" s="3" t="str">
        <f t="shared" si="16"/>
        <v>Yes</v>
      </c>
    </row>
    <row r="1054" spans="1:7" x14ac:dyDescent="0.25">
      <c r="A1054" s="3" t="s">
        <v>577</v>
      </c>
      <c r="B1054" s="3" t="s">
        <v>2302</v>
      </c>
      <c r="C1054" s="3" t="s">
        <v>2303</v>
      </c>
      <c r="D1054" s="3" t="s">
        <v>123</v>
      </c>
      <c r="E1054" s="3" t="s">
        <v>2675</v>
      </c>
      <c r="F1054" s="3">
        <f>COUNTIF(C1054,PickedPlayers!D:D)</f>
        <v>0</v>
      </c>
      <c r="G1054" s="3" t="str">
        <f t="shared" si="16"/>
        <v>Yes</v>
      </c>
    </row>
    <row r="1055" spans="1:7" x14ac:dyDescent="0.25">
      <c r="A1055" s="3" t="s">
        <v>577</v>
      </c>
      <c r="B1055" s="3" t="s">
        <v>330</v>
      </c>
      <c r="C1055" s="3" t="s">
        <v>330</v>
      </c>
      <c r="D1055" s="3" t="s">
        <v>123</v>
      </c>
      <c r="E1055" s="3" t="s">
        <v>2675</v>
      </c>
      <c r="F1055" s="3">
        <f>COUNTIF(C1055,PickedPlayers!D:D)</f>
        <v>0</v>
      </c>
      <c r="G1055" s="3" t="str">
        <f t="shared" si="16"/>
        <v>Yes</v>
      </c>
    </row>
    <row r="1056" spans="1:7" x14ac:dyDescent="0.25">
      <c r="A1056" s="3" t="s">
        <v>577</v>
      </c>
      <c r="B1056" s="3" t="s">
        <v>384</v>
      </c>
      <c r="C1056" s="3" t="s">
        <v>384</v>
      </c>
      <c r="D1056" s="3" t="s">
        <v>123</v>
      </c>
      <c r="E1056" s="3" t="s">
        <v>2675</v>
      </c>
      <c r="F1056" s="3">
        <f>COUNTIF(C1056,PickedPlayers!D:D)</f>
        <v>0</v>
      </c>
      <c r="G1056" s="3" t="str">
        <f t="shared" si="16"/>
        <v>Yes</v>
      </c>
    </row>
    <row r="1057" spans="1:7" x14ac:dyDescent="0.25">
      <c r="A1057" s="3" t="s">
        <v>577</v>
      </c>
      <c r="B1057" s="3" t="s">
        <v>2300</v>
      </c>
      <c r="C1057" s="3" t="s">
        <v>2301</v>
      </c>
      <c r="D1057" s="3" t="s">
        <v>123</v>
      </c>
      <c r="E1057" s="3" t="s">
        <v>2675</v>
      </c>
      <c r="F1057" s="3">
        <f>COUNTIF(C1057,PickedPlayers!D:D)</f>
        <v>0</v>
      </c>
      <c r="G1057" s="3" t="str">
        <f t="shared" si="16"/>
        <v>Yes</v>
      </c>
    </row>
    <row r="1058" spans="1:7" hidden="1" x14ac:dyDescent="0.25">
      <c r="A1058" s="3" t="s">
        <v>592</v>
      </c>
      <c r="B1058" s="3" t="s">
        <v>2316</v>
      </c>
      <c r="C1058" s="3" t="s">
        <v>2317</v>
      </c>
      <c r="D1058" s="3" t="s">
        <v>123</v>
      </c>
      <c r="E1058" s="3" t="s">
        <v>2677</v>
      </c>
      <c r="F1058" s="3">
        <f>COUNTIF(C1058,PickedPlayers!D:D)</f>
        <v>0</v>
      </c>
      <c r="G1058" s="3" t="str">
        <f t="shared" si="16"/>
        <v>Yes</v>
      </c>
    </row>
    <row r="1059" spans="1:7" hidden="1" x14ac:dyDescent="0.25">
      <c r="A1059" s="3" t="s">
        <v>592</v>
      </c>
      <c r="B1059" s="3" t="s">
        <v>2311</v>
      </c>
      <c r="C1059" s="3" t="s">
        <v>491</v>
      </c>
      <c r="D1059" s="3" t="s">
        <v>123</v>
      </c>
      <c r="E1059" s="3" t="s">
        <v>2677</v>
      </c>
      <c r="F1059" s="3">
        <f>COUNTIF(C1059,PickedPlayers!D:D)</f>
        <v>0</v>
      </c>
      <c r="G1059" s="3" t="str">
        <f t="shared" si="16"/>
        <v>Yes</v>
      </c>
    </row>
    <row r="1060" spans="1:7" hidden="1" x14ac:dyDescent="0.25">
      <c r="A1060" s="3" t="s">
        <v>592</v>
      </c>
      <c r="B1060" s="3" t="s">
        <v>284</v>
      </c>
      <c r="C1060" s="3" t="s">
        <v>284</v>
      </c>
      <c r="D1060" s="3" t="s">
        <v>123</v>
      </c>
      <c r="E1060" s="3" t="s">
        <v>2677</v>
      </c>
      <c r="F1060" s="3">
        <f>COUNTIF(C1060,PickedPlayers!D:D)</f>
        <v>0</v>
      </c>
      <c r="G1060" s="3" t="str">
        <f t="shared" si="16"/>
        <v>Yes</v>
      </c>
    </row>
    <row r="1061" spans="1:7" hidden="1" x14ac:dyDescent="0.25">
      <c r="A1061" s="3" t="s">
        <v>592</v>
      </c>
      <c r="B1061" s="3" t="s">
        <v>2312</v>
      </c>
      <c r="C1061" s="3" t="s">
        <v>281</v>
      </c>
      <c r="D1061" s="3" t="s">
        <v>123</v>
      </c>
      <c r="E1061" s="3" t="s">
        <v>2677</v>
      </c>
      <c r="F1061" s="3">
        <f>COUNTIF(C1061,PickedPlayers!D:D)</f>
        <v>0</v>
      </c>
      <c r="G1061" s="3" t="str">
        <f t="shared" si="16"/>
        <v>Yes</v>
      </c>
    </row>
    <row r="1062" spans="1:7" hidden="1" x14ac:dyDescent="0.25">
      <c r="A1062" s="3" t="s">
        <v>592</v>
      </c>
      <c r="B1062" s="3" t="s">
        <v>2313</v>
      </c>
      <c r="C1062" s="3" t="s">
        <v>346</v>
      </c>
      <c r="D1062" s="3" t="s">
        <v>123</v>
      </c>
      <c r="E1062" s="3" t="s">
        <v>2677</v>
      </c>
      <c r="F1062" s="3">
        <f>COUNTIF(C1062,PickedPlayers!D:D)</f>
        <v>0</v>
      </c>
      <c r="G1062" s="3" t="str">
        <f t="shared" si="16"/>
        <v>Yes</v>
      </c>
    </row>
    <row r="1063" spans="1:7" hidden="1" x14ac:dyDescent="0.25">
      <c r="A1063" s="3" t="s">
        <v>592</v>
      </c>
      <c r="B1063" s="3" t="s">
        <v>2314</v>
      </c>
      <c r="C1063" s="3" t="s">
        <v>2315</v>
      </c>
      <c r="D1063" s="3" t="s">
        <v>123</v>
      </c>
      <c r="E1063" s="3" t="s">
        <v>2677</v>
      </c>
      <c r="F1063" s="3">
        <f>COUNTIF(C1063,PickedPlayers!D:D)</f>
        <v>0</v>
      </c>
      <c r="G1063" s="3" t="str">
        <f t="shared" si="16"/>
        <v>Yes</v>
      </c>
    </row>
    <row r="1064" spans="1:7" hidden="1" x14ac:dyDescent="0.25">
      <c r="A1064" s="3" t="s">
        <v>551</v>
      </c>
      <c r="B1064" s="3" t="s">
        <v>2318</v>
      </c>
      <c r="C1064" s="3" t="s">
        <v>2319</v>
      </c>
      <c r="D1064" s="3" t="s">
        <v>62</v>
      </c>
      <c r="E1064" s="3" t="s">
        <v>2673</v>
      </c>
      <c r="F1064" s="3">
        <f>COUNTIF(C1064,PickedPlayers!D:D)</f>
        <v>0</v>
      </c>
      <c r="G1064" s="3" t="str">
        <f t="shared" si="16"/>
        <v>Yes</v>
      </c>
    </row>
    <row r="1065" spans="1:7" hidden="1" x14ac:dyDescent="0.25">
      <c r="A1065" s="3" t="s">
        <v>551</v>
      </c>
      <c r="B1065" s="3" t="s">
        <v>2320</v>
      </c>
      <c r="C1065" s="3" t="s">
        <v>2321</v>
      </c>
      <c r="D1065" s="3" t="s">
        <v>62</v>
      </c>
      <c r="E1065" s="3" t="s">
        <v>2673</v>
      </c>
      <c r="F1065" s="3">
        <f>COUNTIF(C1065,PickedPlayers!D:D)</f>
        <v>0</v>
      </c>
      <c r="G1065" s="3" t="str">
        <f t="shared" si="16"/>
        <v>Yes</v>
      </c>
    </row>
    <row r="1066" spans="1:7" hidden="1" x14ac:dyDescent="0.25">
      <c r="A1066" s="3" t="s">
        <v>551</v>
      </c>
      <c r="B1066" s="3" t="s">
        <v>2322</v>
      </c>
      <c r="C1066" s="3" t="s">
        <v>2323</v>
      </c>
      <c r="D1066" s="3" t="s">
        <v>62</v>
      </c>
      <c r="E1066" s="3" t="s">
        <v>2673</v>
      </c>
      <c r="F1066" s="3">
        <f>COUNTIF(C1066,PickedPlayers!D:D)</f>
        <v>0</v>
      </c>
      <c r="G1066" s="3" t="str">
        <f t="shared" si="16"/>
        <v>Yes</v>
      </c>
    </row>
    <row r="1067" spans="1:7" hidden="1" x14ac:dyDescent="0.25">
      <c r="A1067" s="3" t="s">
        <v>558</v>
      </c>
      <c r="B1067" s="3" t="s">
        <v>2334</v>
      </c>
      <c r="C1067" s="3" t="s">
        <v>2335</v>
      </c>
      <c r="D1067" s="3" t="s">
        <v>62</v>
      </c>
      <c r="E1067" s="3" t="s">
        <v>2674</v>
      </c>
      <c r="F1067" s="3">
        <f>COUNTIF(C1067,PickedPlayers!D:D)</f>
        <v>0</v>
      </c>
      <c r="G1067" s="3" t="str">
        <f t="shared" si="16"/>
        <v>Yes</v>
      </c>
    </row>
    <row r="1068" spans="1:7" hidden="1" x14ac:dyDescent="0.25">
      <c r="A1068" s="3" t="s">
        <v>558</v>
      </c>
      <c r="B1068" s="3" t="s">
        <v>2326</v>
      </c>
      <c r="C1068" s="3" t="s">
        <v>2327</v>
      </c>
      <c r="D1068" s="3" t="s">
        <v>62</v>
      </c>
      <c r="E1068" s="3" t="s">
        <v>2674</v>
      </c>
      <c r="F1068" s="3">
        <f>COUNTIF(C1068,PickedPlayers!D:D)</f>
        <v>0</v>
      </c>
      <c r="G1068" s="3" t="str">
        <f t="shared" si="16"/>
        <v>Yes</v>
      </c>
    </row>
    <row r="1069" spans="1:7" hidden="1" x14ac:dyDescent="0.25">
      <c r="A1069" s="3" t="s">
        <v>558</v>
      </c>
      <c r="B1069" s="3" t="s">
        <v>2338</v>
      </c>
      <c r="C1069" s="3" t="s">
        <v>2339</v>
      </c>
      <c r="D1069" s="3" t="s">
        <v>62</v>
      </c>
      <c r="E1069" s="3" t="s">
        <v>2674</v>
      </c>
      <c r="F1069" s="3">
        <f>COUNTIF(C1069,PickedPlayers!D:D)</f>
        <v>0</v>
      </c>
      <c r="G1069" s="3" t="str">
        <f t="shared" si="16"/>
        <v>Yes</v>
      </c>
    </row>
    <row r="1070" spans="1:7" hidden="1" x14ac:dyDescent="0.25">
      <c r="A1070" s="3" t="s">
        <v>558</v>
      </c>
      <c r="B1070" s="3" t="s">
        <v>2336</v>
      </c>
      <c r="C1070" s="3" t="s">
        <v>2337</v>
      </c>
      <c r="D1070" s="3" t="s">
        <v>62</v>
      </c>
      <c r="E1070" s="3" t="s">
        <v>2674</v>
      </c>
      <c r="F1070" s="3">
        <f>COUNTIF(C1070,PickedPlayers!D:D)</f>
        <v>0</v>
      </c>
      <c r="G1070" s="3" t="str">
        <f t="shared" si="16"/>
        <v>Yes</v>
      </c>
    </row>
    <row r="1071" spans="1:7" hidden="1" x14ac:dyDescent="0.25">
      <c r="A1071" s="3" t="s">
        <v>558</v>
      </c>
      <c r="B1071" s="3" t="s">
        <v>2324</v>
      </c>
      <c r="C1071" s="3" t="s">
        <v>2325</v>
      </c>
      <c r="D1071" s="3" t="s">
        <v>62</v>
      </c>
      <c r="E1071" s="3" t="s">
        <v>2674</v>
      </c>
      <c r="F1071" s="3">
        <f>COUNTIF(C1071,PickedPlayers!D:D)</f>
        <v>0</v>
      </c>
      <c r="G1071" s="3" t="str">
        <f t="shared" si="16"/>
        <v>Yes</v>
      </c>
    </row>
    <row r="1072" spans="1:7" hidden="1" x14ac:dyDescent="0.25">
      <c r="A1072" s="3" t="s">
        <v>558</v>
      </c>
      <c r="B1072" s="3" t="s">
        <v>2330</v>
      </c>
      <c r="C1072" s="3" t="s">
        <v>2331</v>
      </c>
      <c r="D1072" s="3" t="s">
        <v>62</v>
      </c>
      <c r="E1072" s="3" t="s">
        <v>2674</v>
      </c>
      <c r="F1072" s="3">
        <f>COUNTIF(C1072,PickedPlayers!D:D)</f>
        <v>0</v>
      </c>
      <c r="G1072" s="3" t="str">
        <f t="shared" si="16"/>
        <v>Yes</v>
      </c>
    </row>
    <row r="1073" spans="1:7" hidden="1" x14ac:dyDescent="0.25">
      <c r="A1073" s="3" t="s">
        <v>558</v>
      </c>
      <c r="B1073" s="3" t="s">
        <v>2332</v>
      </c>
      <c r="C1073" s="3" t="s">
        <v>2333</v>
      </c>
      <c r="D1073" s="3" t="s">
        <v>62</v>
      </c>
      <c r="E1073" s="3" t="s">
        <v>2674</v>
      </c>
      <c r="F1073" s="3">
        <f>COUNTIF(C1073,PickedPlayers!D:D)</f>
        <v>0</v>
      </c>
      <c r="G1073" s="3" t="str">
        <f t="shared" si="16"/>
        <v>Yes</v>
      </c>
    </row>
    <row r="1074" spans="1:7" hidden="1" x14ac:dyDescent="0.25">
      <c r="A1074" s="3" t="s">
        <v>558</v>
      </c>
      <c r="B1074" s="3" t="s">
        <v>2328</v>
      </c>
      <c r="C1074" s="3" t="s">
        <v>2329</v>
      </c>
      <c r="D1074" s="3" t="s">
        <v>62</v>
      </c>
      <c r="E1074" s="3" t="s">
        <v>2674</v>
      </c>
      <c r="F1074" s="3">
        <f>COUNTIF(C1074,PickedPlayers!D:D)</f>
        <v>0</v>
      </c>
      <c r="G1074" s="3" t="str">
        <f t="shared" si="16"/>
        <v>Yes</v>
      </c>
    </row>
    <row r="1075" spans="1:7" x14ac:dyDescent="0.25">
      <c r="A1075" s="3" t="s">
        <v>577</v>
      </c>
      <c r="B1075" s="3" t="s">
        <v>2346</v>
      </c>
      <c r="C1075" s="3" t="s">
        <v>2347</v>
      </c>
      <c r="D1075" s="3" t="s">
        <v>62</v>
      </c>
      <c r="E1075" s="3" t="s">
        <v>2675</v>
      </c>
      <c r="F1075" s="3">
        <f>COUNTIF(C1075,PickedPlayers!D:D)</f>
        <v>0</v>
      </c>
      <c r="G1075" s="3" t="str">
        <f t="shared" si="16"/>
        <v>Yes</v>
      </c>
    </row>
    <row r="1076" spans="1:7" x14ac:dyDescent="0.25">
      <c r="A1076" s="3" t="s">
        <v>577</v>
      </c>
      <c r="B1076" s="3" t="s">
        <v>2350</v>
      </c>
      <c r="C1076" s="3" t="s">
        <v>2351</v>
      </c>
      <c r="D1076" s="3" t="s">
        <v>62</v>
      </c>
      <c r="E1076" s="3" t="s">
        <v>2675</v>
      </c>
      <c r="F1076" s="3">
        <f>COUNTIF(C1076,PickedPlayers!D:D)</f>
        <v>0</v>
      </c>
      <c r="G1076" s="3" t="str">
        <f t="shared" si="16"/>
        <v>Yes</v>
      </c>
    </row>
    <row r="1077" spans="1:7" x14ac:dyDescent="0.25">
      <c r="A1077" s="3" t="s">
        <v>577</v>
      </c>
      <c r="B1077" s="3" t="s">
        <v>2340</v>
      </c>
      <c r="C1077" s="3" t="s">
        <v>2341</v>
      </c>
      <c r="D1077" s="3" t="s">
        <v>62</v>
      </c>
      <c r="E1077" s="3" t="s">
        <v>2675</v>
      </c>
      <c r="F1077" s="3">
        <f>COUNTIF(C1077,PickedPlayers!D:D)</f>
        <v>0</v>
      </c>
      <c r="G1077" s="3" t="str">
        <f t="shared" si="16"/>
        <v>Yes</v>
      </c>
    </row>
    <row r="1078" spans="1:7" x14ac:dyDescent="0.25">
      <c r="A1078" s="3" t="s">
        <v>577</v>
      </c>
      <c r="B1078" s="3" t="s">
        <v>2352</v>
      </c>
      <c r="C1078" s="3" t="s">
        <v>2353</v>
      </c>
      <c r="D1078" s="3" t="s">
        <v>62</v>
      </c>
      <c r="E1078" s="3" t="s">
        <v>2675</v>
      </c>
      <c r="F1078" s="3">
        <f>COUNTIF(C1078,PickedPlayers!D:D)</f>
        <v>0</v>
      </c>
      <c r="G1078" s="3" t="str">
        <f t="shared" si="16"/>
        <v>Yes</v>
      </c>
    </row>
    <row r="1079" spans="1:7" x14ac:dyDescent="0.25">
      <c r="A1079" s="3" t="s">
        <v>577</v>
      </c>
      <c r="B1079" s="3" t="s">
        <v>2348</v>
      </c>
      <c r="C1079" s="3" t="s">
        <v>2349</v>
      </c>
      <c r="D1079" s="3" t="s">
        <v>62</v>
      </c>
      <c r="E1079" s="3" t="s">
        <v>2675</v>
      </c>
      <c r="F1079" s="3">
        <f>COUNTIF(C1079,PickedPlayers!D:D)</f>
        <v>0</v>
      </c>
      <c r="G1079" s="3" t="str">
        <f t="shared" si="16"/>
        <v>Yes</v>
      </c>
    </row>
    <row r="1080" spans="1:7" x14ac:dyDescent="0.25">
      <c r="A1080" s="3" t="s">
        <v>577</v>
      </c>
      <c r="B1080" s="3" t="s">
        <v>2344</v>
      </c>
      <c r="C1080" s="3" t="s">
        <v>2345</v>
      </c>
      <c r="D1080" s="3" t="s">
        <v>62</v>
      </c>
      <c r="E1080" s="3" t="s">
        <v>2675</v>
      </c>
      <c r="F1080" s="3">
        <f>COUNTIF(C1080,PickedPlayers!D:D)</f>
        <v>0</v>
      </c>
      <c r="G1080" s="3" t="str">
        <f t="shared" si="16"/>
        <v>Yes</v>
      </c>
    </row>
    <row r="1081" spans="1:7" x14ac:dyDescent="0.25">
      <c r="A1081" s="3" t="s">
        <v>577</v>
      </c>
      <c r="B1081" s="3" t="s">
        <v>2342</v>
      </c>
      <c r="C1081" s="3" t="s">
        <v>2343</v>
      </c>
      <c r="D1081" s="3" t="s">
        <v>62</v>
      </c>
      <c r="E1081" s="3" t="s">
        <v>2675</v>
      </c>
      <c r="F1081" s="3">
        <f>COUNTIF(C1081,PickedPlayers!D:D)</f>
        <v>0</v>
      </c>
      <c r="G1081" s="3" t="str">
        <f t="shared" si="16"/>
        <v>Yes</v>
      </c>
    </row>
    <row r="1082" spans="1:7" x14ac:dyDescent="0.25">
      <c r="A1082" s="3" t="s">
        <v>577</v>
      </c>
      <c r="B1082" s="3" t="s">
        <v>2354</v>
      </c>
      <c r="C1082" s="3" t="s">
        <v>2355</v>
      </c>
      <c r="D1082" s="3" t="s">
        <v>62</v>
      </c>
      <c r="E1082" s="3" t="s">
        <v>2675</v>
      </c>
      <c r="F1082" s="3">
        <f>COUNTIF(C1082,PickedPlayers!D:D)</f>
        <v>0</v>
      </c>
      <c r="G1082" s="3" t="str">
        <f t="shared" si="16"/>
        <v>Yes</v>
      </c>
    </row>
    <row r="1083" spans="1:7" x14ac:dyDescent="0.25">
      <c r="A1083" s="3" t="s">
        <v>577</v>
      </c>
      <c r="B1083" s="3" t="s">
        <v>2356</v>
      </c>
      <c r="C1083" s="3" t="s">
        <v>2357</v>
      </c>
      <c r="D1083" s="3" t="s">
        <v>62</v>
      </c>
      <c r="E1083" s="3" t="s">
        <v>2675</v>
      </c>
      <c r="F1083" s="3">
        <f>COUNTIF(C1083,PickedPlayers!D:D)</f>
        <v>0</v>
      </c>
      <c r="G1083" s="3" t="str">
        <f t="shared" si="16"/>
        <v>Yes</v>
      </c>
    </row>
    <row r="1084" spans="1:7" hidden="1" x14ac:dyDescent="0.25">
      <c r="A1084" s="3" t="s">
        <v>592</v>
      </c>
      <c r="B1084" s="3" t="s">
        <v>2362</v>
      </c>
      <c r="C1084" s="3" t="s">
        <v>2363</v>
      </c>
      <c r="D1084" s="3" t="s">
        <v>62</v>
      </c>
      <c r="E1084" s="3" t="s">
        <v>2677</v>
      </c>
      <c r="F1084" s="3">
        <f>COUNTIF(C1084,PickedPlayers!D:D)</f>
        <v>0</v>
      </c>
      <c r="G1084" s="3" t="str">
        <f t="shared" si="16"/>
        <v>Yes</v>
      </c>
    </row>
    <row r="1085" spans="1:7" hidden="1" x14ac:dyDescent="0.25">
      <c r="A1085" s="3" t="s">
        <v>592</v>
      </c>
      <c r="B1085" s="3" t="s">
        <v>2364</v>
      </c>
      <c r="C1085" s="3" t="s">
        <v>2365</v>
      </c>
      <c r="D1085" s="3" t="s">
        <v>62</v>
      </c>
      <c r="E1085" s="3" t="s">
        <v>2677</v>
      </c>
      <c r="F1085" s="3">
        <f>COUNTIF(C1085,PickedPlayers!D:D)</f>
        <v>0</v>
      </c>
      <c r="G1085" s="3" t="str">
        <f t="shared" si="16"/>
        <v>Yes</v>
      </c>
    </row>
    <row r="1086" spans="1:7" hidden="1" x14ac:dyDescent="0.25">
      <c r="A1086" s="3" t="s">
        <v>592</v>
      </c>
      <c r="B1086" s="3" t="s">
        <v>2358</v>
      </c>
      <c r="C1086" s="3" t="s">
        <v>503</v>
      </c>
      <c r="D1086" s="3" t="s">
        <v>62</v>
      </c>
      <c r="E1086" s="3" t="s">
        <v>2677</v>
      </c>
      <c r="F1086" s="3">
        <f>COUNTIF(C1086,PickedPlayers!D:D)</f>
        <v>0</v>
      </c>
      <c r="G1086" s="3" t="str">
        <f t="shared" si="16"/>
        <v>Yes</v>
      </c>
    </row>
    <row r="1087" spans="1:7" hidden="1" x14ac:dyDescent="0.25">
      <c r="A1087" s="3" t="s">
        <v>592</v>
      </c>
      <c r="B1087" s="3" t="s">
        <v>2360</v>
      </c>
      <c r="C1087" s="3" t="s">
        <v>2361</v>
      </c>
      <c r="D1087" s="3" t="s">
        <v>62</v>
      </c>
      <c r="E1087" s="3" t="s">
        <v>2677</v>
      </c>
      <c r="F1087" s="3">
        <f>COUNTIF(C1087,PickedPlayers!D:D)</f>
        <v>0</v>
      </c>
      <c r="G1087" s="3" t="str">
        <f t="shared" si="16"/>
        <v>Yes</v>
      </c>
    </row>
    <row r="1088" spans="1:7" hidden="1" x14ac:dyDescent="0.25">
      <c r="A1088" s="3" t="s">
        <v>592</v>
      </c>
      <c r="B1088" s="3" t="s">
        <v>2366</v>
      </c>
      <c r="C1088" s="3" t="s">
        <v>2367</v>
      </c>
      <c r="D1088" s="3" t="s">
        <v>62</v>
      </c>
      <c r="E1088" s="3" t="s">
        <v>2677</v>
      </c>
      <c r="F1088" s="3">
        <f>COUNTIF(C1088,PickedPlayers!D:D)</f>
        <v>0</v>
      </c>
      <c r="G1088" s="3" t="str">
        <f t="shared" si="16"/>
        <v>Yes</v>
      </c>
    </row>
    <row r="1089" spans="1:7" hidden="1" x14ac:dyDescent="0.25">
      <c r="A1089" s="3" t="s">
        <v>592</v>
      </c>
      <c r="B1089" s="3" t="s">
        <v>2359</v>
      </c>
      <c r="C1089" s="3" t="s">
        <v>392</v>
      </c>
      <c r="D1089" s="3" t="s">
        <v>62</v>
      </c>
      <c r="E1089" s="3" t="s">
        <v>2677</v>
      </c>
      <c r="F1089" s="3">
        <f>COUNTIF(C1089,PickedPlayers!D:D)</f>
        <v>0</v>
      </c>
      <c r="G1089" s="3" t="str">
        <f t="shared" si="16"/>
        <v>Yes</v>
      </c>
    </row>
    <row r="1090" spans="1:7" hidden="1" x14ac:dyDescent="0.25">
      <c r="A1090" s="3" t="s">
        <v>551</v>
      </c>
      <c r="B1090" s="3" t="s">
        <v>2368</v>
      </c>
      <c r="C1090" s="3" t="s">
        <v>507</v>
      </c>
      <c r="D1090" s="3" t="s">
        <v>165</v>
      </c>
      <c r="E1090" s="3" t="s">
        <v>2673</v>
      </c>
      <c r="F1090" s="3">
        <f>COUNTIF(C1090,PickedPlayers!D:D)</f>
        <v>0</v>
      </c>
      <c r="G1090" s="3" t="str">
        <f t="shared" si="16"/>
        <v>Yes</v>
      </c>
    </row>
    <row r="1091" spans="1:7" hidden="1" x14ac:dyDescent="0.25">
      <c r="A1091" s="3" t="s">
        <v>551</v>
      </c>
      <c r="B1091" s="3" t="s">
        <v>2369</v>
      </c>
      <c r="C1091" s="3" t="s">
        <v>2370</v>
      </c>
      <c r="D1091" s="3" t="s">
        <v>165</v>
      </c>
      <c r="E1091" s="3" t="s">
        <v>2673</v>
      </c>
      <c r="F1091" s="3">
        <f>COUNTIF(C1091,PickedPlayers!D:D)</f>
        <v>0</v>
      </c>
      <c r="G1091" s="3" t="str">
        <f t="shared" ref="G1091:G1154" si="17">IF(F1091&gt;0,"No","Yes")</f>
        <v>Yes</v>
      </c>
    </row>
    <row r="1092" spans="1:7" hidden="1" x14ac:dyDescent="0.25">
      <c r="A1092" s="3" t="s">
        <v>551</v>
      </c>
      <c r="B1092" s="3" t="s">
        <v>2371</v>
      </c>
      <c r="C1092" s="3" t="s">
        <v>2372</v>
      </c>
      <c r="D1092" s="3" t="s">
        <v>165</v>
      </c>
      <c r="E1092" s="3" t="s">
        <v>2673</v>
      </c>
      <c r="F1092" s="3">
        <f>COUNTIF(C1092,PickedPlayers!D:D)</f>
        <v>0</v>
      </c>
      <c r="G1092" s="3" t="str">
        <f t="shared" si="17"/>
        <v>Yes</v>
      </c>
    </row>
    <row r="1093" spans="1:7" hidden="1" x14ac:dyDescent="0.25">
      <c r="A1093" s="3" t="s">
        <v>558</v>
      </c>
      <c r="B1093" s="3" t="s">
        <v>2383</v>
      </c>
      <c r="C1093" s="3" t="s">
        <v>2384</v>
      </c>
      <c r="D1093" s="3" t="s">
        <v>165</v>
      </c>
      <c r="E1093" s="3" t="s">
        <v>2674</v>
      </c>
      <c r="F1093" s="3">
        <f>COUNTIF(C1093,PickedPlayers!D:D)</f>
        <v>0</v>
      </c>
      <c r="G1093" s="3" t="str">
        <f t="shared" si="17"/>
        <v>Yes</v>
      </c>
    </row>
    <row r="1094" spans="1:7" hidden="1" x14ac:dyDescent="0.25">
      <c r="A1094" s="3" t="s">
        <v>558</v>
      </c>
      <c r="B1094" s="3" t="s">
        <v>2379</v>
      </c>
      <c r="C1094" s="3" t="s">
        <v>2380</v>
      </c>
      <c r="D1094" s="3" t="s">
        <v>165</v>
      </c>
      <c r="E1094" s="3" t="s">
        <v>2674</v>
      </c>
      <c r="F1094" s="3">
        <f>COUNTIF(C1094,PickedPlayers!D:D)</f>
        <v>0</v>
      </c>
      <c r="G1094" s="3" t="str">
        <f t="shared" si="17"/>
        <v>Yes</v>
      </c>
    </row>
    <row r="1095" spans="1:7" hidden="1" x14ac:dyDescent="0.25">
      <c r="A1095" s="3" t="s">
        <v>558</v>
      </c>
      <c r="B1095" s="3" t="s">
        <v>2387</v>
      </c>
      <c r="C1095" s="3" t="s">
        <v>2388</v>
      </c>
      <c r="D1095" s="3" t="s">
        <v>165</v>
      </c>
      <c r="E1095" s="3" t="s">
        <v>2674</v>
      </c>
      <c r="F1095" s="3">
        <f>COUNTIF(C1095,PickedPlayers!D:D)</f>
        <v>0</v>
      </c>
      <c r="G1095" s="3" t="str">
        <f t="shared" si="17"/>
        <v>Yes</v>
      </c>
    </row>
    <row r="1096" spans="1:7" hidden="1" x14ac:dyDescent="0.25">
      <c r="A1096" s="3" t="s">
        <v>558</v>
      </c>
      <c r="B1096" s="3" t="s">
        <v>2385</v>
      </c>
      <c r="C1096" s="3" t="s">
        <v>2386</v>
      </c>
      <c r="D1096" s="3" t="s">
        <v>165</v>
      </c>
      <c r="E1096" s="3" t="s">
        <v>2674</v>
      </c>
      <c r="F1096" s="3">
        <f>COUNTIF(C1096,PickedPlayers!D:D)</f>
        <v>0</v>
      </c>
      <c r="G1096" s="3" t="str">
        <f t="shared" si="17"/>
        <v>Yes</v>
      </c>
    </row>
    <row r="1097" spans="1:7" hidden="1" x14ac:dyDescent="0.25">
      <c r="A1097" s="3" t="s">
        <v>558</v>
      </c>
      <c r="B1097" s="3" t="s">
        <v>2373</v>
      </c>
      <c r="C1097" s="3" t="s">
        <v>2374</v>
      </c>
      <c r="D1097" s="3" t="s">
        <v>165</v>
      </c>
      <c r="E1097" s="3" t="s">
        <v>2674</v>
      </c>
      <c r="F1097" s="3">
        <f>COUNTIF(C1097,PickedPlayers!D:D)</f>
        <v>0</v>
      </c>
      <c r="G1097" s="3" t="str">
        <f t="shared" si="17"/>
        <v>Yes</v>
      </c>
    </row>
    <row r="1098" spans="1:7" hidden="1" x14ac:dyDescent="0.25">
      <c r="A1098" s="3" t="s">
        <v>558</v>
      </c>
      <c r="B1098" s="3" t="s">
        <v>2381</v>
      </c>
      <c r="C1098" s="3" t="s">
        <v>2382</v>
      </c>
      <c r="D1098" s="3" t="s">
        <v>165</v>
      </c>
      <c r="E1098" s="3" t="s">
        <v>2674</v>
      </c>
      <c r="F1098" s="3">
        <f>COUNTIF(C1098,PickedPlayers!D:D)</f>
        <v>0</v>
      </c>
      <c r="G1098" s="3" t="str">
        <f t="shared" si="17"/>
        <v>Yes</v>
      </c>
    </row>
    <row r="1099" spans="1:7" hidden="1" x14ac:dyDescent="0.25">
      <c r="A1099" s="3" t="s">
        <v>558</v>
      </c>
      <c r="B1099" s="3" t="s">
        <v>2375</v>
      </c>
      <c r="C1099" s="3" t="s">
        <v>2376</v>
      </c>
      <c r="D1099" s="3" t="s">
        <v>165</v>
      </c>
      <c r="E1099" s="3" t="s">
        <v>2674</v>
      </c>
      <c r="F1099" s="3">
        <f>COUNTIF(C1099,PickedPlayers!D:D)</f>
        <v>0</v>
      </c>
      <c r="G1099" s="3" t="str">
        <f t="shared" si="17"/>
        <v>Yes</v>
      </c>
    </row>
    <row r="1100" spans="1:7" hidden="1" x14ac:dyDescent="0.25">
      <c r="A1100" s="3" t="s">
        <v>558</v>
      </c>
      <c r="B1100" s="3" t="s">
        <v>2377</v>
      </c>
      <c r="C1100" s="3" t="s">
        <v>2378</v>
      </c>
      <c r="D1100" s="3" t="s">
        <v>165</v>
      </c>
      <c r="E1100" s="3" t="s">
        <v>2674</v>
      </c>
      <c r="F1100" s="3">
        <f>COUNTIF(C1100,PickedPlayers!D:D)</f>
        <v>0</v>
      </c>
      <c r="G1100" s="3" t="str">
        <f t="shared" si="17"/>
        <v>Yes</v>
      </c>
    </row>
    <row r="1101" spans="1:7" x14ac:dyDescent="0.25">
      <c r="A1101" s="3" t="s">
        <v>577</v>
      </c>
      <c r="B1101" s="3" t="s">
        <v>2403</v>
      </c>
      <c r="C1101" s="3" t="s">
        <v>2404</v>
      </c>
      <c r="D1101" s="3" t="s">
        <v>165</v>
      </c>
      <c r="E1101" s="3" t="s">
        <v>2675</v>
      </c>
      <c r="F1101" s="3">
        <f>COUNTIF(C1101,PickedPlayers!D:D)</f>
        <v>0</v>
      </c>
      <c r="G1101" s="3" t="str">
        <f t="shared" si="17"/>
        <v>Yes</v>
      </c>
    </row>
    <row r="1102" spans="1:7" x14ac:dyDescent="0.25">
      <c r="A1102" s="3" t="s">
        <v>577</v>
      </c>
      <c r="B1102" s="3" t="s">
        <v>2395</v>
      </c>
      <c r="C1102" s="3" t="s">
        <v>2396</v>
      </c>
      <c r="D1102" s="3" t="s">
        <v>165</v>
      </c>
      <c r="E1102" s="3" t="s">
        <v>2675</v>
      </c>
      <c r="F1102" s="3">
        <f>COUNTIF(C1102,PickedPlayers!D:D)</f>
        <v>0</v>
      </c>
      <c r="G1102" s="3" t="str">
        <f t="shared" si="17"/>
        <v>Yes</v>
      </c>
    </row>
    <row r="1103" spans="1:7" x14ac:dyDescent="0.25">
      <c r="A1103" s="3" t="s">
        <v>577</v>
      </c>
      <c r="B1103" s="3" t="s">
        <v>2391</v>
      </c>
      <c r="C1103" s="3" t="s">
        <v>2392</v>
      </c>
      <c r="D1103" s="3" t="s">
        <v>165</v>
      </c>
      <c r="E1103" s="3" t="s">
        <v>2675</v>
      </c>
      <c r="F1103" s="3">
        <f>COUNTIF(C1103,PickedPlayers!D:D)</f>
        <v>0</v>
      </c>
      <c r="G1103" s="3" t="str">
        <f t="shared" si="17"/>
        <v>Yes</v>
      </c>
    </row>
    <row r="1104" spans="1:7" x14ac:dyDescent="0.25">
      <c r="A1104" s="3" t="s">
        <v>577</v>
      </c>
      <c r="B1104" s="3" t="s">
        <v>2389</v>
      </c>
      <c r="C1104" s="3" t="s">
        <v>2390</v>
      </c>
      <c r="D1104" s="3" t="s">
        <v>165</v>
      </c>
      <c r="E1104" s="3" t="s">
        <v>2675</v>
      </c>
      <c r="F1104" s="3">
        <f>COUNTIF(C1104,PickedPlayers!D:D)</f>
        <v>0</v>
      </c>
      <c r="G1104" s="3" t="str">
        <f t="shared" si="17"/>
        <v>Yes</v>
      </c>
    </row>
    <row r="1105" spans="1:7" x14ac:dyDescent="0.25">
      <c r="A1105" s="3" t="s">
        <v>577</v>
      </c>
      <c r="B1105" s="3" t="s">
        <v>2405</v>
      </c>
      <c r="C1105" s="3" t="s">
        <v>2406</v>
      </c>
      <c r="D1105" s="3" t="s">
        <v>165</v>
      </c>
      <c r="E1105" s="3" t="s">
        <v>2675</v>
      </c>
      <c r="F1105" s="3">
        <f>COUNTIF(C1105,PickedPlayers!D:D)</f>
        <v>0</v>
      </c>
      <c r="G1105" s="3" t="str">
        <f t="shared" si="17"/>
        <v>Yes</v>
      </c>
    </row>
    <row r="1106" spans="1:7" x14ac:dyDescent="0.25">
      <c r="A1106" s="3" t="s">
        <v>577</v>
      </c>
      <c r="B1106" s="3" t="s">
        <v>2399</v>
      </c>
      <c r="C1106" s="3" t="s">
        <v>2400</v>
      </c>
      <c r="D1106" s="3" t="s">
        <v>165</v>
      </c>
      <c r="E1106" s="3" t="s">
        <v>2675</v>
      </c>
      <c r="F1106" s="3">
        <f>COUNTIF(C1106,PickedPlayers!D:D)</f>
        <v>0</v>
      </c>
      <c r="G1106" s="3" t="str">
        <f t="shared" si="17"/>
        <v>Yes</v>
      </c>
    </row>
    <row r="1107" spans="1:7" x14ac:dyDescent="0.25">
      <c r="A1107" s="3" t="s">
        <v>577</v>
      </c>
      <c r="B1107" s="3" t="s">
        <v>2397</v>
      </c>
      <c r="C1107" s="3" t="s">
        <v>541</v>
      </c>
      <c r="D1107" s="3" t="s">
        <v>165</v>
      </c>
      <c r="E1107" s="3" t="s">
        <v>2675</v>
      </c>
      <c r="F1107" s="3">
        <f>COUNTIF(C1107,PickedPlayers!D:D)</f>
        <v>0</v>
      </c>
      <c r="G1107" s="3" t="str">
        <f t="shared" si="17"/>
        <v>Yes</v>
      </c>
    </row>
    <row r="1108" spans="1:7" x14ac:dyDescent="0.25">
      <c r="A1108" s="3" t="s">
        <v>577</v>
      </c>
      <c r="B1108" s="3" t="s">
        <v>2401</v>
      </c>
      <c r="C1108" s="3" t="s">
        <v>2402</v>
      </c>
      <c r="D1108" s="3" t="s">
        <v>165</v>
      </c>
      <c r="E1108" s="3" t="s">
        <v>2675</v>
      </c>
      <c r="F1108" s="3">
        <f>COUNTIF(C1108,PickedPlayers!D:D)</f>
        <v>0</v>
      </c>
      <c r="G1108" s="3" t="str">
        <f t="shared" si="17"/>
        <v>Yes</v>
      </c>
    </row>
    <row r="1109" spans="1:7" x14ac:dyDescent="0.25">
      <c r="A1109" s="3" t="s">
        <v>577</v>
      </c>
      <c r="B1109" s="3" t="s">
        <v>2393</v>
      </c>
      <c r="C1109" s="3" t="s">
        <v>2394</v>
      </c>
      <c r="D1109" s="3" t="s">
        <v>165</v>
      </c>
      <c r="E1109" s="3" t="s">
        <v>2675</v>
      </c>
      <c r="F1109" s="3">
        <f>COUNTIF(C1109,PickedPlayers!D:D)</f>
        <v>0</v>
      </c>
      <c r="G1109" s="3" t="str">
        <f t="shared" si="17"/>
        <v>Yes</v>
      </c>
    </row>
    <row r="1110" spans="1:7" x14ac:dyDescent="0.25">
      <c r="A1110" s="3" t="s">
        <v>577</v>
      </c>
      <c r="B1110" s="3" t="s">
        <v>2398</v>
      </c>
      <c r="C1110" s="3" t="s">
        <v>549</v>
      </c>
      <c r="D1110" s="3" t="s">
        <v>165</v>
      </c>
      <c r="E1110" s="3" t="s">
        <v>2675</v>
      </c>
      <c r="F1110" s="3">
        <f>COUNTIF(C1110,PickedPlayers!D:D)</f>
        <v>0</v>
      </c>
      <c r="G1110" s="3" t="str">
        <f t="shared" si="17"/>
        <v>Yes</v>
      </c>
    </row>
    <row r="1111" spans="1:7" hidden="1" x14ac:dyDescent="0.25">
      <c r="A1111" s="3" t="s">
        <v>592</v>
      </c>
      <c r="B1111" s="3" t="s">
        <v>2407</v>
      </c>
      <c r="C1111" s="3" t="s">
        <v>2408</v>
      </c>
      <c r="D1111" s="3" t="s">
        <v>165</v>
      </c>
      <c r="E1111" s="3" t="s">
        <v>2677</v>
      </c>
      <c r="F1111" s="3">
        <f>COUNTIF(C1111,PickedPlayers!D:D)</f>
        <v>0</v>
      </c>
      <c r="G1111" s="3" t="str">
        <f t="shared" si="17"/>
        <v>Yes</v>
      </c>
    </row>
    <row r="1112" spans="1:7" hidden="1" x14ac:dyDescent="0.25">
      <c r="A1112" s="3" t="s">
        <v>592</v>
      </c>
      <c r="B1112" s="3" t="s">
        <v>2412</v>
      </c>
      <c r="C1112" s="3" t="s">
        <v>2413</v>
      </c>
      <c r="D1112" s="3" t="s">
        <v>165</v>
      </c>
      <c r="E1112" s="3" t="s">
        <v>2677</v>
      </c>
      <c r="F1112" s="3">
        <f>COUNTIF(C1112,PickedPlayers!D:D)</f>
        <v>0</v>
      </c>
      <c r="G1112" s="3" t="str">
        <f t="shared" si="17"/>
        <v>Yes</v>
      </c>
    </row>
    <row r="1113" spans="1:7" hidden="1" x14ac:dyDescent="0.25">
      <c r="A1113" s="3" t="s">
        <v>592</v>
      </c>
      <c r="B1113" s="3" t="s">
        <v>2411</v>
      </c>
      <c r="C1113" s="3" t="s">
        <v>438</v>
      </c>
      <c r="D1113" s="3" t="s">
        <v>165</v>
      </c>
      <c r="E1113" s="3" t="s">
        <v>2677</v>
      </c>
      <c r="F1113" s="3">
        <f>COUNTIF(C1113,PickedPlayers!D:D)</f>
        <v>0</v>
      </c>
      <c r="G1113" s="3" t="str">
        <f t="shared" si="17"/>
        <v>Yes</v>
      </c>
    </row>
    <row r="1114" spans="1:7" hidden="1" x14ac:dyDescent="0.25">
      <c r="A1114" s="3" t="s">
        <v>592</v>
      </c>
      <c r="B1114" s="3" t="s">
        <v>2414</v>
      </c>
      <c r="C1114" s="3" t="s">
        <v>2415</v>
      </c>
      <c r="D1114" s="3" t="s">
        <v>165</v>
      </c>
      <c r="E1114" s="3" t="s">
        <v>2677</v>
      </c>
      <c r="F1114" s="3">
        <f>COUNTIF(C1114,PickedPlayers!D:D)</f>
        <v>0</v>
      </c>
      <c r="G1114" s="3" t="str">
        <f t="shared" si="17"/>
        <v>Yes</v>
      </c>
    </row>
    <row r="1115" spans="1:7" hidden="1" x14ac:dyDescent="0.25">
      <c r="A1115" s="3" t="s">
        <v>592</v>
      </c>
      <c r="B1115" s="3" t="s">
        <v>2409</v>
      </c>
      <c r="C1115" s="3" t="s">
        <v>2410</v>
      </c>
      <c r="D1115" s="3" t="s">
        <v>165</v>
      </c>
      <c r="E1115" s="3" t="s">
        <v>2677</v>
      </c>
      <c r="F1115" s="3">
        <f>COUNTIF(C1115,PickedPlayers!D:D)</f>
        <v>0</v>
      </c>
      <c r="G1115" s="3" t="str">
        <f t="shared" si="17"/>
        <v>Yes</v>
      </c>
    </row>
    <row r="1116" spans="1:7" hidden="1" x14ac:dyDescent="0.25">
      <c r="A1116" s="3" t="s">
        <v>551</v>
      </c>
      <c r="B1116" s="3" t="s">
        <v>2416</v>
      </c>
      <c r="C1116" s="3" t="s">
        <v>2417</v>
      </c>
      <c r="D1116" s="3" t="s">
        <v>139</v>
      </c>
      <c r="E1116" s="3" t="s">
        <v>2673</v>
      </c>
      <c r="F1116" s="3">
        <f>COUNTIF(C1116,PickedPlayers!D:D)</f>
        <v>0</v>
      </c>
      <c r="G1116" s="3" t="str">
        <f t="shared" si="17"/>
        <v>Yes</v>
      </c>
    </row>
    <row r="1117" spans="1:7" hidden="1" x14ac:dyDescent="0.25">
      <c r="A1117" s="3" t="s">
        <v>551</v>
      </c>
      <c r="B1117" s="3" t="s">
        <v>2420</v>
      </c>
      <c r="C1117" s="3" t="s">
        <v>2421</v>
      </c>
      <c r="D1117" s="3" t="s">
        <v>139</v>
      </c>
      <c r="E1117" s="3" t="s">
        <v>2673</v>
      </c>
      <c r="F1117" s="3">
        <f>COUNTIF(C1117,PickedPlayers!D:D)</f>
        <v>0</v>
      </c>
      <c r="G1117" s="3" t="str">
        <f t="shared" si="17"/>
        <v>Yes</v>
      </c>
    </row>
    <row r="1118" spans="1:7" hidden="1" x14ac:dyDescent="0.25">
      <c r="A1118" s="3" t="s">
        <v>551</v>
      </c>
      <c r="B1118" s="3" t="s">
        <v>2418</v>
      </c>
      <c r="C1118" s="3" t="s">
        <v>2419</v>
      </c>
      <c r="D1118" s="3" t="s">
        <v>139</v>
      </c>
      <c r="E1118" s="3" t="s">
        <v>2673</v>
      </c>
      <c r="F1118" s="3">
        <f>COUNTIF(C1118,PickedPlayers!D:D)</f>
        <v>0</v>
      </c>
      <c r="G1118" s="3" t="str">
        <f t="shared" si="17"/>
        <v>Yes</v>
      </c>
    </row>
    <row r="1119" spans="1:7" hidden="1" x14ac:dyDescent="0.25">
      <c r="A1119" s="3" t="s">
        <v>558</v>
      </c>
      <c r="B1119" s="3" t="s">
        <v>2422</v>
      </c>
      <c r="C1119" s="3" t="s">
        <v>2423</v>
      </c>
      <c r="D1119" s="3" t="s">
        <v>139</v>
      </c>
      <c r="E1119" s="3" t="s">
        <v>2674</v>
      </c>
      <c r="F1119" s="3">
        <f>COUNTIF(C1119,PickedPlayers!D:D)</f>
        <v>0</v>
      </c>
      <c r="G1119" s="3" t="str">
        <f t="shared" si="17"/>
        <v>Yes</v>
      </c>
    </row>
    <row r="1120" spans="1:7" hidden="1" x14ac:dyDescent="0.25">
      <c r="A1120" s="3" t="s">
        <v>558</v>
      </c>
      <c r="B1120" s="3" t="s">
        <v>2434</v>
      </c>
      <c r="C1120" s="3" t="s">
        <v>2435</v>
      </c>
      <c r="D1120" s="3" t="s">
        <v>139</v>
      </c>
      <c r="E1120" s="3" t="s">
        <v>2674</v>
      </c>
      <c r="F1120" s="3">
        <f>COUNTIF(C1120,PickedPlayers!D:D)</f>
        <v>0</v>
      </c>
      <c r="G1120" s="3" t="str">
        <f t="shared" si="17"/>
        <v>Yes</v>
      </c>
    </row>
    <row r="1121" spans="1:7" hidden="1" x14ac:dyDescent="0.25">
      <c r="A1121" s="3" t="s">
        <v>558</v>
      </c>
      <c r="B1121" s="3" t="s">
        <v>2438</v>
      </c>
      <c r="C1121" s="3" t="s">
        <v>2439</v>
      </c>
      <c r="D1121" s="3" t="s">
        <v>139</v>
      </c>
      <c r="E1121" s="3" t="s">
        <v>2674</v>
      </c>
      <c r="F1121" s="3">
        <f>COUNTIF(C1121,PickedPlayers!D:D)</f>
        <v>0</v>
      </c>
      <c r="G1121" s="3" t="str">
        <f t="shared" si="17"/>
        <v>Yes</v>
      </c>
    </row>
    <row r="1122" spans="1:7" hidden="1" x14ac:dyDescent="0.25">
      <c r="A1122" s="3" t="s">
        <v>558</v>
      </c>
      <c r="B1122" s="3" t="s">
        <v>2428</v>
      </c>
      <c r="C1122" s="3" t="s">
        <v>2429</v>
      </c>
      <c r="D1122" s="3" t="s">
        <v>139</v>
      </c>
      <c r="E1122" s="3" t="s">
        <v>2674</v>
      </c>
      <c r="F1122" s="3">
        <f>COUNTIF(C1122,PickedPlayers!D:D)</f>
        <v>0</v>
      </c>
      <c r="G1122" s="3" t="str">
        <f t="shared" si="17"/>
        <v>Yes</v>
      </c>
    </row>
    <row r="1123" spans="1:7" hidden="1" x14ac:dyDescent="0.25">
      <c r="A1123" s="3" t="s">
        <v>558</v>
      </c>
      <c r="B1123" s="3" t="s">
        <v>2432</v>
      </c>
      <c r="C1123" s="3" t="s">
        <v>2433</v>
      </c>
      <c r="D1123" s="3" t="s">
        <v>139</v>
      </c>
      <c r="E1123" s="3" t="s">
        <v>2674</v>
      </c>
      <c r="F1123" s="3">
        <f>COUNTIF(C1123,PickedPlayers!D:D)</f>
        <v>0</v>
      </c>
      <c r="G1123" s="3" t="str">
        <f t="shared" si="17"/>
        <v>Yes</v>
      </c>
    </row>
    <row r="1124" spans="1:7" hidden="1" x14ac:dyDescent="0.25">
      <c r="A1124" s="3" t="s">
        <v>558</v>
      </c>
      <c r="B1124" s="3" t="s">
        <v>2426</v>
      </c>
      <c r="C1124" s="3" t="s">
        <v>2427</v>
      </c>
      <c r="D1124" s="3" t="s">
        <v>139</v>
      </c>
      <c r="E1124" s="3" t="s">
        <v>2674</v>
      </c>
      <c r="F1124" s="3">
        <f>COUNTIF(C1124,PickedPlayers!D:D)</f>
        <v>0</v>
      </c>
      <c r="G1124" s="3" t="str">
        <f t="shared" si="17"/>
        <v>Yes</v>
      </c>
    </row>
    <row r="1125" spans="1:7" hidden="1" x14ac:dyDescent="0.25">
      <c r="A1125" s="3" t="s">
        <v>558</v>
      </c>
      <c r="B1125" s="3" t="s">
        <v>2430</v>
      </c>
      <c r="C1125" s="3" t="s">
        <v>2431</v>
      </c>
      <c r="D1125" s="3" t="s">
        <v>139</v>
      </c>
      <c r="E1125" s="3" t="s">
        <v>2674</v>
      </c>
      <c r="F1125" s="3">
        <f>COUNTIF(C1125,PickedPlayers!D:D)</f>
        <v>0</v>
      </c>
      <c r="G1125" s="3" t="str">
        <f t="shared" si="17"/>
        <v>Yes</v>
      </c>
    </row>
    <row r="1126" spans="1:7" hidden="1" x14ac:dyDescent="0.25">
      <c r="A1126" s="3" t="s">
        <v>558</v>
      </c>
      <c r="B1126" s="3" t="s">
        <v>2436</v>
      </c>
      <c r="C1126" s="3" t="s">
        <v>2437</v>
      </c>
      <c r="D1126" s="3" t="s">
        <v>139</v>
      </c>
      <c r="E1126" s="3" t="s">
        <v>2674</v>
      </c>
      <c r="F1126" s="3">
        <f>COUNTIF(C1126,PickedPlayers!D:D)</f>
        <v>0</v>
      </c>
      <c r="G1126" s="3" t="str">
        <f t="shared" si="17"/>
        <v>Yes</v>
      </c>
    </row>
    <row r="1127" spans="1:7" hidden="1" x14ac:dyDescent="0.25">
      <c r="A1127" s="3" t="s">
        <v>558</v>
      </c>
      <c r="B1127" s="3" t="s">
        <v>2424</v>
      </c>
      <c r="C1127" s="3" t="s">
        <v>2425</v>
      </c>
      <c r="D1127" s="3" t="s">
        <v>139</v>
      </c>
      <c r="E1127" s="3" t="s">
        <v>2674</v>
      </c>
      <c r="F1127" s="3">
        <f>COUNTIF(C1127,PickedPlayers!D:D)</f>
        <v>0</v>
      </c>
      <c r="G1127" s="3" t="str">
        <f t="shared" si="17"/>
        <v>Yes</v>
      </c>
    </row>
    <row r="1128" spans="1:7" hidden="1" x14ac:dyDescent="0.25">
      <c r="A1128" s="3" t="s">
        <v>577</v>
      </c>
      <c r="B1128" s="3" t="s">
        <v>2450</v>
      </c>
      <c r="C1128" s="3" t="s">
        <v>2451</v>
      </c>
      <c r="D1128" s="3" t="s">
        <v>139</v>
      </c>
      <c r="E1128" s="3" t="s">
        <v>2675</v>
      </c>
      <c r="F1128" s="3">
        <f>COUNTIF(C1128,PickedPlayers!D:D)</f>
        <v>0</v>
      </c>
      <c r="G1128" s="3" t="str">
        <f t="shared" si="17"/>
        <v>Yes</v>
      </c>
    </row>
    <row r="1129" spans="1:7" hidden="1" x14ac:dyDescent="0.25">
      <c r="A1129" s="3" t="s">
        <v>577</v>
      </c>
      <c r="B1129" s="3" t="s">
        <v>2440</v>
      </c>
      <c r="C1129" s="3" t="s">
        <v>2441</v>
      </c>
      <c r="D1129" s="3" t="s">
        <v>139</v>
      </c>
      <c r="E1129" s="3" t="s">
        <v>2675</v>
      </c>
      <c r="F1129" s="3">
        <f>COUNTIF(C1129,PickedPlayers!D:D)</f>
        <v>0</v>
      </c>
      <c r="G1129" s="3" t="str">
        <f t="shared" si="17"/>
        <v>Yes</v>
      </c>
    </row>
    <row r="1130" spans="1:7" hidden="1" x14ac:dyDescent="0.25">
      <c r="A1130" s="3" t="s">
        <v>577</v>
      </c>
      <c r="B1130" s="3" t="s">
        <v>2446</v>
      </c>
      <c r="C1130" s="3" t="s">
        <v>2447</v>
      </c>
      <c r="D1130" s="3" t="s">
        <v>139</v>
      </c>
      <c r="E1130" s="3" t="s">
        <v>2675</v>
      </c>
      <c r="F1130" s="3">
        <f>COUNTIF(C1130,PickedPlayers!D:D)</f>
        <v>0</v>
      </c>
      <c r="G1130" s="3" t="str">
        <f t="shared" si="17"/>
        <v>Yes</v>
      </c>
    </row>
    <row r="1131" spans="1:7" hidden="1" x14ac:dyDescent="0.25">
      <c r="A1131" s="3" t="s">
        <v>577</v>
      </c>
      <c r="B1131" s="3" t="s">
        <v>2442</v>
      </c>
      <c r="C1131" s="3" t="s">
        <v>2443</v>
      </c>
      <c r="D1131" s="3" t="s">
        <v>139</v>
      </c>
      <c r="E1131" s="3" t="s">
        <v>2675</v>
      </c>
      <c r="F1131" s="3">
        <f>COUNTIF(C1131,PickedPlayers!D:D)</f>
        <v>0</v>
      </c>
      <c r="G1131" s="3" t="str">
        <f t="shared" si="17"/>
        <v>Yes</v>
      </c>
    </row>
    <row r="1132" spans="1:7" hidden="1" x14ac:dyDescent="0.25">
      <c r="A1132" s="3" t="s">
        <v>577</v>
      </c>
      <c r="B1132" s="3" t="s">
        <v>2444</v>
      </c>
      <c r="C1132" s="3" t="s">
        <v>2445</v>
      </c>
      <c r="D1132" s="3" t="s">
        <v>139</v>
      </c>
      <c r="E1132" s="3" t="s">
        <v>2675</v>
      </c>
      <c r="F1132" s="3">
        <f>COUNTIF(C1132,PickedPlayers!D:D)</f>
        <v>0</v>
      </c>
      <c r="G1132" s="3" t="str">
        <f t="shared" si="17"/>
        <v>Yes</v>
      </c>
    </row>
    <row r="1133" spans="1:7" hidden="1" x14ac:dyDescent="0.25">
      <c r="A1133" s="3" t="s">
        <v>577</v>
      </c>
      <c r="B1133" s="3" t="s">
        <v>2448</v>
      </c>
      <c r="C1133" s="3" t="s">
        <v>2449</v>
      </c>
      <c r="D1133" s="3" t="s">
        <v>139</v>
      </c>
      <c r="E1133" s="3" t="s">
        <v>2675</v>
      </c>
      <c r="F1133" s="3">
        <f>COUNTIF(C1133,PickedPlayers!D:D)</f>
        <v>0</v>
      </c>
      <c r="G1133" s="3" t="str">
        <f t="shared" si="17"/>
        <v>Yes</v>
      </c>
    </row>
    <row r="1134" spans="1:7" hidden="1" x14ac:dyDescent="0.25">
      <c r="A1134" s="3" t="s">
        <v>577</v>
      </c>
      <c r="B1134" s="3" t="s">
        <v>2452</v>
      </c>
      <c r="C1134" s="3" t="s">
        <v>2453</v>
      </c>
      <c r="D1134" s="3" t="s">
        <v>139</v>
      </c>
      <c r="E1134" s="3" t="s">
        <v>2675</v>
      </c>
      <c r="F1134" s="3">
        <f>COUNTIF(C1134,PickedPlayers!D:D)</f>
        <v>0</v>
      </c>
      <c r="G1134" s="3" t="str">
        <f t="shared" si="17"/>
        <v>Yes</v>
      </c>
    </row>
    <row r="1135" spans="1:7" hidden="1" x14ac:dyDescent="0.25">
      <c r="A1135" s="3" t="s">
        <v>592</v>
      </c>
      <c r="B1135" s="3" t="s">
        <v>2454</v>
      </c>
      <c r="C1135" s="3" t="s">
        <v>2455</v>
      </c>
      <c r="D1135" s="3" t="s">
        <v>139</v>
      </c>
      <c r="E1135" s="3" t="s">
        <v>2677</v>
      </c>
      <c r="F1135" s="3">
        <f>COUNTIF(C1135,PickedPlayers!D:D)</f>
        <v>0</v>
      </c>
      <c r="G1135" s="3" t="str">
        <f t="shared" si="17"/>
        <v>Yes</v>
      </c>
    </row>
    <row r="1136" spans="1:7" hidden="1" x14ac:dyDescent="0.25">
      <c r="A1136" s="3" t="s">
        <v>592</v>
      </c>
      <c r="B1136" s="3" t="s">
        <v>2460</v>
      </c>
      <c r="C1136" s="3" t="s">
        <v>2461</v>
      </c>
      <c r="D1136" s="3" t="s">
        <v>139</v>
      </c>
      <c r="E1136" s="3" t="s">
        <v>2677</v>
      </c>
      <c r="F1136" s="3">
        <f>COUNTIF(C1136,PickedPlayers!D:D)</f>
        <v>0</v>
      </c>
      <c r="G1136" s="3" t="str">
        <f t="shared" si="17"/>
        <v>Yes</v>
      </c>
    </row>
    <row r="1137" spans="1:7" hidden="1" x14ac:dyDescent="0.25">
      <c r="A1137" s="3" t="s">
        <v>592</v>
      </c>
      <c r="B1137" s="3" t="s">
        <v>2458</v>
      </c>
      <c r="C1137" s="3" t="s">
        <v>2459</v>
      </c>
      <c r="D1137" s="3" t="s">
        <v>139</v>
      </c>
      <c r="E1137" s="3" t="s">
        <v>2677</v>
      </c>
      <c r="F1137" s="3">
        <f>COUNTIF(C1137,PickedPlayers!D:D)</f>
        <v>0</v>
      </c>
      <c r="G1137" s="3" t="str">
        <f t="shared" si="17"/>
        <v>Yes</v>
      </c>
    </row>
    <row r="1138" spans="1:7" hidden="1" x14ac:dyDescent="0.25">
      <c r="A1138" s="3" t="s">
        <v>592</v>
      </c>
      <c r="B1138" s="3" t="s">
        <v>2462</v>
      </c>
      <c r="C1138" s="3" t="s">
        <v>2463</v>
      </c>
      <c r="D1138" s="3" t="s">
        <v>139</v>
      </c>
      <c r="E1138" s="3" t="s">
        <v>2677</v>
      </c>
      <c r="F1138" s="3">
        <f>COUNTIF(C1138,PickedPlayers!D:D)</f>
        <v>0</v>
      </c>
      <c r="G1138" s="3" t="str">
        <f t="shared" si="17"/>
        <v>Yes</v>
      </c>
    </row>
    <row r="1139" spans="1:7" hidden="1" x14ac:dyDescent="0.25">
      <c r="A1139" s="3" t="s">
        <v>592</v>
      </c>
      <c r="B1139" s="3" t="s">
        <v>2466</v>
      </c>
      <c r="C1139" s="3" t="s">
        <v>2467</v>
      </c>
      <c r="D1139" s="3" t="s">
        <v>139</v>
      </c>
      <c r="E1139" s="3" t="s">
        <v>2677</v>
      </c>
      <c r="F1139" s="3">
        <f>COUNTIF(C1139,PickedPlayers!D:D)</f>
        <v>0</v>
      </c>
      <c r="G1139" s="3" t="str">
        <f t="shared" si="17"/>
        <v>Yes</v>
      </c>
    </row>
    <row r="1140" spans="1:7" hidden="1" x14ac:dyDescent="0.25">
      <c r="A1140" s="3" t="s">
        <v>592</v>
      </c>
      <c r="B1140" s="3" t="s">
        <v>2456</v>
      </c>
      <c r="C1140" s="3" t="s">
        <v>2457</v>
      </c>
      <c r="D1140" s="3" t="s">
        <v>139</v>
      </c>
      <c r="E1140" s="3" t="s">
        <v>2677</v>
      </c>
      <c r="F1140" s="3">
        <f>COUNTIF(C1140,PickedPlayers!D:D)</f>
        <v>0</v>
      </c>
      <c r="G1140" s="3" t="str">
        <f t="shared" si="17"/>
        <v>Yes</v>
      </c>
    </row>
    <row r="1141" spans="1:7" hidden="1" x14ac:dyDescent="0.25">
      <c r="A1141" s="3" t="s">
        <v>592</v>
      </c>
      <c r="B1141" s="3" t="s">
        <v>2464</v>
      </c>
      <c r="C1141" s="3" t="s">
        <v>2465</v>
      </c>
      <c r="D1141" s="3" t="s">
        <v>139</v>
      </c>
      <c r="E1141" s="3" t="s">
        <v>2677</v>
      </c>
      <c r="F1141" s="3">
        <f>COUNTIF(C1141,PickedPlayers!D:D)</f>
        <v>0</v>
      </c>
      <c r="G1141" s="3" t="str">
        <f t="shared" si="17"/>
        <v>Yes</v>
      </c>
    </row>
    <row r="1142" spans="1:7" hidden="1" x14ac:dyDescent="0.25">
      <c r="A1142" s="3" t="s">
        <v>551</v>
      </c>
      <c r="B1142" s="3" t="s">
        <v>2473</v>
      </c>
      <c r="C1142" s="3" t="s">
        <v>2474</v>
      </c>
      <c r="D1142" s="3" t="s">
        <v>2696</v>
      </c>
      <c r="E1142" s="3" t="s">
        <v>2673</v>
      </c>
      <c r="F1142" s="3">
        <f>COUNTIF(C1142,PickedPlayers!D:D)</f>
        <v>0</v>
      </c>
      <c r="G1142" s="3" t="str">
        <f t="shared" si="17"/>
        <v>Yes</v>
      </c>
    </row>
    <row r="1143" spans="1:7" hidden="1" x14ac:dyDescent="0.25">
      <c r="A1143" s="3" t="s">
        <v>551</v>
      </c>
      <c r="B1143" s="3" t="s">
        <v>2468</v>
      </c>
      <c r="C1143" s="3" t="s">
        <v>2469</v>
      </c>
      <c r="D1143" s="3" t="s">
        <v>2696</v>
      </c>
      <c r="E1143" s="3" t="s">
        <v>2673</v>
      </c>
      <c r="F1143" s="3">
        <f>COUNTIF(C1143,PickedPlayers!D:D)</f>
        <v>0</v>
      </c>
      <c r="G1143" s="3" t="str">
        <f t="shared" si="17"/>
        <v>Yes</v>
      </c>
    </row>
    <row r="1144" spans="1:7" hidden="1" x14ac:dyDescent="0.25">
      <c r="A1144" s="3" t="s">
        <v>551</v>
      </c>
      <c r="B1144" s="3" t="s">
        <v>2471</v>
      </c>
      <c r="C1144" s="3" t="s">
        <v>2472</v>
      </c>
      <c r="D1144" s="3" t="s">
        <v>2696</v>
      </c>
      <c r="E1144" s="3" t="s">
        <v>2673</v>
      </c>
      <c r="F1144" s="3">
        <f>COUNTIF(C1144,PickedPlayers!D:D)</f>
        <v>0</v>
      </c>
      <c r="G1144" s="3" t="str">
        <f t="shared" si="17"/>
        <v>Yes</v>
      </c>
    </row>
    <row r="1145" spans="1:7" hidden="1" x14ac:dyDescent="0.25">
      <c r="A1145" s="3" t="s">
        <v>558</v>
      </c>
      <c r="B1145" s="3" t="s">
        <v>2491</v>
      </c>
      <c r="C1145" s="3" t="s">
        <v>2492</v>
      </c>
      <c r="D1145" s="3" t="s">
        <v>2696</v>
      </c>
      <c r="E1145" s="3" t="s">
        <v>2674</v>
      </c>
      <c r="F1145" s="3">
        <f>COUNTIF(C1145,PickedPlayers!D:D)</f>
        <v>0</v>
      </c>
      <c r="G1145" s="3" t="str">
        <f t="shared" si="17"/>
        <v>Yes</v>
      </c>
    </row>
    <row r="1146" spans="1:7" hidden="1" x14ac:dyDescent="0.25">
      <c r="A1146" s="3" t="s">
        <v>558</v>
      </c>
      <c r="B1146" s="3" t="s">
        <v>2483</v>
      </c>
      <c r="C1146" s="3" t="s">
        <v>2484</v>
      </c>
      <c r="D1146" s="3" t="s">
        <v>2696</v>
      </c>
      <c r="E1146" s="3" t="s">
        <v>2674</v>
      </c>
      <c r="F1146" s="3">
        <f>COUNTIF(C1146,PickedPlayers!D:D)</f>
        <v>0</v>
      </c>
      <c r="G1146" s="3" t="str">
        <f t="shared" si="17"/>
        <v>Yes</v>
      </c>
    </row>
    <row r="1147" spans="1:7" hidden="1" x14ac:dyDescent="0.25">
      <c r="A1147" s="3" t="s">
        <v>558</v>
      </c>
      <c r="B1147" s="3" t="s">
        <v>2487</v>
      </c>
      <c r="C1147" s="3" t="s">
        <v>2488</v>
      </c>
      <c r="D1147" s="3" t="s">
        <v>2696</v>
      </c>
      <c r="E1147" s="3" t="s">
        <v>2674</v>
      </c>
      <c r="F1147" s="3">
        <f>COUNTIF(C1147,PickedPlayers!D:D)</f>
        <v>0</v>
      </c>
      <c r="G1147" s="3" t="str">
        <f t="shared" si="17"/>
        <v>Yes</v>
      </c>
    </row>
    <row r="1148" spans="1:7" hidden="1" x14ac:dyDescent="0.25">
      <c r="A1148" s="3" t="s">
        <v>558</v>
      </c>
      <c r="B1148" s="3" t="s">
        <v>2485</v>
      </c>
      <c r="C1148" s="3" t="s">
        <v>2486</v>
      </c>
      <c r="D1148" s="3" t="s">
        <v>2696</v>
      </c>
      <c r="E1148" s="3" t="s">
        <v>2674</v>
      </c>
      <c r="F1148" s="3">
        <f>COUNTIF(C1148,PickedPlayers!D:D)</f>
        <v>0</v>
      </c>
      <c r="G1148" s="3" t="str">
        <f t="shared" si="17"/>
        <v>Yes</v>
      </c>
    </row>
    <row r="1149" spans="1:7" hidden="1" x14ac:dyDescent="0.25">
      <c r="A1149" s="3" t="s">
        <v>558</v>
      </c>
      <c r="B1149" s="3" t="s">
        <v>2489</v>
      </c>
      <c r="C1149" s="3" t="s">
        <v>2490</v>
      </c>
      <c r="D1149" s="3" t="s">
        <v>2696</v>
      </c>
      <c r="E1149" s="3" t="s">
        <v>2674</v>
      </c>
      <c r="F1149" s="3">
        <f>COUNTIF(C1149,PickedPlayers!D:D)</f>
        <v>0</v>
      </c>
      <c r="G1149" s="3" t="str">
        <f t="shared" si="17"/>
        <v>Yes</v>
      </c>
    </row>
    <row r="1150" spans="1:7" hidden="1" x14ac:dyDescent="0.25">
      <c r="A1150" s="3" t="s">
        <v>558</v>
      </c>
      <c r="B1150" s="3" t="s">
        <v>2479</v>
      </c>
      <c r="C1150" s="3" t="s">
        <v>2480</v>
      </c>
      <c r="D1150" s="3" t="s">
        <v>2696</v>
      </c>
      <c r="E1150" s="3" t="s">
        <v>2674</v>
      </c>
      <c r="F1150" s="3">
        <f>COUNTIF(C1150,PickedPlayers!D:D)</f>
        <v>0</v>
      </c>
      <c r="G1150" s="3" t="str">
        <f t="shared" si="17"/>
        <v>Yes</v>
      </c>
    </row>
    <row r="1151" spans="1:7" hidden="1" x14ac:dyDescent="0.25">
      <c r="A1151" s="3" t="s">
        <v>558</v>
      </c>
      <c r="B1151" s="3" t="s">
        <v>2481</v>
      </c>
      <c r="C1151" s="3" t="s">
        <v>2482</v>
      </c>
      <c r="D1151" s="3" t="s">
        <v>2696</v>
      </c>
      <c r="E1151" s="3" t="s">
        <v>2674</v>
      </c>
      <c r="F1151" s="3">
        <f>COUNTIF(C1151,PickedPlayers!D:D)</f>
        <v>0</v>
      </c>
      <c r="G1151" s="3" t="str">
        <f t="shared" si="17"/>
        <v>Yes</v>
      </c>
    </row>
    <row r="1152" spans="1:7" hidden="1" x14ac:dyDescent="0.25">
      <c r="A1152" s="3" t="s">
        <v>558</v>
      </c>
      <c r="B1152" s="3" t="s">
        <v>2477</v>
      </c>
      <c r="C1152" s="3" t="s">
        <v>2478</v>
      </c>
      <c r="D1152" s="3" t="s">
        <v>2696</v>
      </c>
      <c r="E1152" s="3" t="s">
        <v>2674</v>
      </c>
      <c r="F1152" s="3">
        <f>COUNTIF(C1152,PickedPlayers!D:D)</f>
        <v>0</v>
      </c>
      <c r="G1152" s="3" t="str">
        <f t="shared" si="17"/>
        <v>Yes</v>
      </c>
    </row>
    <row r="1153" spans="1:7" hidden="1" x14ac:dyDescent="0.25">
      <c r="A1153" s="3" t="s">
        <v>558</v>
      </c>
      <c r="B1153" s="3" t="s">
        <v>2493</v>
      </c>
      <c r="C1153" s="3" t="s">
        <v>2494</v>
      </c>
      <c r="D1153" s="3" t="s">
        <v>2696</v>
      </c>
      <c r="E1153" s="3" t="s">
        <v>2674</v>
      </c>
      <c r="F1153" s="3">
        <f>COUNTIF(C1153,PickedPlayers!D:D)</f>
        <v>0</v>
      </c>
      <c r="G1153" s="3" t="str">
        <f t="shared" si="17"/>
        <v>Yes</v>
      </c>
    </row>
    <row r="1154" spans="1:7" hidden="1" x14ac:dyDescent="0.25">
      <c r="A1154" s="3" t="s">
        <v>558</v>
      </c>
      <c r="B1154" s="3" t="s">
        <v>2475</v>
      </c>
      <c r="C1154" s="3" t="s">
        <v>2476</v>
      </c>
      <c r="D1154" s="3" t="s">
        <v>2696</v>
      </c>
      <c r="E1154" s="3" t="s">
        <v>2674</v>
      </c>
      <c r="F1154" s="3">
        <f>COUNTIF(C1154,PickedPlayers!D:D)</f>
        <v>0</v>
      </c>
      <c r="G1154" s="3" t="str">
        <f t="shared" si="17"/>
        <v>Yes</v>
      </c>
    </row>
    <row r="1155" spans="1:7" hidden="1" x14ac:dyDescent="0.25">
      <c r="A1155" s="3" t="s">
        <v>577</v>
      </c>
      <c r="B1155" s="3" t="s">
        <v>2503</v>
      </c>
      <c r="C1155" s="3" t="s">
        <v>434</v>
      </c>
      <c r="D1155" s="3" t="s">
        <v>2696</v>
      </c>
      <c r="E1155" s="3" t="s">
        <v>2675</v>
      </c>
      <c r="F1155" s="3">
        <f>COUNTIF(C1155,PickedPlayers!D:D)</f>
        <v>0</v>
      </c>
      <c r="G1155" s="3" t="str">
        <f t="shared" ref="G1155:G1218" si="18">IF(F1155&gt;0,"No","Yes")</f>
        <v>Yes</v>
      </c>
    </row>
    <row r="1156" spans="1:7" hidden="1" x14ac:dyDescent="0.25">
      <c r="A1156" s="3" t="s">
        <v>577</v>
      </c>
      <c r="B1156" s="3" t="s">
        <v>2504</v>
      </c>
      <c r="C1156" s="3" t="s">
        <v>2505</v>
      </c>
      <c r="D1156" s="3" t="s">
        <v>2696</v>
      </c>
      <c r="E1156" s="3" t="s">
        <v>2675</v>
      </c>
      <c r="F1156" s="3">
        <f>COUNTIF(C1156,PickedPlayers!D:D)</f>
        <v>0</v>
      </c>
      <c r="G1156" s="3" t="str">
        <f t="shared" si="18"/>
        <v>Yes</v>
      </c>
    </row>
    <row r="1157" spans="1:7" hidden="1" x14ac:dyDescent="0.25">
      <c r="A1157" s="3" t="s">
        <v>577</v>
      </c>
      <c r="B1157" s="3" t="s">
        <v>2506</v>
      </c>
      <c r="C1157" s="3" t="s">
        <v>2507</v>
      </c>
      <c r="D1157" s="3" t="s">
        <v>2696</v>
      </c>
      <c r="E1157" s="3" t="s">
        <v>2675</v>
      </c>
      <c r="F1157" s="3">
        <f>COUNTIF(C1157,PickedPlayers!D:D)</f>
        <v>0</v>
      </c>
      <c r="G1157" s="3" t="str">
        <f t="shared" si="18"/>
        <v>Yes</v>
      </c>
    </row>
    <row r="1158" spans="1:7" hidden="1" x14ac:dyDescent="0.25">
      <c r="A1158" s="3" t="s">
        <v>577</v>
      </c>
      <c r="B1158" s="3" t="s">
        <v>2501</v>
      </c>
      <c r="C1158" s="3" t="s">
        <v>2502</v>
      </c>
      <c r="D1158" s="3" t="s">
        <v>2696</v>
      </c>
      <c r="E1158" s="3" t="s">
        <v>2675</v>
      </c>
      <c r="F1158" s="3">
        <f>COUNTIF(C1158,PickedPlayers!D:D)</f>
        <v>0</v>
      </c>
      <c r="G1158" s="3" t="str">
        <f t="shared" si="18"/>
        <v>Yes</v>
      </c>
    </row>
    <row r="1159" spans="1:7" hidden="1" x14ac:dyDescent="0.25">
      <c r="A1159" s="3" t="s">
        <v>577</v>
      </c>
      <c r="B1159" s="3" t="s">
        <v>2497</v>
      </c>
      <c r="C1159" s="3" t="s">
        <v>2498</v>
      </c>
      <c r="D1159" s="3" t="s">
        <v>2696</v>
      </c>
      <c r="E1159" s="3" t="s">
        <v>2675</v>
      </c>
      <c r="F1159" s="3">
        <f>COUNTIF(C1159,PickedPlayers!D:D)</f>
        <v>0</v>
      </c>
      <c r="G1159" s="3" t="str">
        <f t="shared" si="18"/>
        <v>Yes</v>
      </c>
    </row>
    <row r="1160" spans="1:7" hidden="1" x14ac:dyDescent="0.25">
      <c r="A1160" s="3" t="s">
        <v>577</v>
      </c>
      <c r="B1160" s="3" t="s">
        <v>2499</v>
      </c>
      <c r="C1160" s="3" t="s">
        <v>2500</v>
      </c>
      <c r="D1160" s="3" t="s">
        <v>2696</v>
      </c>
      <c r="E1160" s="3" t="s">
        <v>2675</v>
      </c>
      <c r="F1160" s="3">
        <f>COUNTIF(C1160,PickedPlayers!D:D)</f>
        <v>0</v>
      </c>
      <c r="G1160" s="3" t="str">
        <f t="shared" si="18"/>
        <v>Yes</v>
      </c>
    </row>
    <row r="1161" spans="1:7" hidden="1" x14ac:dyDescent="0.25">
      <c r="A1161" s="3" t="s">
        <v>577</v>
      </c>
      <c r="B1161" s="3" t="s">
        <v>2495</v>
      </c>
      <c r="C1161" s="3" t="s">
        <v>2496</v>
      </c>
      <c r="D1161" s="3" t="s">
        <v>2696</v>
      </c>
      <c r="E1161" s="3" t="s">
        <v>2675</v>
      </c>
      <c r="F1161" s="3">
        <f>COUNTIF(C1161,PickedPlayers!D:D)</f>
        <v>0</v>
      </c>
      <c r="G1161" s="3" t="str">
        <f t="shared" si="18"/>
        <v>Yes</v>
      </c>
    </row>
    <row r="1162" spans="1:7" hidden="1" x14ac:dyDescent="0.25">
      <c r="A1162" s="3" t="s">
        <v>592</v>
      </c>
      <c r="B1162" s="3" t="s">
        <v>2514</v>
      </c>
      <c r="C1162" s="3" t="s">
        <v>2515</v>
      </c>
      <c r="D1162" s="3" t="s">
        <v>2696</v>
      </c>
      <c r="E1162" s="3" t="s">
        <v>2677</v>
      </c>
      <c r="F1162" s="3">
        <f>COUNTIF(C1162,PickedPlayers!D:D)</f>
        <v>0</v>
      </c>
      <c r="G1162" s="3" t="str">
        <f t="shared" si="18"/>
        <v>Yes</v>
      </c>
    </row>
    <row r="1163" spans="1:7" hidden="1" x14ac:dyDescent="0.25">
      <c r="A1163" s="3" t="s">
        <v>592</v>
      </c>
      <c r="B1163" s="3" t="s">
        <v>2512</v>
      </c>
      <c r="C1163" s="3" t="s">
        <v>2513</v>
      </c>
      <c r="D1163" s="3" t="s">
        <v>2696</v>
      </c>
      <c r="E1163" s="3" t="s">
        <v>2677</v>
      </c>
      <c r="F1163" s="3">
        <f>COUNTIF(C1163,PickedPlayers!D:D)</f>
        <v>0</v>
      </c>
      <c r="G1163" s="3" t="str">
        <f t="shared" si="18"/>
        <v>Yes</v>
      </c>
    </row>
    <row r="1164" spans="1:7" hidden="1" x14ac:dyDescent="0.25">
      <c r="A1164" s="3" t="s">
        <v>592</v>
      </c>
      <c r="B1164" s="3" t="s">
        <v>2508</v>
      </c>
      <c r="C1164" s="3" t="s">
        <v>2509</v>
      </c>
      <c r="D1164" s="3" t="s">
        <v>2696</v>
      </c>
      <c r="E1164" s="3" t="s">
        <v>2677</v>
      </c>
      <c r="F1164" s="3">
        <f>COUNTIF(C1164,PickedPlayers!D:D)</f>
        <v>0</v>
      </c>
      <c r="G1164" s="3" t="str">
        <f t="shared" si="18"/>
        <v>Yes</v>
      </c>
    </row>
    <row r="1165" spans="1:7" hidden="1" x14ac:dyDescent="0.25">
      <c r="A1165" s="3" t="s">
        <v>592</v>
      </c>
      <c r="B1165" s="3" t="s">
        <v>2516</v>
      </c>
      <c r="C1165" s="3" t="s">
        <v>2517</v>
      </c>
      <c r="D1165" s="3" t="s">
        <v>2696</v>
      </c>
      <c r="E1165" s="3" t="s">
        <v>2677</v>
      </c>
      <c r="F1165" s="3">
        <f>COUNTIF(C1165,PickedPlayers!D:D)</f>
        <v>0</v>
      </c>
      <c r="G1165" s="3" t="str">
        <f t="shared" si="18"/>
        <v>Yes</v>
      </c>
    </row>
    <row r="1166" spans="1:7" hidden="1" x14ac:dyDescent="0.25">
      <c r="A1166" s="3" t="s">
        <v>592</v>
      </c>
      <c r="B1166" s="3" t="s">
        <v>2518</v>
      </c>
      <c r="C1166" s="3" t="s">
        <v>2519</v>
      </c>
      <c r="D1166" s="3" t="s">
        <v>2696</v>
      </c>
      <c r="E1166" s="3" t="s">
        <v>2677</v>
      </c>
      <c r="F1166" s="3">
        <f>COUNTIF(C1166,PickedPlayers!D:D)</f>
        <v>0</v>
      </c>
      <c r="G1166" s="3" t="str">
        <f t="shared" si="18"/>
        <v>Yes</v>
      </c>
    </row>
    <row r="1167" spans="1:7" hidden="1" x14ac:dyDescent="0.25">
      <c r="A1167" s="3" t="s">
        <v>592</v>
      </c>
      <c r="B1167" s="3" t="s">
        <v>2510</v>
      </c>
      <c r="C1167" s="3" t="s">
        <v>2511</v>
      </c>
      <c r="D1167" s="3" t="s">
        <v>2696</v>
      </c>
      <c r="E1167" s="3" t="s">
        <v>2677</v>
      </c>
      <c r="F1167" s="3">
        <f>COUNTIF(C1167,PickedPlayers!D:D)</f>
        <v>0</v>
      </c>
      <c r="G1167" s="3" t="str">
        <f t="shared" si="18"/>
        <v>Yes</v>
      </c>
    </row>
    <row r="1168" spans="1:7" hidden="1" x14ac:dyDescent="0.25">
      <c r="A1168" s="3" t="s">
        <v>551</v>
      </c>
      <c r="B1168" s="3" t="s">
        <v>2571</v>
      </c>
      <c r="C1168" s="3" t="s">
        <v>2572</v>
      </c>
      <c r="D1168" s="3" t="s">
        <v>122</v>
      </c>
      <c r="E1168" s="3" t="s">
        <v>2673</v>
      </c>
      <c r="F1168" s="3">
        <f>COUNTIF(C1168,PickedPlayers!D:D)</f>
        <v>0</v>
      </c>
      <c r="G1168" s="3" t="str">
        <f t="shared" si="18"/>
        <v>Yes</v>
      </c>
    </row>
    <row r="1169" spans="1:7" hidden="1" x14ac:dyDescent="0.25">
      <c r="A1169" s="3" t="s">
        <v>551</v>
      </c>
      <c r="B1169" s="3" t="s">
        <v>2573</v>
      </c>
      <c r="C1169" s="3" t="s">
        <v>2574</v>
      </c>
      <c r="D1169" s="3" t="s">
        <v>122</v>
      </c>
      <c r="E1169" s="3" t="s">
        <v>2673</v>
      </c>
      <c r="F1169" s="3">
        <f>COUNTIF(C1169,PickedPlayers!D:D)</f>
        <v>0</v>
      </c>
      <c r="G1169" s="3" t="str">
        <f t="shared" si="18"/>
        <v>Yes</v>
      </c>
    </row>
    <row r="1170" spans="1:7" hidden="1" x14ac:dyDescent="0.25">
      <c r="A1170" s="3" t="s">
        <v>551</v>
      </c>
      <c r="B1170" s="3" t="s">
        <v>2569</v>
      </c>
      <c r="C1170" s="3" t="s">
        <v>2570</v>
      </c>
      <c r="D1170" s="3" t="s">
        <v>122</v>
      </c>
      <c r="E1170" s="3" t="s">
        <v>2673</v>
      </c>
      <c r="F1170" s="3">
        <f>COUNTIF(C1170,PickedPlayers!D:D)</f>
        <v>0</v>
      </c>
      <c r="G1170" s="3" t="str">
        <f t="shared" si="18"/>
        <v>Yes</v>
      </c>
    </row>
    <row r="1171" spans="1:7" hidden="1" x14ac:dyDescent="0.25">
      <c r="A1171" s="3" t="s">
        <v>558</v>
      </c>
      <c r="B1171" s="3" t="s">
        <v>2587</v>
      </c>
      <c r="C1171" s="3" t="s">
        <v>2588</v>
      </c>
      <c r="D1171" s="3" t="s">
        <v>122</v>
      </c>
      <c r="E1171" s="3" t="s">
        <v>2674</v>
      </c>
      <c r="F1171" s="3">
        <f>COUNTIF(C1171,PickedPlayers!D:D)</f>
        <v>0</v>
      </c>
      <c r="G1171" s="3" t="str">
        <f t="shared" si="18"/>
        <v>Yes</v>
      </c>
    </row>
    <row r="1172" spans="1:7" hidden="1" x14ac:dyDescent="0.25">
      <c r="A1172" s="3" t="s">
        <v>558</v>
      </c>
      <c r="B1172" s="3" t="s">
        <v>2575</v>
      </c>
      <c r="C1172" s="3" t="s">
        <v>2576</v>
      </c>
      <c r="D1172" s="3" t="s">
        <v>122</v>
      </c>
      <c r="E1172" s="3" t="s">
        <v>2674</v>
      </c>
      <c r="F1172" s="3">
        <f>COUNTIF(C1172,PickedPlayers!D:D)</f>
        <v>0</v>
      </c>
      <c r="G1172" s="3" t="str">
        <f t="shared" si="18"/>
        <v>Yes</v>
      </c>
    </row>
    <row r="1173" spans="1:7" hidden="1" x14ac:dyDescent="0.25">
      <c r="A1173" s="3" t="s">
        <v>558</v>
      </c>
      <c r="B1173" s="3" t="s">
        <v>2585</v>
      </c>
      <c r="C1173" s="3" t="s">
        <v>2586</v>
      </c>
      <c r="D1173" s="3" t="s">
        <v>122</v>
      </c>
      <c r="E1173" s="3" t="s">
        <v>2674</v>
      </c>
      <c r="F1173" s="3">
        <f>COUNTIF(C1173,PickedPlayers!D:D)</f>
        <v>0</v>
      </c>
      <c r="G1173" s="3" t="str">
        <f t="shared" si="18"/>
        <v>Yes</v>
      </c>
    </row>
    <row r="1174" spans="1:7" hidden="1" x14ac:dyDescent="0.25">
      <c r="A1174" s="3" t="s">
        <v>558</v>
      </c>
      <c r="B1174" s="3" t="s">
        <v>2577</v>
      </c>
      <c r="C1174" s="3" t="s">
        <v>2578</v>
      </c>
      <c r="D1174" s="3" t="s">
        <v>122</v>
      </c>
      <c r="E1174" s="3" t="s">
        <v>2674</v>
      </c>
      <c r="F1174" s="3">
        <f>COUNTIF(C1174,PickedPlayers!D:D)</f>
        <v>0</v>
      </c>
      <c r="G1174" s="3" t="str">
        <f t="shared" si="18"/>
        <v>Yes</v>
      </c>
    </row>
    <row r="1175" spans="1:7" hidden="1" x14ac:dyDescent="0.25">
      <c r="A1175" s="3" t="s">
        <v>558</v>
      </c>
      <c r="B1175" s="3" t="s">
        <v>2581</v>
      </c>
      <c r="C1175" s="3" t="s">
        <v>2582</v>
      </c>
      <c r="D1175" s="3" t="s">
        <v>122</v>
      </c>
      <c r="E1175" s="3" t="s">
        <v>2674</v>
      </c>
      <c r="F1175" s="3">
        <f>COUNTIF(C1175,PickedPlayers!D:D)</f>
        <v>0</v>
      </c>
      <c r="G1175" s="3" t="str">
        <f t="shared" si="18"/>
        <v>Yes</v>
      </c>
    </row>
    <row r="1176" spans="1:7" hidden="1" x14ac:dyDescent="0.25">
      <c r="A1176" s="3" t="s">
        <v>558</v>
      </c>
      <c r="B1176" s="3" t="s">
        <v>2583</v>
      </c>
      <c r="C1176" s="3" t="s">
        <v>2584</v>
      </c>
      <c r="D1176" s="3" t="s">
        <v>122</v>
      </c>
      <c r="E1176" s="3" t="s">
        <v>2674</v>
      </c>
      <c r="F1176" s="3">
        <f>COUNTIF(C1176,PickedPlayers!D:D)</f>
        <v>0</v>
      </c>
      <c r="G1176" s="3" t="str">
        <f t="shared" si="18"/>
        <v>Yes</v>
      </c>
    </row>
    <row r="1177" spans="1:7" hidden="1" x14ac:dyDescent="0.25">
      <c r="A1177" s="3" t="s">
        <v>558</v>
      </c>
      <c r="B1177" s="3" t="s">
        <v>2589</v>
      </c>
      <c r="C1177" s="3" t="s">
        <v>2590</v>
      </c>
      <c r="D1177" s="3" t="s">
        <v>122</v>
      </c>
      <c r="E1177" s="3" t="s">
        <v>2674</v>
      </c>
      <c r="F1177" s="3">
        <f>COUNTIF(C1177,PickedPlayers!D:D)</f>
        <v>0</v>
      </c>
      <c r="G1177" s="3" t="str">
        <f t="shared" si="18"/>
        <v>Yes</v>
      </c>
    </row>
    <row r="1178" spans="1:7" hidden="1" x14ac:dyDescent="0.25">
      <c r="A1178" s="3" t="s">
        <v>558</v>
      </c>
      <c r="B1178" s="3" t="s">
        <v>2579</v>
      </c>
      <c r="C1178" s="3" t="s">
        <v>2580</v>
      </c>
      <c r="D1178" s="3" t="s">
        <v>122</v>
      </c>
      <c r="E1178" s="3" t="s">
        <v>2674</v>
      </c>
      <c r="F1178" s="3">
        <f>COUNTIF(C1178,PickedPlayers!D:D)</f>
        <v>0</v>
      </c>
      <c r="G1178" s="3" t="str">
        <f t="shared" si="18"/>
        <v>Yes</v>
      </c>
    </row>
    <row r="1179" spans="1:7" hidden="1" x14ac:dyDescent="0.25">
      <c r="A1179" s="3" t="s">
        <v>577</v>
      </c>
      <c r="B1179" s="3" t="s">
        <v>2597</v>
      </c>
      <c r="C1179" s="3" t="s">
        <v>340</v>
      </c>
      <c r="D1179" s="3" t="s">
        <v>122</v>
      </c>
      <c r="E1179" s="3" t="s">
        <v>2675</v>
      </c>
      <c r="F1179" s="3">
        <f>COUNTIF(C1179,PickedPlayers!D:D)</f>
        <v>0</v>
      </c>
      <c r="G1179" s="3" t="str">
        <f t="shared" si="18"/>
        <v>Yes</v>
      </c>
    </row>
    <row r="1180" spans="1:7" hidden="1" x14ac:dyDescent="0.25">
      <c r="A1180" s="3" t="s">
        <v>577</v>
      </c>
      <c r="B1180" s="3" t="s">
        <v>2593</v>
      </c>
      <c r="C1180" s="3" t="s">
        <v>2594</v>
      </c>
      <c r="D1180" s="3" t="s">
        <v>122</v>
      </c>
      <c r="E1180" s="3" t="s">
        <v>2675</v>
      </c>
      <c r="F1180" s="3">
        <f>COUNTIF(C1180,PickedPlayers!D:D)</f>
        <v>0</v>
      </c>
      <c r="G1180" s="3" t="str">
        <f t="shared" si="18"/>
        <v>Yes</v>
      </c>
    </row>
    <row r="1181" spans="1:7" hidden="1" x14ac:dyDescent="0.25">
      <c r="A1181" s="3" t="s">
        <v>577</v>
      </c>
      <c r="B1181" s="3" t="s">
        <v>2602</v>
      </c>
      <c r="C1181" s="3" t="s">
        <v>388</v>
      </c>
      <c r="D1181" s="3" t="s">
        <v>122</v>
      </c>
      <c r="E1181" s="3" t="s">
        <v>2675</v>
      </c>
      <c r="F1181" s="3">
        <f>COUNTIF(C1181,PickedPlayers!D:D)</f>
        <v>0</v>
      </c>
      <c r="G1181" s="3" t="str">
        <f t="shared" si="18"/>
        <v>Yes</v>
      </c>
    </row>
    <row r="1182" spans="1:7" hidden="1" x14ac:dyDescent="0.25">
      <c r="A1182" s="3" t="s">
        <v>577</v>
      </c>
      <c r="B1182" s="3" t="s">
        <v>2605</v>
      </c>
      <c r="C1182" s="3" t="s">
        <v>2606</v>
      </c>
      <c r="D1182" s="3" t="s">
        <v>122</v>
      </c>
      <c r="E1182" s="3" t="s">
        <v>2675</v>
      </c>
      <c r="F1182" s="3">
        <f>COUNTIF(C1182,PickedPlayers!D:D)</f>
        <v>0</v>
      </c>
      <c r="G1182" s="3" t="str">
        <f t="shared" si="18"/>
        <v>Yes</v>
      </c>
    </row>
    <row r="1183" spans="1:7" hidden="1" x14ac:dyDescent="0.25">
      <c r="A1183" s="3" t="s">
        <v>577</v>
      </c>
      <c r="B1183" s="3" t="s">
        <v>2603</v>
      </c>
      <c r="C1183" s="3" t="s">
        <v>2604</v>
      </c>
      <c r="D1183" s="3" t="s">
        <v>122</v>
      </c>
      <c r="E1183" s="3" t="s">
        <v>2675</v>
      </c>
      <c r="F1183" s="3">
        <f>COUNTIF(C1183,PickedPlayers!D:D)</f>
        <v>0</v>
      </c>
      <c r="G1183" s="3" t="str">
        <f t="shared" si="18"/>
        <v>Yes</v>
      </c>
    </row>
    <row r="1184" spans="1:7" hidden="1" x14ac:dyDescent="0.25">
      <c r="A1184" s="3" t="s">
        <v>577</v>
      </c>
      <c r="B1184" s="3" t="s">
        <v>2600</v>
      </c>
      <c r="C1184" s="3" t="s">
        <v>2601</v>
      </c>
      <c r="D1184" s="3" t="s">
        <v>122</v>
      </c>
      <c r="E1184" s="3" t="s">
        <v>2675</v>
      </c>
      <c r="F1184" s="3">
        <f>COUNTIF(C1184,PickedPlayers!D:D)</f>
        <v>0</v>
      </c>
      <c r="G1184" s="3" t="str">
        <f t="shared" si="18"/>
        <v>Yes</v>
      </c>
    </row>
    <row r="1185" spans="1:7" hidden="1" x14ac:dyDescent="0.25">
      <c r="A1185" s="3" t="s">
        <v>577</v>
      </c>
      <c r="B1185" s="3" t="s">
        <v>2591</v>
      </c>
      <c r="C1185" s="3" t="s">
        <v>2592</v>
      </c>
      <c r="D1185" s="3" t="s">
        <v>122</v>
      </c>
      <c r="E1185" s="3" t="s">
        <v>2675</v>
      </c>
      <c r="F1185" s="3">
        <f>COUNTIF(C1185,PickedPlayers!D:D)</f>
        <v>0</v>
      </c>
      <c r="G1185" s="3" t="str">
        <f t="shared" si="18"/>
        <v>Yes</v>
      </c>
    </row>
    <row r="1186" spans="1:7" hidden="1" x14ac:dyDescent="0.25">
      <c r="A1186" s="3" t="s">
        <v>577</v>
      </c>
      <c r="B1186" s="3" t="s">
        <v>2598</v>
      </c>
      <c r="C1186" s="3" t="s">
        <v>2599</v>
      </c>
      <c r="D1186" s="3" t="s">
        <v>122</v>
      </c>
      <c r="E1186" s="3" t="s">
        <v>2675</v>
      </c>
      <c r="F1186" s="3">
        <f>COUNTIF(C1186,PickedPlayers!D:D)</f>
        <v>0</v>
      </c>
      <c r="G1186" s="3" t="str">
        <f t="shared" si="18"/>
        <v>Yes</v>
      </c>
    </row>
    <row r="1187" spans="1:7" hidden="1" x14ac:dyDescent="0.25">
      <c r="A1187" s="3" t="s">
        <v>577</v>
      </c>
      <c r="B1187" s="3" t="s">
        <v>2595</v>
      </c>
      <c r="C1187" s="3" t="s">
        <v>2596</v>
      </c>
      <c r="D1187" s="3" t="s">
        <v>122</v>
      </c>
      <c r="E1187" s="3" t="s">
        <v>2675</v>
      </c>
      <c r="F1187" s="3">
        <f>COUNTIF(C1187,PickedPlayers!D:D)</f>
        <v>0</v>
      </c>
      <c r="G1187" s="3" t="str">
        <f t="shared" si="18"/>
        <v>Yes</v>
      </c>
    </row>
    <row r="1188" spans="1:7" hidden="1" x14ac:dyDescent="0.25">
      <c r="A1188" s="3" t="s">
        <v>577</v>
      </c>
      <c r="B1188" s="3" t="s">
        <v>2607</v>
      </c>
      <c r="C1188" s="3" t="s">
        <v>2608</v>
      </c>
      <c r="D1188" s="3" t="s">
        <v>122</v>
      </c>
      <c r="E1188" s="3" t="s">
        <v>2675</v>
      </c>
      <c r="F1188" s="3">
        <f>COUNTIF(C1188,PickedPlayers!D:D)</f>
        <v>0</v>
      </c>
      <c r="G1188" s="3" t="str">
        <f t="shared" si="18"/>
        <v>Yes</v>
      </c>
    </row>
    <row r="1189" spans="1:7" hidden="1" x14ac:dyDescent="0.25">
      <c r="A1189" s="3" t="s">
        <v>592</v>
      </c>
      <c r="B1189" s="3" t="s">
        <v>2612</v>
      </c>
      <c r="C1189" s="3" t="s">
        <v>2613</v>
      </c>
      <c r="D1189" s="3" t="s">
        <v>122</v>
      </c>
      <c r="E1189" s="3" t="s">
        <v>2677</v>
      </c>
      <c r="F1189" s="3">
        <f>COUNTIF(C1189,PickedPlayers!D:D)</f>
        <v>0</v>
      </c>
      <c r="G1189" s="3" t="str">
        <f t="shared" si="18"/>
        <v>Yes</v>
      </c>
    </row>
    <row r="1190" spans="1:7" hidden="1" x14ac:dyDescent="0.25">
      <c r="A1190" s="3" t="s">
        <v>592</v>
      </c>
      <c r="B1190" s="3" t="s">
        <v>2616</v>
      </c>
      <c r="C1190" s="3" t="s">
        <v>2617</v>
      </c>
      <c r="D1190" s="3" t="s">
        <v>122</v>
      </c>
      <c r="E1190" s="3" t="s">
        <v>2677</v>
      </c>
      <c r="F1190" s="3">
        <f>COUNTIF(C1190,PickedPlayers!D:D)</f>
        <v>0</v>
      </c>
      <c r="G1190" s="3" t="str">
        <f t="shared" si="18"/>
        <v>Yes</v>
      </c>
    </row>
    <row r="1191" spans="1:7" hidden="1" x14ac:dyDescent="0.25">
      <c r="A1191" s="3" t="s">
        <v>592</v>
      </c>
      <c r="B1191" s="3" t="s">
        <v>2609</v>
      </c>
      <c r="C1191" s="3" t="s">
        <v>414</v>
      </c>
      <c r="D1191" s="3" t="s">
        <v>122</v>
      </c>
      <c r="E1191" s="3" t="s">
        <v>2677</v>
      </c>
      <c r="F1191" s="3">
        <f>COUNTIF(C1191,PickedPlayers!D:D)</f>
        <v>0</v>
      </c>
      <c r="G1191" s="3" t="str">
        <f t="shared" si="18"/>
        <v>Yes</v>
      </c>
    </row>
    <row r="1192" spans="1:7" hidden="1" x14ac:dyDescent="0.25">
      <c r="A1192" s="3" t="s">
        <v>592</v>
      </c>
      <c r="B1192" s="3" t="s">
        <v>2614</v>
      </c>
      <c r="C1192" s="3" t="s">
        <v>2615</v>
      </c>
      <c r="D1192" s="3" t="s">
        <v>122</v>
      </c>
      <c r="E1192" s="3" t="s">
        <v>2677</v>
      </c>
      <c r="F1192" s="3">
        <f>COUNTIF(C1192,PickedPlayers!D:D)</f>
        <v>0</v>
      </c>
      <c r="G1192" s="3" t="str">
        <f t="shared" si="18"/>
        <v>Yes</v>
      </c>
    </row>
    <row r="1193" spans="1:7" hidden="1" x14ac:dyDescent="0.25">
      <c r="A1193" s="3" t="s">
        <v>592</v>
      </c>
      <c r="B1193" s="3" t="s">
        <v>2610</v>
      </c>
      <c r="C1193" s="3" t="s">
        <v>2611</v>
      </c>
      <c r="D1193" s="3" t="s">
        <v>122</v>
      </c>
      <c r="E1193" s="3" t="s">
        <v>2677</v>
      </c>
      <c r="F1193" s="3">
        <f>COUNTIF(C1193,PickedPlayers!D:D)</f>
        <v>0</v>
      </c>
      <c r="G1193" s="3" t="str">
        <f t="shared" si="18"/>
        <v>Yes</v>
      </c>
    </row>
    <row r="1194" spans="1:7" hidden="1" x14ac:dyDescent="0.25">
      <c r="A1194" s="3" t="s">
        <v>551</v>
      </c>
      <c r="B1194" s="3" t="s">
        <v>2523</v>
      </c>
      <c r="C1194" s="3" t="s">
        <v>2524</v>
      </c>
      <c r="D1194" s="3" t="s">
        <v>2522</v>
      </c>
      <c r="E1194" s="3" t="s">
        <v>2673</v>
      </c>
      <c r="F1194" s="3">
        <f>COUNTIF(C1194,PickedPlayers!D:D)</f>
        <v>0</v>
      </c>
      <c r="G1194" s="3" t="str">
        <f t="shared" si="18"/>
        <v>Yes</v>
      </c>
    </row>
    <row r="1195" spans="1:7" hidden="1" x14ac:dyDescent="0.25">
      <c r="A1195" s="3" t="s">
        <v>551</v>
      </c>
      <c r="B1195" s="3" t="s">
        <v>2525</v>
      </c>
      <c r="C1195" s="3" t="s">
        <v>513</v>
      </c>
      <c r="D1195" s="3" t="s">
        <v>2522</v>
      </c>
      <c r="E1195" s="3" t="s">
        <v>2673</v>
      </c>
      <c r="F1195" s="3">
        <f>COUNTIF(C1195,PickedPlayers!D:D)</f>
        <v>0</v>
      </c>
      <c r="G1195" s="3" t="str">
        <f t="shared" si="18"/>
        <v>Yes</v>
      </c>
    </row>
    <row r="1196" spans="1:7" hidden="1" x14ac:dyDescent="0.25">
      <c r="A1196" s="3" t="s">
        <v>551</v>
      </c>
      <c r="B1196" s="3" t="s">
        <v>2520</v>
      </c>
      <c r="C1196" s="3" t="s">
        <v>2521</v>
      </c>
      <c r="D1196" s="3" t="s">
        <v>2522</v>
      </c>
      <c r="E1196" s="3" t="s">
        <v>2673</v>
      </c>
      <c r="F1196" s="3">
        <f>COUNTIF(C1196,PickedPlayers!D:D)</f>
        <v>0</v>
      </c>
      <c r="G1196" s="3" t="str">
        <f t="shared" si="18"/>
        <v>Yes</v>
      </c>
    </row>
    <row r="1197" spans="1:7" hidden="1" x14ac:dyDescent="0.25">
      <c r="A1197" s="3" t="s">
        <v>558</v>
      </c>
      <c r="B1197" s="3" t="s">
        <v>2531</v>
      </c>
      <c r="C1197" s="3" t="s">
        <v>2532</v>
      </c>
      <c r="D1197" s="3" t="s">
        <v>2522</v>
      </c>
      <c r="E1197" s="3" t="s">
        <v>2674</v>
      </c>
      <c r="F1197" s="3">
        <f>COUNTIF(C1197,PickedPlayers!D:D)</f>
        <v>0</v>
      </c>
      <c r="G1197" s="3" t="str">
        <f t="shared" si="18"/>
        <v>Yes</v>
      </c>
    </row>
    <row r="1198" spans="1:7" hidden="1" x14ac:dyDescent="0.25">
      <c r="A1198" s="3" t="s">
        <v>558</v>
      </c>
      <c r="B1198" s="3" t="s">
        <v>2533</v>
      </c>
      <c r="C1198" s="3" t="s">
        <v>456</v>
      </c>
      <c r="D1198" s="3" t="s">
        <v>2522</v>
      </c>
      <c r="E1198" s="3" t="s">
        <v>2674</v>
      </c>
      <c r="F1198" s="3">
        <f>COUNTIF(C1198,PickedPlayers!D:D)</f>
        <v>0</v>
      </c>
      <c r="G1198" s="3" t="str">
        <f t="shared" si="18"/>
        <v>Yes</v>
      </c>
    </row>
    <row r="1199" spans="1:7" hidden="1" x14ac:dyDescent="0.25">
      <c r="A1199" s="3" t="s">
        <v>558</v>
      </c>
      <c r="B1199" s="3" t="s">
        <v>2536</v>
      </c>
      <c r="C1199" s="3" t="s">
        <v>2537</v>
      </c>
      <c r="D1199" s="3" t="s">
        <v>2522</v>
      </c>
      <c r="E1199" s="3" t="s">
        <v>2674</v>
      </c>
      <c r="F1199" s="3">
        <f>COUNTIF(C1199,PickedPlayers!D:D)</f>
        <v>0</v>
      </c>
      <c r="G1199" s="3" t="str">
        <f t="shared" si="18"/>
        <v>Yes</v>
      </c>
    </row>
    <row r="1200" spans="1:7" hidden="1" x14ac:dyDescent="0.25">
      <c r="A1200" s="3" t="s">
        <v>558</v>
      </c>
      <c r="B1200" s="3" t="s">
        <v>2529</v>
      </c>
      <c r="C1200" s="3" t="s">
        <v>2530</v>
      </c>
      <c r="D1200" s="3" t="s">
        <v>2522</v>
      </c>
      <c r="E1200" s="3" t="s">
        <v>2674</v>
      </c>
      <c r="F1200" s="3">
        <f>COUNTIF(C1200,PickedPlayers!D:D)</f>
        <v>0</v>
      </c>
      <c r="G1200" s="3" t="str">
        <f t="shared" si="18"/>
        <v>Yes</v>
      </c>
    </row>
    <row r="1201" spans="1:7" hidden="1" x14ac:dyDescent="0.25">
      <c r="A1201" s="3" t="s">
        <v>558</v>
      </c>
      <c r="B1201" s="3" t="s">
        <v>2538</v>
      </c>
      <c r="C1201" s="3" t="s">
        <v>2539</v>
      </c>
      <c r="D1201" s="3" t="s">
        <v>2522</v>
      </c>
      <c r="E1201" s="3" t="s">
        <v>2674</v>
      </c>
      <c r="F1201" s="3">
        <f>COUNTIF(C1201,PickedPlayers!D:D)</f>
        <v>0</v>
      </c>
      <c r="G1201" s="3" t="str">
        <f t="shared" si="18"/>
        <v>Yes</v>
      </c>
    </row>
    <row r="1202" spans="1:7" hidden="1" x14ac:dyDescent="0.25">
      <c r="A1202" s="3" t="s">
        <v>558</v>
      </c>
      <c r="B1202" s="3" t="s">
        <v>2534</v>
      </c>
      <c r="C1202" s="3" t="s">
        <v>2535</v>
      </c>
      <c r="D1202" s="3" t="s">
        <v>2522</v>
      </c>
      <c r="E1202" s="3" t="s">
        <v>2674</v>
      </c>
      <c r="F1202" s="3">
        <f>COUNTIF(C1202,PickedPlayers!D:D)</f>
        <v>0</v>
      </c>
      <c r="G1202" s="3" t="str">
        <f t="shared" si="18"/>
        <v>Yes</v>
      </c>
    </row>
    <row r="1203" spans="1:7" hidden="1" x14ac:dyDescent="0.25">
      <c r="A1203" s="3" t="s">
        <v>558</v>
      </c>
      <c r="B1203" s="3" t="s">
        <v>2540</v>
      </c>
      <c r="C1203" s="3" t="s">
        <v>2541</v>
      </c>
      <c r="D1203" s="3" t="s">
        <v>2522</v>
      </c>
      <c r="E1203" s="3" t="s">
        <v>2674</v>
      </c>
      <c r="F1203" s="3">
        <f>COUNTIF(C1203,PickedPlayers!D:D)</f>
        <v>0</v>
      </c>
      <c r="G1203" s="3" t="str">
        <f t="shared" si="18"/>
        <v>Yes</v>
      </c>
    </row>
    <row r="1204" spans="1:7" hidden="1" x14ac:dyDescent="0.25">
      <c r="A1204" s="3" t="s">
        <v>558</v>
      </c>
      <c r="B1204" s="3" t="s">
        <v>2526</v>
      </c>
      <c r="C1204" s="3" t="s">
        <v>543</v>
      </c>
      <c r="D1204" s="3" t="s">
        <v>2522</v>
      </c>
      <c r="E1204" s="3" t="s">
        <v>2674</v>
      </c>
      <c r="F1204" s="3">
        <f>COUNTIF(C1204,PickedPlayers!D:D)</f>
        <v>0</v>
      </c>
      <c r="G1204" s="3" t="str">
        <f t="shared" si="18"/>
        <v>Yes</v>
      </c>
    </row>
    <row r="1205" spans="1:7" hidden="1" x14ac:dyDescent="0.25">
      <c r="A1205" s="3" t="s">
        <v>558</v>
      </c>
      <c r="B1205" s="3" t="s">
        <v>2527</v>
      </c>
      <c r="C1205" s="3" t="s">
        <v>2528</v>
      </c>
      <c r="D1205" s="3" t="s">
        <v>2522</v>
      </c>
      <c r="E1205" s="3" t="s">
        <v>2674</v>
      </c>
      <c r="F1205" s="3">
        <f>COUNTIF(C1205,PickedPlayers!D:D)</f>
        <v>0</v>
      </c>
      <c r="G1205" s="3" t="str">
        <f t="shared" si="18"/>
        <v>Yes</v>
      </c>
    </row>
    <row r="1206" spans="1:7" x14ac:dyDescent="0.25">
      <c r="A1206" s="3" t="s">
        <v>577</v>
      </c>
      <c r="B1206" s="3" t="s">
        <v>2557</v>
      </c>
      <c r="C1206" s="3" t="s">
        <v>2558</v>
      </c>
      <c r="D1206" s="3" t="s">
        <v>2522</v>
      </c>
      <c r="E1206" s="3" t="s">
        <v>2675</v>
      </c>
      <c r="F1206" s="3">
        <f>COUNTIF(C1206,PickedPlayers!D:D)</f>
        <v>0</v>
      </c>
      <c r="G1206" s="3" t="str">
        <f t="shared" si="18"/>
        <v>Yes</v>
      </c>
    </row>
    <row r="1207" spans="1:7" x14ac:dyDescent="0.25">
      <c r="A1207" s="3" t="s">
        <v>577</v>
      </c>
      <c r="B1207" s="3" t="s">
        <v>2554</v>
      </c>
      <c r="C1207" s="3" t="s">
        <v>386</v>
      </c>
      <c r="D1207" s="3" t="s">
        <v>2522</v>
      </c>
      <c r="E1207" s="3" t="s">
        <v>2675</v>
      </c>
      <c r="F1207" s="3">
        <f>COUNTIF(C1207,PickedPlayers!D:D)</f>
        <v>0</v>
      </c>
      <c r="G1207" s="3" t="str">
        <f t="shared" si="18"/>
        <v>Yes</v>
      </c>
    </row>
    <row r="1208" spans="1:7" x14ac:dyDescent="0.25">
      <c r="A1208" s="3" t="s">
        <v>577</v>
      </c>
      <c r="B1208" s="3" t="s">
        <v>2548</v>
      </c>
      <c r="C1208" s="3" t="s">
        <v>2549</v>
      </c>
      <c r="D1208" s="3" t="s">
        <v>2522</v>
      </c>
      <c r="E1208" s="3" t="s">
        <v>2675</v>
      </c>
      <c r="F1208" s="3">
        <f>COUNTIF(C1208,PickedPlayers!D:D)</f>
        <v>0</v>
      </c>
      <c r="G1208" s="3" t="str">
        <f t="shared" si="18"/>
        <v>Yes</v>
      </c>
    </row>
    <row r="1209" spans="1:7" x14ac:dyDescent="0.25">
      <c r="A1209" s="3" t="s">
        <v>577</v>
      </c>
      <c r="B1209" s="3" t="s">
        <v>2546</v>
      </c>
      <c r="C1209" s="3" t="s">
        <v>2547</v>
      </c>
      <c r="D1209" s="3" t="s">
        <v>2522</v>
      </c>
      <c r="E1209" s="3" t="s">
        <v>2675</v>
      </c>
      <c r="F1209" s="3">
        <f>COUNTIF(C1209,PickedPlayers!D:D)</f>
        <v>0</v>
      </c>
      <c r="G1209" s="3" t="str">
        <f t="shared" si="18"/>
        <v>Yes</v>
      </c>
    </row>
    <row r="1210" spans="1:7" x14ac:dyDescent="0.25">
      <c r="A1210" s="3" t="s">
        <v>577</v>
      </c>
      <c r="B1210" s="3" t="s">
        <v>2555</v>
      </c>
      <c r="C1210" s="3" t="s">
        <v>2556</v>
      </c>
      <c r="D1210" s="3" t="s">
        <v>2522</v>
      </c>
      <c r="E1210" s="3" t="s">
        <v>2675</v>
      </c>
      <c r="F1210" s="3">
        <f>COUNTIF(C1210,PickedPlayers!D:D)</f>
        <v>0</v>
      </c>
      <c r="G1210" s="3" t="str">
        <f t="shared" si="18"/>
        <v>Yes</v>
      </c>
    </row>
    <row r="1211" spans="1:7" x14ac:dyDescent="0.25">
      <c r="A1211" s="3" t="s">
        <v>577</v>
      </c>
      <c r="B1211" s="3" t="s">
        <v>2552</v>
      </c>
      <c r="C1211" s="3" t="s">
        <v>2553</v>
      </c>
      <c r="D1211" s="3" t="s">
        <v>2522</v>
      </c>
      <c r="E1211" s="3" t="s">
        <v>2675</v>
      </c>
      <c r="F1211" s="3">
        <f>COUNTIF(C1211,PickedPlayers!D:D)</f>
        <v>0</v>
      </c>
      <c r="G1211" s="3" t="str">
        <f t="shared" si="18"/>
        <v>Yes</v>
      </c>
    </row>
    <row r="1212" spans="1:7" x14ac:dyDescent="0.25">
      <c r="A1212" s="3" t="s">
        <v>577</v>
      </c>
      <c r="B1212" s="3" t="s">
        <v>2544</v>
      </c>
      <c r="C1212" s="3" t="s">
        <v>2545</v>
      </c>
      <c r="D1212" s="3" t="s">
        <v>2522</v>
      </c>
      <c r="E1212" s="3" t="s">
        <v>2675</v>
      </c>
      <c r="F1212" s="3">
        <f>COUNTIF(C1212,PickedPlayers!D:D)</f>
        <v>0</v>
      </c>
      <c r="G1212" s="3" t="str">
        <f t="shared" si="18"/>
        <v>Yes</v>
      </c>
    </row>
    <row r="1213" spans="1:7" x14ac:dyDescent="0.25">
      <c r="A1213" s="3" t="s">
        <v>577</v>
      </c>
      <c r="B1213" s="3" t="s">
        <v>2542</v>
      </c>
      <c r="C1213" s="3" t="s">
        <v>2543</v>
      </c>
      <c r="D1213" s="3" t="s">
        <v>2522</v>
      </c>
      <c r="E1213" s="3" t="s">
        <v>2675</v>
      </c>
      <c r="F1213" s="3">
        <f>COUNTIF(C1213,PickedPlayers!D:D)</f>
        <v>0</v>
      </c>
      <c r="G1213" s="3" t="str">
        <f t="shared" si="18"/>
        <v>Yes</v>
      </c>
    </row>
    <row r="1214" spans="1:7" x14ac:dyDescent="0.25">
      <c r="A1214" s="3" t="s">
        <v>577</v>
      </c>
      <c r="B1214" s="3" t="s">
        <v>2550</v>
      </c>
      <c r="C1214" s="3" t="s">
        <v>2551</v>
      </c>
      <c r="D1214" s="3" t="s">
        <v>2522</v>
      </c>
      <c r="E1214" s="3" t="s">
        <v>2675</v>
      </c>
      <c r="F1214" s="3">
        <f>COUNTIF(C1214,PickedPlayers!D:D)</f>
        <v>0</v>
      </c>
      <c r="G1214" s="3" t="str">
        <f t="shared" si="18"/>
        <v>Yes</v>
      </c>
    </row>
    <row r="1215" spans="1:7" hidden="1" x14ac:dyDescent="0.25">
      <c r="A1215" s="3" t="s">
        <v>592</v>
      </c>
      <c r="B1215" s="3" t="s">
        <v>2565</v>
      </c>
      <c r="C1215" s="3" t="s">
        <v>2566</v>
      </c>
      <c r="D1215" s="3" t="s">
        <v>2522</v>
      </c>
      <c r="E1215" s="3" t="s">
        <v>2677</v>
      </c>
      <c r="F1215" s="3">
        <f>COUNTIF(C1215,PickedPlayers!D:D)</f>
        <v>0</v>
      </c>
      <c r="G1215" s="3" t="str">
        <f t="shared" si="18"/>
        <v>Yes</v>
      </c>
    </row>
    <row r="1216" spans="1:7" hidden="1" x14ac:dyDescent="0.25">
      <c r="A1216" s="3" t="s">
        <v>592</v>
      </c>
      <c r="B1216" s="3" t="s">
        <v>2567</v>
      </c>
      <c r="C1216" s="3" t="s">
        <v>2568</v>
      </c>
      <c r="D1216" s="3" t="s">
        <v>2522</v>
      </c>
      <c r="E1216" s="3" t="s">
        <v>2677</v>
      </c>
      <c r="F1216" s="3">
        <f>COUNTIF(C1216,PickedPlayers!D:D)</f>
        <v>0</v>
      </c>
      <c r="G1216" s="3" t="str">
        <f t="shared" si="18"/>
        <v>Yes</v>
      </c>
    </row>
    <row r="1217" spans="1:7" hidden="1" x14ac:dyDescent="0.25">
      <c r="A1217" s="3" t="s">
        <v>592</v>
      </c>
      <c r="B1217" s="3" t="s">
        <v>2563</v>
      </c>
      <c r="C1217" s="3" t="s">
        <v>2564</v>
      </c>
      <c r="D1217" s="3" t="s">
        <v>2522</v>
      </c>
      <c r="E1217" s="3" t="s">
        <v>2677</v>
      </c>
      <c r="F1217" s="3">
        <f>COUNTIF(C1217,PickedPlayers!D:D)</f>
        <v>0</v>
      </c>
      <c r="G1217" s="3" t="str">
        <f t="shared" si="18"/>
        <v>Yes</v>
      </c>
    </row>
    <row r="1218" spans="1:7" hidden="1" x14ac:dyDescent="0.25">
      <c r="A1218" s="3" t="s">
        <v>592</v>
      </c>
      <c r="B1218" s="3" t="s">
        <v>2559</v>
      </c>
      <c r="C1218" s="3" t="s">
        <v>2560</v>
      </c>
      <c r="D1218" s="3" t="s">
        <v>2522</v>
      </c>
      <c r="E1218" s="3" t="s">
        <v>2677</v>
      </c>
      <c r="F1218" s="3">
        <f>COUNTIF(C1218,PickedPlayers!D:D)</f>
        <v>0</v>
      </c>
      <c r="G1218" s="3" t="str">
        <f t="shared" si="18"/>
        <v>Yes</v>
      </c>
    </row>
    <row r="1219" spans="1:7" hidden="1" x14ac:dyDescent="0.25">
      <c r="A1219" s="3" t="s">
        <v>592</v>
      </c>
      <c r="B1219" s="3" t="s">
        <v>2561</v>
      </c>
      <c r="C1219" s="3" t="s">
        <v>2562</v>
      </c>
      <c r="D1219" s="3" t="s">
        <v>2522</v>
      </c>
      <c r="E1219" s="3" t="s">
        <v>2677</v>
      </c>
      <c r="F1219" s="3">
        <f>COUNTIF(C1219,PickedPlayers!D:D)</f>
        <v>0</v>
      </c>
      <c r="G1219" s="3" t="str">
        <f t="shared" ref="G1219:G1245" si="19">IF(F1219&gt;0,"No","Yes")</f>
        <v>Yes</v>
      </c>
    </row>
    <row r="1220" spans="1:7" hidden="1" x14ac:dyDescent="0.25">
      <c r="A1220" s="3" t="s">
        <v>551</v>
      </c>
      <c r="B1220" s="3" t="s">
        <v>2622</v>
      </c>
      <c r="C1220" s="3" t="s">
        <v>2623</v>
      </c>
      <c r="D1220" s="3" t="s">
        <v>97</v>
      </c>
      <c r="E1220" s="3" t="s">
        <v>2673</v>
      </c>
      <c r="F1220" s="3">
        <f>COUNTIF(C1220,PickedPlayers!D:D)</f>
        <v>0</v>
      </c>
      <c r="G1220" s="3" t="str">
        <f t="shared" si="19"/>
        <v>Yes</v>
      </c>
    </row>
    <row r="1221" spans="1:7" hidden="1" x14ac:dyDescent="0.25">
      <c r="A1221" s="3" t="s">
        <v>551</v>
      </c>
      <c r="B1221" s="3" t="s">
        <v>2620</v>
      </c>
      <c r="C1221" s="3" t="s">
        <v>2621</v>
      </c>
      <c r="D1221" s="3" t="s">
        <v>97</v>
      </c>
      <c r="E1221" s="3" t="s">
        <v>2673</v>
      </c>
      <c r="F1221" s="3">
        <f>COUNTIF(C1221,PickedPlayers!D:D)</f>
        <v>0</v>
      </c>
      <c r="G1221" s="3" t="str">
        <f t="shared" si="19"/>
        <v>Yes</v>
      </c>
    </row>
    <row r="1222" spans="1:7" hidden="1" x14ac:dyDescent="0.25">
      <c r="A1222" s="3" t="s">
        <v>551</v>
      </c>
      <c r="B1222" s="3" t="s">
        <v>2618</v>
      </c>
      <c r="C1222" s="3" t="s">
        <v>2619</v>
      </c>
      <c r="D1222" s="3" t="s">
        <v>97</v>
      </c>
      <c r="E1222" s="3" t="s">
        <v>2673</v>
      </c>
      <c r="F1222" s="3">
        <f>COUNTIF(C1222,PickedPlayers!D:D)</f>
        <v>0</v>
      </c>
      <c r="G1222" s="3" t="str">
        <f t="shared" si="19"/>
        <v>Yes</v>
      </c>
    </row>
    <row r="1223" spans="1:7" hidden="1" x14ac:dyDescent="0.25">
      <c r="A1223" s="3" t="s">
        <v>558</v>
      </c>
      <c r="B1223" s="3" t="s">
        <v>2624</v>
      </c>
      <c r="C1223" s="3" t="s">
        <v>2625</v>
      </c>
      <c r="D1223" s="3" t="s">
        <v>97</v>
      </c>
      <c r="E1223" s="3" t="s">
        <v>2674</v>
      </c>
      <c r="F1223" s="3">
        <f>COUNTIF(C1223,PickedPlayers!D:D)</f>
        <v>0</v>
      </c>
      <c r="G1223" s="3" t="str">
        <f t="shared" si="19"/>
        <v>Yes</v>
      </c>
    </row>
    <row r="1224" spans="1:7" hidden="1" x14ac:dyDescent="0.25">
      <c r="A1224" s="3" t="s">
        <v>558</v>
      </c>
      <c r="B1224" s="3" t="s">
        <v>2634</v>
      </c>
      <c r="C1224" s="3" t="s">
        <v>2635</v>
      </c>
      <c r="D1224" s="3" t="s">
        <v>97</v>
      </c>
      <c r="E1224" s="3" t="s">
        <v>2674</v>
      </c>
      <c r="F1224" s="3">
        <f>COUNTIF(C1224,PickedPlayers!D:D)</f>
        <v>0</v>
      </c>
      <c r="G1224" s="3" t="str">
        <f t="shared" si="19"/>
        <v>Yes</v>
      </c>
    </row>
    <row r="1225" spans="1:7" hidden="1" x14ac:dyDescent="0.25">
      <c r="A1225" s="3" t="s">
        <v>558</v>
      </c>
      <c r="B1225" s="3" t="s">
        <v>2630</v>
      </c>
      <c r="C1225" s="3" t="s">
        <v>2631</v>
      </c>
      <c r="D1225" s="3" t="s">
        <v>97</v>
      </c>
      <c r="E1225" s="3" t="s">
        <v>2674</v>
      </c>
      <c r="F1225" s="3">
        <f>COUNTIF(C1225,PickedPlayers!D:D)</f>
        <v>0</v>
      </c>
      <c r="G1225" s="3" t="str">
        <f t="shared" si="19"/>
        <v>Yes</v>
      </c>
    </row>
    <row r="1226" spans="1:7" hidden="1" x14ac:dyDescent="0.25">
      <c r="A1226" s="3" t="s">
        <v>558</v>
      </c>
      <c r="B1226" s="3" t="s">
        <v>2632</v>
      </c>
      <c r="C1226" s="3" t="s">
        <v>2633</v>
      </c>
      <c r="D1226" s="3" t="s">
        <v>97</v>
      </c>
      <c r="E1226" s="3" t="s">
        <v>2674</v>
      </c>
      <c r="F1226" s="3">
        <f>COUNTIF(C1226,PickedPlayers!D:D)</f>
        <v>0</v>
      </c>
      <c r="G1226" s="3" t="str">
        <f t="shared" si="19"/>
        <v>Yes</v>
      </c>
    </row>
    <row r="1227" spans="1:7" hidden="1" x14ac:dyDescent="0.25">
      <c r="A1227" s="3" t="s">
        <v>558</v>
      </c>
      <c r="B1227" s="3" t="s">
        <v>2638</v>
      </c>
      <c r="C1227" s="3" t="s">
        <v>2639</v>
      </c>
      <c r="D1227" s="3" t="s">
        <v>97</v>
      </c>
      <c r="E1227" s="3" t="s">
        <v>2674</v>
      </c>
      <c r="F1227" s="3">
        <f>COUNTIF(C1227,PickedPlayers!D:D)</f>
        <v>0</v>
      </c>
      <c r="G1227" s="3" t="str">
        <f t="shared" si="19"/>
        <v>Yes</v>
      </c>
    </row>
    <row r="1228" spans="1:7" hidden="1" x14ac:dyDescent="0.25">
      <c r="A1228" s="3" t="s">
        <v>558</v>
      </c>
      <c r="B1228" s="3" t="s">
        <v>2628</v>
      </c>
      <c r="C1228" s="3" t="s">
        <v>2629</v>
      </c>
      <c r="D1228" s="3" t="s">
        <v>97</v>
      </c>
      <c r="E1228" s="3" t="s">
        <v>2674</v>
      </c>
      <c r="F1228" s="3">
        <f>COUNTIF(C1228,PickedPlayers!D:D)</f>
        <v>0</v>
      </c>
      <c r="G1228" s="3" t="str">
        <f t="shared" si="19"/>
        <v>Yes</v>
      </c>
    </row>
    <row r="1229" spans="1:7" hidden="1" x14ac:dyDescent="0.25">
      <c r="A1229" s="3" t="s">
        <v>558</v>
      </c>
      <c r="B1229" s="3" t="s">
        <v>2636</v>
      </c>
      <c r="C1229" s="3" t="s">
        <v>2637</v>
      </c>
      <c r="D1229" s="3" t="s">
        <v>97</v>
      </c>
      <c r="E1229" s="3" t="s">
        <v>2674</v>
      </c>
      <c r="F1229" s="3">
        <f>COUNTIF(C1229,PickedPlayers!D:D)</f>
        <v>0</v>
      </c>
      <c r="G1229" s="3" t="str">
        <f t="shared" si="19"/>
        <v>Yes</v>
      </c>
    </row>
    <row r="1230" spans="1:7" hidden="1" x14ac:dyDescent="0.25">
      <c r="A1230" s="3" t="s">
        <v>558</v>
      </c>
      <c r="B1230" s="3" t="s">
        <v>2640</v>
      </c>
      <c r="C1230" s="3" t="s">
        <v>2641</v>
      </c>
      <c r="D1230" s="3" t="s">
        <v>97</v>
      </c>
      <c r="E1230" s="3" t="s">
        <v>2674</v>
      </c>
      <c r="F1230" s="3">
        <f>COUNTIF(C1230,PickedPlayers!D:D)</f>
        <v>0</v>
      </c>
      <c r="G1230" s="3" t="str">
        <f t="shared" si="19"/>
        <v>Yes</v>
      </c>
    </row>
    <row r="1231" spans="1:7" hidden="1" x14ac:dyDescent="0.25">
      <c r="A1231" s="3" t="s">
        <v>558</v>
      </c>
      <c r="B1231" s="3" t="s">
        <v>2626</v>
      </c>
      <c r="C1231" s="3" t="s">
        <v>2627</v>
      </c>
      <c r="D1231" s="3" t="s">
        <v>97</v>
      </c>
      <c r="E1231" s="3" t="s">
        <v>2674</v>
      </c>
      <c r="F1231" s="3">
        <f>COUNTIF(C1231,PickedPlayers!D:D)</f>
        <v>0</v>
      </c>
      <c r="G1231" s="3" t="str">
        <f t="shared" si="19"/>
        <v>Yes</v>
      </c>
    </row>
    <row r="1232" spans="1:7" hidden="1" x14ac:dyDescent="0.25">
      <c r="A1232" s="3" t="s">
        <v>577</v>
      </c>
      <c r="B1232" s="3" t="s">
        <v>2648</v>
      </c>
      <c r="C1232" s="3" t="s">
        <v>2649</v>
      </c>
      <c r="D1232" s="3" t="s">
        <v>97</v>
      </c>
      <c r="E1232" s="3" t="s">
        <v>2675</v>
      </c>
      <c r="F1232" s="3">
        <f>COUNTIF(C1232,PickedPlayers!D:D)</f>
        <v>0</v>
      </c>
      <c r="G1232" s="3" t="str">
        <f t="shared" si="19"/>
        <v>Yes</v>
      </c>
    </row>
    <row r="1233" spans="1:7" hidden="1" x14ac:dyDescent="0.25">
      <c r="A1233" s="3" t="s">
        <v>577</v>
      </c>
      <c r="B1233" s="3" t="s">
        <v>2656</v>
      </c>
      <c r="C1233" s="3" t="s">
        <v>2657</v>
      </c>
      <c r="D1233" s="3" t="s">
        <v>97</v>
      </c>
      <c r="E1233" s="3" t="s">
        <v>2675</v>
      </c>
      <c r="F1233" s="3">
        <f>COUNTIF(C1233,PickedPlayers!D:D)</f>
        <v>0</v>
      </c>
      <c r="G1233" s="3" t="str">
        <f t="shared" si="19"/>
        <v>Yes</v>
      </c>
    </row>
    <row r="1234" spans="1:7" hidden="1" x14ac:dyDescent="0.25">
      <c r="A1234" s="3" t="s">
        <v>577</v>
      </c>
      <c r="B1234" s="3" t="s">
        <v>2652</v>
      </c>
      <c r="C1234" s="3" t="s">
        <v>2653</v>
      </c>
      <c r="D1234" s="3" t="s">
        <v>97</v>
      </c>
      <c r="E1234" s="3" t="s">
        <v>2675</v>
      </c>
      <c r="F1234" s="3">
        <f>COUNTIF(C1234,PickedPlayers!D:D)</f>
        <v>0</v>
      </c>
      <c r="G1234" s="3" t="str">
        <f t="shared" si="19"/>
        <v>Yes</v>
      </c>
    </row>
    <row r="1235" spans="1:7" hidden="1" x14ac:dyDescent="0.25">
      <c r="A1235" s="3" t="s">
        <v>577</v>
      </c>
      <c r="B1235" s="3" t="s">
        <v>2642</v>
      </c>
      <c r="C1235" s="3" t="s">
        <v>2643</v>
      </c>
      <c r="D1235" s="3" t="s">
        <v>97</v>
      </c>
      <c r="E1235" s="3" t="s">
        <v>2675</v>
      </c>
      <c r="F1235" s="3">
        <f>COUNTIF(C1235,PickedPlayers!D:D)</f>
        <v>0</v>
      </c>
      <c r="G1235" s="3" t="str">
        <f t="shared" si="19"/>
        <v>Yes</v>
      </c>
    </row>
    <row r="1236" spans="1:7" hidden="1" x14ac:dyDescent="0.25">
      <c r="A1236" s="3" t="s">
        <v>577</v>
      </c>
      <c r="B1236" s="3" t="s">
        <v>2644</v>
      </c>
      <c r="C1236" s="3" t="s">
        <v>2645</v>
      </c>
      <c r="D1236" s="3" t="s">
        <v>97</v>
      </c>
      <c r="E1236" s="3" t="s">
        <v>2675</v>
      </c>
      <c r="F1236" s="3">
        <f>COUNTIF(C1236,PickedPlayers!D:D)</f>
        <v>0</v>
      </c>
      <c r="G1236" s="3" t="str">
        <f t="shared" si="19"/>
        <v>Yes</v>
      </c>
    </row>
    <row r="1237" spans="1:7" hidden="1" x14ac:dyDescent="0.25">
      <c r="A1237" s="3" t="s">
        <v>577</v>
      </c>
      <c r="B1237" s="3" t="s">
        <v>2650</v>
      </c>
      <c r="C1237" s="3" t="s">
        <v>2651</v>
      </c>
      <c r="D1237" s="3" t="s">
        <v>97</v>
      </c>
      <c r="E1237" s="3" t="s">
        <v>2675</v>
      </c>
      <c r="F1237" s="3">
        <f>COUNTIF(C1237,PickedPlayers!D:D)</f>
        <v>0</v>
      </c>
      <c r="G1237" s="3" t="str">
        <f t="shared" si="19"/>
        <v>Yes</v>
      </c>
    </row>
    <row r="1238" spans="1:7" hidden="1" x14ac:dyDescent="0.25">
      <c r="A1238" s="3" t="s">
        <v>577</v>
      </c>
      <c r="B1238" s="3" t="s">
        <v>2658</v>
      </c>
      <c r="C1238" s="3" t="s">
        <v>2659</v>
      </c>
      <c r="D1238" s="3" t="s">
        <v>97</v>
      </c>
      <c r="E1238" s="3" t="s">
        <v>2675</v>
      </c>
      <c r="F1238" s="3">
        <f>COUNTIF(C1238,PickedPlayers!D:D)</f>
        <v>0</v>
      </c>
      <c r="G1238" s="3" t="str">
        <f t="shared" si="19"/>
        <v>Yes</v>
      </c>
    </row>
    <row r="1239" spans="1:7" hidden="1" x14ac:dyDescent="0.25">
      <c r="A1239" s="3" t="s">
        <v>577</v>
      </c>
      <c r="B1239" s="3" t="s">
        <v>2654</v>
      </c>
      <c r="C1239" s="3" t="s">
        <v>2655</v>
      </c>
      <c r="D1239" s="3" t="s">
        <v>97</v>
      </c>
      <c r="E1239" s="3" t="s">
        <v>2675</v>
      </c>
      <c r="F1239" s="3">
        <f>COUNTIF(C1239,PickedPlayers!D:D)</f>
        <v>0</v>
      </c>
      <c r="G1239" s="3" t="str">
        <f t="shared" si="19"/>
        <v>Yes</v>
      </c>
    </row>
    <row r="1240" spans="1:7" hidden="1" x14ac:dyDescent="0.25">
      <c r="A1240" s="3" t="s">
        <v>577</v>
      </c>
      <c r="B1240" s="3" t="s">
        <v>2646</v>
      </c>
      <c r="C1240" s="3" t="s">
        <v>2647</v>
      </c>
      <c r="D1240" s="3" t="s">
        <v>97</v>
      </c>
      <c r="E1240" s="3" t="s">
        <v>2675</v>
      </c>
      <c r="F1240" s="3">
        <f>COUNTIF(C1240,PickedPlayers!D:D)</f>
        <v>0</v>
      </c>
      <c r="G1240" s="3" t="str">
        <f t="shared" si="19"/>
        <v>Yes</v>
      </c>
    </row>
    <row r="1241" spans="1:7" hidden="1" x14ac:dyDescent="0.25">
      <c r="A1241" s="3" t="s">
        <v>577</v>
      </c>
      <c r="B1241" s="3" t="s">
        <v>2662</v>
      </c>
      <c r="C1241" s="3" t="s">
        <v>2663</v>
      </c>
      <c r="D1241" s="3" t="s">
        <v>97</v>
      </c>
      <c r="E1241" s="3" t="s">
        <v>2675</v>
      </c>
      <c r="F1241" s="3">
        <f>COUNTIF(C1241,PickedPlayers!D:D)</f>
        <v>0</v>
      </c>
      <c r="G1241" s="3" t="str">
        <f t="shared" si="19"/>
        <v>Yes</v>
      </c>
    </row>
    <row r="1242" spans="1:7" hidden="1" x14ac:dyDescent="0.25">
      <c r="A1242" s="3" t="s">
        <v>577</v>
      </c>
      <c r="B1242" s="3" t="s">
        <v>2660</v>
      </c>
      <c r="C1242" s="3" t="s">
        <v>2661</v>
      </c>
      <c r="D1242" s="3" t="s">
        <v>97</v>
      </c>
      <c r="E1242" s="3" t="s">
        <v>2675</v>
      </c>
      <c r="F1242" s="3">
        <f>COUNTIF(C1242,PickedPlayers!D:D)</f>
        <v>0</v>
      </c>
      <c r="G1242" s="3" t="str">
        <f t="shared" si="19"/>
        <v>Yes</v>
      </c>
    </row>
    <row r="1243" spans="1:7" hidden="1" x14ac:dyDescent="0.25">
      <c r="A1243" s="3" t="s">
        <v>592</v>
      </c>
      <c r="B1243" s="3" t="s">
        <v>2668</v>
      </c>
      <c r="C1243" s="3" t="s">
        <v>2669</v>
      </c>
      <c r="D1243" s="3" t="s">
        <v>97</v>
      </c>
      <c r="E1243" s="3" t="s">
        <v>2677</v>
      </c>
      <c r="F1243" s="3">
        <f>COUNTIF(C1243,PickedPlayers!D:D)</f>
        <v>0</v>
      </c>
      <c r="G1243" s="3" t="str">
        <f t="shared" si="19"/>
        <v>Yes</v>
      </c>
    </row>
    <row r="1244" spans="1:7" hidden="1" x14ac:dyDescent="0.25">
      <c r="A1244" s="3" t="s">
        <v>592</v>
      </c>
      <c r="B1244" s="3" t="s">
        <v>2664</v>
      </c>
      <c r="C1244" s="3" t="s">
        <v>2665</v>
      </c>
      <c r="D1244" s="3" t="s">
        <v>97</v>
      </c>
      <c r="E1244" s="3" t="s">
        <v>2677</v>
      </c>
      <c r="F1244" s="3">
        <f>COUNTIF(C1244,PickedPlayers!D:D)</f>
        <v>0</v>
      </c>
      <c r="G1244" s="3" t="str">
        <f t="shared" si="19"/>
        <v>Yes</v>
      </c>
    </row>
    <row r="1245" spans="1:7" hidden="1" x14ac:dyDescent="0.25">
      <c r="A1245" s="3" t="s">
        <v>592</v>
      </c>
      <c r="B1245" s="3" t="s">
        <v>2666</v>
      </c>
      <c r="C1245" s="3" t="s">
        <v>2667</v>
      </c>
      <c r="D1245" s="3" t="s">
        <v>97</v>
      </c>
      <c r="E1245" s="3" t="s">
        <v>2677</v>
      </c>
      <c r="F1245" s="3">
        <f>COUNTIF(C1245,PickedPlayers!D:D)</f>
        <v>0</v>
      </c>
      <c r="G1245" s="3" t="str">
        <f t="shared" si="19"/>
        <v>Yes</v>
      </c>
    </row>
  </sheetData>
  <autoFilter ref="A1:G1245" xr:uid="{329951AA-1B28-47F0-B80D-E04DBE91CD99}">
    <filterColumn colId="3">
      <filters>
        <filter val="Algeria"/>
        <filter val="Argentina"/>
        <filter val="Australia"/>
        <filter val="Austria"/>
        <filter val="Belgium"/>
        <filter val="Bosnia &amp; Herzogovina"/>
        <filter val="Brazil"/>
        <filter val="Canada"/>
        <filter val="Cape Verde"/>
        <filter val="Colombia"/>
        <filter val="Croatia"/>
        <filter val="DR Congo"/>
        <filter val="Ecuador"/>
        <filter val="Egypt"/>
        <filter val="England"/>
        <filter val="France"/>
        <filter val="Germany"/>
        <filter val="Ghana"/>
        <filter val="Ivory Coast"/>
        <filter val="Japan"/>
        <filter val="Mexico"/>
        <filter val="Morocco"/>
        <filter val="Netherlands"/>
        <filter val="Norway"/>
        <filter val="Paraguay"/>
        <filter val="Portugal"/>
        <filter val="Senegal"/>
        <filter val="South Africa"/>
        <filter val="Spain"/>
        <filter val="Sweden"/>
        <filter val="Switzerland"/>
        <filter val="USA"/>
      </filters>
    </filterColumn>
    <filterColumn colId="4">
      <filters>
        <filter val="MID"/>
      </filters>
    </filterColumn>
  </autoFilter>
  <conditionalFormatting sqref="G1:G1048576">
    <cfRule type="cellIs" dxfId="1" priority="1" operator="equal">
      <formula>"Yes"</formula>
    </cfRule>
    <cfRule type="cellIs" dxfId="0" priority="2" operator="equal">
      <formula>"No"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293F-9936-4DB8-A1DF-113493B0C03C}">
  <dimension ref="A2:N18"/>
  <sheetViews>
    <sheetView workbookViewId="0">
      <selection activeCell="H5" sqref="H5"/>
    </sheetView>
  </sheetViews>
  <sheetFormatPr defaultColWidth="9.140625" defaultRowHeight="15" x14ac:dyDescent="0.25"/>
  <cols>
    <col min="1" max="1" width="20" style="3" customWidth="1"/>
    <col min="2" max="2" width="4.42578125" style="3" customWidth="1"/>
    <col min="3" max="3" width="2.85546875" style="3" customWidth="1"/>
    <col min="4" max="4" width="20" style="3" customWidth="1"/>
    <col min="5" max="5" width="4.42578125" style="3" customWidth="1"/>
    <col min="6" max="6" width="2.85546875" style="3" customWidth="1"/>
    <col min="7" max="7" width="20" style="3" customWidth="1"/>
    <col min="8" max="8" width="4.42578125" style="3" customWidth="1"/>
    <col min="9" max="9" width="2.85546875" style="3" customWidth="1"/>
    <col min="10" max="10" width="20" style="3" customWidth="1"/>
    <col min="11" max="11" width="4.42578125" style="3" customWidth="1"/>
    <col min="12" max="16384" width="9.140625" style="3"/>
  </cols>
  <sheetData>
    <row r="2" spans="1:14" s="4" customFormat="1" x14ac:dyDescent="0.25">
      <c r="A2" s="4" t="s">
        <v>2843</v>
      </c>
      <c r="D2" s="4" t="s">
        <v>2844</v>
      </c>
      <c r="G2" s="4" t="s">
        <v>2845</v>
      </c>
      <c r="J2" s="4" t="s">
        <v>2846</v>
      </c>
      <c r="M2" s="4" t="s">
        <v>2847</v>
      </c>
    </row>
    <row r="3" spans="1:14" x14ac:dyDescent="0.25">
      <c r="A3" s="3" t="s">
        <v>153</v>
      </c>
      <c r="B3" s="3">
        <f>COUNTIF(PickedPlayers!F:F,A3)</f>
        <v>1</v>
      </c>
      <c r="D3" s="3" t="s">
        <v>83</v>
      </c>
      <c r="E3" s="3">
        <f>COUNTIF(PickedPlayers!F:F,D3)</f>
        <v>1</v>
      </c>
      <c r="G3" s="3" t="s">
        <v>78</v>
      </c>
      <c r="H3" s="3">
        <f>COUNTIF(PickedPlayers!F:F,G3)</f>
        <v>10</v>
      </c>
      <c r="J3" s="3" t="s">
        <v>54</v>
      </c>
      <c r="K3" s="3">
        <f>COUNTIF(PickedPlayers!F:F,J3)</f>
        <v>0</v>
      </c>
      <c r="M3" s="3" t="s">
        <v>2673</v>
      </c>
      <c r="N3" s="3">
        <f>COUNTIF(PickedPlayers!G:G,M3)</f>
        <v>16</v>
      </c>
    </row>
    <row r="4" spans="1:14" x14ac:dyDescent="0.25">
      <c r="A4" s="3" t="s">
        <v>82</v>
      </c>
      <c r="B4" s="3">
        <f>COUNTIF(PickedPlayers!F:F,A4)</f>
        <v>1</v>
      </c>
      <c r="D4" s="3" t="s">
        <v>2803</v>
      </c>
      <c r="E4" s="3">
        <f>COUNTIF(PickedPlayers!F:F,D4)</f>
        <v>0</v>
      </c>
      <c r="G4" s="3" t="s">
        <v>70</v>
      </c>
      <c r="H4" s="3">
        <f>COUNTIF(PickedPlayers!F:F,G4)</f>
        <v>3</v>
      </c>
      <c r="J4" s="3" t="s">
        <v>75</v>
      </c>
      <c r="K4" s="3">
        <f>COUNTIF(PickedPlayers!F:F,J4)</f>
        <v>0</v>
      </c>
      <c r="M4" s="3" t="s">
        <v>2674</v>
      </c>
      <c r="N4" s="3">
        <f>COUNTIF(PickedPlayers!G:G,M4)</f>
        <v>43</v>
      </c>
    </row>
    <row r="5" spans="1:14" x14ac:dyDescent="0.25">
      <c r="A5" s="3" t="s">
        <v>2697</v>
      </c>
      <c r="B5" s="3">
        <f>COUNTIF(PickedPlayers!F:F,A5)</f>
        <v>2</v>
      </c>
      <c r="D5" s="3" t="s">
        <v>162</v>
      </c>
      <c r="E5" s="3">
        <f>COUNTIF(PickedPlayers!F:F,D5)</f>
        <v>0</v>
      </c>
      <c r="G5" s="3" t="s">
        <v>156</v>
      </c>
      <c r="H5" s="3">
        <f>COUNTIF(PickedPlayers!F:F,G5)</f>
        <v>1</v>
      </c>
      <c r="J5" s="3" t="s">
        <v>45</v>
      </c>
      <c r="K5" s="3">
        <f>COUNTIF(PickedPlayers!F:F,J5)</f>
        <v>0</v>
      </c>
      <c r="M5" s="3" t="s">
        <v>2675</v>
      </c>
      <c r="N5" s="3">
        <f>COUNTIF(PickedPlayers!G:G,M5)</f>
        <v>37</v>
      </c>
    </row>
    <row r="6" spans="1:14" x14ac:dyDescent="0.25">
      <c r="A6" s="3" t="s">
        <v>2848</v>
      </c>
      <c r="B6" s="3">
        <f>COUNTIF(PickedPlayers!F:F,A6)</f>
        <v>0</v>
      </c>
      <c r="D6" s="3" t="s">
        <v>165</v>
      </c>
      <c r="E6" s="3">
        <f>COUNTIF(PickedPlayers!F:F,D6)</f>
        <v>4</v>
      </c>
      <c r="G6" s="3" t="s">
        <v>159</v>
      </c>
      <c r="H6" s="3">
        <f>COUNTIF(PickedPlayers!F:F,G6)</f>
        <v>0</v>
      </c>
      <c r="J6" s="3" t="s">
        <v>2696</v>
      </c>
      <c r="K6" s="3">
        <f>COUNTIF(PickedPlayers!F:F,J6)</f>
        <v>1</v>
      </c>
      <c r="M6" s="3" t="s">
        <v>2677</v>
      </c>
      <c r="N6" s="3">
        <f>COUNTIF(PickedPlayers!G:G,M6)</f>
        <v>40</v>
      </c>
    </row>
    <row r="8" spans="1:14" s="4" customFormat="1" x14ac:dyDescent="0.25">
      <c r="A8" s="4" t="s">
        <v>2849</v>
      </c>
      <c r="D8" s="4" t="s">
        <v>2850</v>
      </c>
      <c r="G8" s="4" t="s">
        <v>2851</v>
      </c>
      <c r="J8" s="4" t="s">
        <v>2852</v>
      </c>
    </row>
    <row r="9" spans="1:14" x14ac:dyDescent="0.25">
      <c r="A9" s="3" t="s">
        <v>74</v>
      </c>
      <c r="B9" s="3">
        <f>COUNTIF(PickedPlayers!F:F,A9)</f>
        <v>13</v>
      </c>
      <c r="D9" s="3" t="s">
        <v>69</v>
      </c>
      <c r="E9" s="3">
        <f>COUNTIF(PickedPlayers!F:F,D9)</f>
        <v>9</v>
      </c>
      <c r="G9" s="3" t="s">
        <v>113</v>
      </c>
      <c r="H9" s="3">
        <f>COUNTIF(PickedPlayers!F:F,G9)</f>
        <v>7</v>
      </c>
      <c r="J9" s="3" t="s">
        <v>123</v>
      </c>
      <c r="K9" s="3">
        <f>COUNTIF(PickedPlayers!F:F,J9)</f>
        <v>16</v>
      </c>
    </row>
    <row r="10" spans="1:14" x14ac:dyDescent="0.25">
      <c r="A10" s="3" t="s">
        <v>2821</v>
      </c>
      <c r="B10" s="3">
        <f>COUNTIF(PickedPlayers!F:F,A10)</f>
        <v>0</v>
      </c>
      <c r="D10" s="3" t="s">
        <v>79</v>
      </c>
      <c r="E10" s="3">
        <f>COUNTIF(PickedPlayers!F:F,D10)</f>
        <v>1</v>
      </c>
      <c r="G10" s="3" t="s">
        <v>46</v>
      </c>
      <c r="H10" s="3">
        <f>COUNTIF(PickedPlayers!F:F,G10)</f>
        <v>1</v>
      </c>
      <c r="J10" s="3" t="s">
        <v>119</v>
      </c>
      <c r="K10" s="3">
        <f>COUNTIF(PickedPlayers!F:F,J10)</f>
        <v>0</v>
      </c>
    </row>
    <row r="11" spans="1:14" x14ac:dyDescent="0.25">
      <c r="A11" s="3" t="s">
        <v>2699</v>
      </c>
      <c r="B11" s="3">
        <f>COUNTIF(PickedPlayers!F:F,A11)</f>
        <v>1</v>
      </c>
      <c r="D11" s="3" t="s">
        <v>139</v>
      </c>
      <c r="E11" s="3">
        <f>COUNTIF(PickedPlayers!F:F,D11)</f>
        <v>0</v>
      </c>
      <c r="G11" s="3" t="s">
        <v>1540</v>
      </c>
      <c r="H11" s="3">
        <f>COUNTIF(PickedPlayers!F:F,G11)</f>
        <v>0</v>
      </c>
      <c r="J11" s="3" t="s">
        <v>122</v>
      </c>
      <c r="K11" s="3">
        <f>COUNTIF(PickedPlayers!F:F,J11)</f>
        <v>2</v>
      </c>
    </row>
    <row r="12" spans="1:14" x14ac:dyDescent="0.25">
      <c r="A12" s="3" t="s">
        <v>146</v>
      </c>
      <c r="B12" s="3">
        <f>COUNTIF(PickedPlayers!F:F,A12)</f>
        <v>0</v>
      </c>
      <c r="D12" s="3" t="s">
        <v>62</v>
      </c>
      <c r="E12" s="3">
        <f>COUNTIF(PickedPlayers!F:F,D12)</f>
        <v>2</v>
      </c>
      <c r="G12" s="3" t="s">
        <v>112</v>
      </c>
      <c r="H12" s="3">
        <f>COUNTIF(PickedPlayers!F:F,G12)</f>
        <v>0</v>
      </c>
      <c r="J12" s="3" t="s">
        <v>2743</v>
      </c>
      <c r="K12" s="3">
        <f>COUNTIF(PickedPlayers!F:F,J12)</f>
        <v>0</v>
      </c>
    </row>
    <row r="14" spans="1:14" s="4" customFormat="1" x14ac:dyDescent="0.25">
      <c r="A14" s="4" t="s">
        <v>2853</v>
      </c>
      <c r="D14" s="4" t="s">
        <v>2854</v>
      </c>
      <c r="G14" s="4" t="s">
        <v>2855</v>
      </c>
      <c r="J14" s="4" t="s">
        <v>2856</v>
      </c>
    </row>
    <row r="15" spans="1:14" x14ac:dyDescent="0.25">
      <c r="A15" s="3" t="s">
        <v>61</v>
      </c>
      <c r="B15" s="3">
        <f>COUNTIF(PickedPlayers!F:F,A15)</f>
        <v>12</v>
      </c>
      <c r="D15" s="3" t="s">
        <v>40</v>
      </c>
      <c r="E15" s="3">
        <f>COUNTIF(PickedPlayers!F:F,D15)</f>
        <v>12</v>
      </c>
      <c r="G15" s="3" t="s">
        <v>101</v>
      </c>
      <c r="H15" s="3">
        <f>COUNTIF(PickedPlayers!F:F,G15)</f>
        <v>9</v>
      </c>
      <c r="J15" s="3" t="s">
        <v>109</v>
      </c>
      <c r="K15" s="3">
        <f>COUNTIF(PickedPlayers!F:F,J15)</f>
        <v>14</v>
      </c>
    </row>
    <row r="16" spans="1:14" x14ac:dyDescent="0.25">
      <c r="A16" s="3" t="s">
        <v>126</v>
      </c>
      <c r="B16" s="3">
        <f>COUNTIF(PickedPlayers!F:F,A16)</f>
        <v>1</v>
      </c>
      <c r="D16" s="3" t="s">
        <v>87</v>
      </c>
      <c r="E16" s="3">
        <f>COUNTIF(PickedPlayers!F:F,D16)</f>
        <v>0</v>
      </c>
      <c r="G16" s="3" t="s">
        <v>100</v>
      </c>
      <c r="H16" s="3">
        <f>COUNTIF(PickedPlayers!F:F,G16)</f>
        <v>2</v>
      </c>
      <c r="J16" s="3" t="s">
        <v>104</v>
      </c>
      <c r="K16" s="3">
        <f>COUNTIF(PickedPlayers!F:F,J16)</f>
        <v>3</v>
      </c>
    </row>
    <row r="17" spans="1:11" x14ac:dyDescent="0.25">
      <c r="A17" s="3" t="s">
        <v>66</v>
      </c>
      <c r="B17" s="3">
        <f>COUNTIF(PickedPlayers!F:F,A17)</f>
        <v>3</v>
      </c>
      <c r="D17" s="3" t="s">
        <v>88</v>
      </c>
      <c r="E17" s="3">
        <f>COUNTIF(PickedPlayers!F:F,D17)</f>
        <v>0</v>
      </c>
      <c r="G17" s="3" t="s">
        <v>97</v>
      </c>
      <c r="H17" s="3">
        <f>COUNTIF(PickedPlayers!F:F,G17)</f>
        <v>0</v>
      </c>
      <c r="J17" s="3" t="s">
        <v>105</v>
      </c>
      <c r="K17" s="3">
        <f>COUNTIF(PickedPlayers!F:F,J17)</f>
        <v>0</v>
      </c>
    </row>
    <row r="18" spans="1:11" x14ac:dyDescent="0.25">
      <c r="A18" s="3" t="s">
        <v>127</v>
      </c>
      <c r="B18" s="3">
        <f>COUNTIF(PickedPlayers!F:F,A18)</f>
        <v>0</v>
      </c>
      <c r="D18" s="3" t="s">
        <v>92</v>
      </c>
      <c r="E18" s="3">
        <f>COUNTIF(PickedPlayers!F:F,D18)</f>
        <v>0</v>
      </c>
      <c r="G18" s="3" t="s">
        <v>2827</v>
      </c>
      <c r="H18" s="3">
        <f>COUNTIF(PickedPlayers!F:F,G18)</f>
        <v>0</v>
      </c>
      <c r="J18" s="3" t="s">
        <v>108</v>
      </c>
      <c r="K18" s="3">
        <f>COUNTIF(PickedPlayers!F:F,J18)</f>
        <v>0</v>
      </c>
    </row>
  </sheetData>
  <conditionalFormatting sqref="B3:B6 B9:B12 B15:B18 E15:E18 E9:E12 E3:E6 H3:H6 H9:H12 H15:H18 K15:K18 K9:K12 K3:K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24A9-6936-4EFC-9415-783BFAF29BE5}">
  <dimension ref="A1:I17"/>
  <sheetViews>
    <sheetView workbookViewId="0">
      <selection activeCell="H5" sqref="H5"/>
    </sheetView>
  </sheetViews>
  <sheetFormatPr defaultRowHeight="15" x14ac:dyDescent="0.25"/>
  <sheetData>
    <row r="1" spans="1:9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</row>
    <row r="2" spans="1:9" x14ac:dyDescent="0.25">
      <c r="A2" s="2" t="s">
        <v>2857</v>
      </c>
      <c r="B2" s="2" t="s">
        <v>274</v>
      </c>
      <c r="C2" s="2" t="s">
        <v>277</v>
      </c>
      <c r="D2" s="2" t="s">
        <v>280</v>
      </c>
      <c r="E2" s="2" t="s">
        <v>283</v>
      </c>
      <c r="F2" s="2" t="s">
        <v>286</v>
      </c>
      <c r="G2" s="2" t="s">
        <v>289</v>
      </c>
      <c r="H2" s="2" t="s">
        <v>292</v>
      </c>
      <c r="I2" s="2" t="s">
        <v>295</v>
      </c>
    </row>
    <row r="3" spans="1:9" x14ac:dyDescent="0.25">
      <c r="A3" s="2" t="s">
        <v>2858</v>
      </c>
      <c r="B3" s="2" t="s">
        <v>295</v>
      </c>
      <c r="C3" s="2" t="s">
        <v>292</v>
      </c>
      <c r="D3" s="2" t="s">
        <v>289</v>
      </c>
      <c r="E3" s="2" t="s">
        <v>286</v>
      </c>
      <c r="F3" s="2" t="s">
        <v>283</v>
      </c>
      <c r="G3" s="2" t="s">
        <v>280</v>
      </c>
      <c r="H3" s="2" t="s">
        <v>277</v>
      </c>
      <c r="I3" s="2" t="s">
        <v>274</v>
      </c>
    </row>
    <row r="4" spans="1:9" x14ac:dyDescent="0.25">
      <c r="A4" s="2" t="s">
        <v>2859</v>
      </c>
      <c r="B4" s="2" t="s">
        <v>286</v>
      </c>
      <c r="C4" s="2" t="s">
        <v>289</v>
      </c>
      <c r="D4" s="2" t="s">
        <v>292</v>
      </c>
      <c r="E4" s="2" t="s">
        <v>295</v>
      </c>
      <c r="F4" s="2" t="s">
        <v>274</v>
      </c>
      <c r="G4" s="2" t="s">
        <v>277</v>
      </c>
      <c r="H4" s="2" t="s">
        <v>280</v>
      </c>
      <c r="I4" s="2" t="s">
        <v>283</v>
      </c>
    </row>
    <row r="5" spans="1:9" x14ac:dyDescent="0.25">
      <c r="A5" s="2" t="s">
        <v>2860</v>
      </c>
      <c r="B5" s="2" t="s">
        <v>283</v>
      </c>
      <c r="C5" s="2" t="s">
        <v>280</v>
      </c>
      <c r="D5" s="2" t="s">
        <v>277</v>
      </c>
      <c r="E5" s="2" t="s">
        <v>274</v>
      </c>
      <c r="F5" s="2" t="s">
        <v>295</v>
      </c>
      <c r="G5" s="2" t="s">
        <v>292</v>
      </c>
      <c r="H5" s="2" t="s">
        <v>289</v>
      </c>
      <c r="I5" s="2" t="s">
        <v>286</v>
      </c>
    </row>
    <row r="6" spans="1:9" x14ac:dyDescent="0.25">
      <c r="A6" s="2" t="s">
        <v>2861</v>
      </c>
      <c r="B6" s="2" t="s">
        <v>277</v>
      </c>
      <c r="C6" s="2" t="s">
        <v>274</v>
      </c>
      <c r="D6" s="2" t="s">
        <v>283</v>
      </c>
      <c r="E6" s="2" t="s">
        <v>280</v>
      </c>
      <c r="F6" s="2" t="s">
        <v>289</v>
      </c>
      <c r="G6" s="2" t="s">
        <v>286</v>
      </c>
      <c r="H6" s="2" t="s">
        <v>295</v>
      </c>
      <c r="I6" s="2" t="s">
        <v>292</v>
      </c>
    </row>
    <row r="7" spans="1:9" x14ac:dyDescent="0.25">
      <c r="A7" s="2" t="s">
        <v>2862</v>
      </c>
      <c r="B7" s="2" t="s">
        <v>292</v>
      </c>
      <c r="C7" s="2" t="s">
        <v>295</v>
      </c>
      <c r="D7" s="2" t="s">
        <v>286</v>
      </c>
      <c r="E7" s="2" t="s">
        <v>289</v>
      </c>
      <c r="F7" s="2" t="s">
        <v>280</v>
      </c>
      <c r="G7" s="2" t="s">
        <v>283</v>
      </c>
      <c r="H7" s="2" t="s">
        <v>274</v>
      </c>
      <c r="I7" s="2" t="s">
        <v>277</v>
      </c>
    </row>
    <row r="8" spans="1:9" x14ac:dyDescent="0.25">
      <c r="A8" s="2" t="s">
        <v>2863</v>
      </c>
      <c r="B8" s="2" t="s">
        <v>289</v>
      </c>
      <c r="C8" s="2" t="s">
        <v>286</v>
      </c>
      <c r="D8" s="2" t="s">
        <v>295</v>
      </c>
      <c r="E8" s="2" t="s">
        <v>292</v>
      </c>
      <c r="F8" s="2" t="s">
        <v>277</v>
      </c>
      <c r="G8" s="2" t="s">
        <v>274</v>
      </c>
      <c r="H8" s="2" t="s">
        <v>283</v>
      </c>
      <c r="I8" s="2" t="s">
        <v>280</v>
      </c>
    </row>
    <row r="9" spans="1:9" x14ac:dyDescent="0.25">
      <c r="A9" s="2" t="s">
        <v>2864</v>
      </c>
      <c r="B9" s="2" t="s">
        <v>280</v>
      </c>
      <c r="C9" s="2" t="s">
        <v>283</v>
      </c>
      <c r="D9" s="2" t="s">
        <v>274</v>
      </c>
      <c r="E9" s="2" t="s">
        <v>277</v>
      </c>
      <c r="F9" s="2" t="s">
        <v>292</v>
      </c>
      <c r="G9" s="2" t="s">
        <v>295</v>
      </c>
      <c r="H9" s="2" t="s">
        <v>286</v>
      </c>
      <c r="I9" s="2" t="s">
        <v>289</v>
      </c>
    </row>
    <row r="10" spans="1:9" x14ac:dyDescent="0.25">
      <c r="A10" s="2" t="s">
        <v>2865</v>
      </c>
      <c r="B10" s="2" t="s">
        <v>280</v>
      </c>
      <c r="C10" s="2" t="s">
        <v>283</v>
      </c>
      <c r="D10" s="2" t="s">
        <v>274</v>
      </c>
      <c r="E10" s="2" t="s">
        <v>277</v>
      </c>
      <c r="F10" s="2" t="s">
        <v>292</v>
      </c>
      <c r="G10" s="2" t="s">
        <v>295</v>
      </c>
      <c r="H10" s="2" t="s">
        <v>286</v>
      </c>
      <c r="I10" s="2" t="s">
        <v>289</v>
      </c>
    </row>
    <row r="11" spans="1:9" x14ac:dyDescent="0.25">
      <c r="A11" s="2" t="s">
        <v>2866</v>
      </c>
      <c r="B11" s="2" t="s">
        <v>289</v>
      </c>
      <c r="C11" s="2" t="s">
        <v>286</v>
      </c>
      <c r="D11" s="2" t="s">
        <v>295</v>
      </c>
      <c r="E11" s="2" t="s">
        <v>292</v>
      </c>
      <c r="F11" s="2" t="s">
        <v>277</v>
      </c>
      <c r="G11" s="2" t="s">
        <v>274</v>
      </c>
      <c r="H11" s="2" t="s">
        <v>283</v>
      </c>
      <c r="I11" s="2" t="s">
        <v>280</v>
      </c>
    </row>
    <row r="12" spans="1:9" x14ac:dyDescent="0.25">
      <c r="A12" s="2" t="s">
        <v>2867</v>
      </c>
      <c r="B12" s="2" t="s">
        <v>292</v>
      </c>
      <c r="C12" s="2" t="s">
        <v>295</v>
      </c>
      <c r="D12" s="2" t="s">
        <v>286</v>
      </c>
      <c r="E12" s="2" t="s">
        <v>289</v>
      </c>
      <c r="F12" s="2" t="s">
        <v>280</v>
      </c>
      <c r="G12" s="2" t="s">
        <v>283</v>
      </c>
      <c r="H12" s="2" t="s">
        <v>274</v>
      </c>
      <c r="I12" s="2" t="s">
        <v>277</v>
      </c>
    </row>
    <row r="13" spans="1:9" x14ac:dyDescent="0.25">
      <c r="A13" s="2" t="s">
        <v>2868</v>
      </c>
      <c r="B13" s="2" t="s">
        <v>277</v>
      </c>
      <c r="C13" s="2" t="s">
        <v>274</v>
      </c>
      <c r="D13" s="2" t="s">
        <v>283</v>
      </c>
      <c r="E13" s="2" t="s">
        <v>280</v>
      </c>
      <c r="F13" s="2" t="s">
        <v>289</v>
      </c>
      <c r="G13" s="2" t="s">
        <v>286</v>
      </c>
      <c r="H13" s="2" t="s">
        <v>295</v>
      </c>
      <c r="I13" s="2" t="s">
        <v>292</v>
      </c>
    </row>
    <row r="14" spans="1:9" x14ac:dyDescent="0.25">
      <c r="A14" s="2" t="s">
        <v>2869</v>
      </c>
      <c r="B14" s="2" t="s">
        <v>283</v>
      </c>
      <c r="C14" s="2" t="s">
        <v>280</v>
      </c>
      <c r="D14" s="2" t="s">
        <v>277</v>
      </c>
      <c r="E14" s="2" t="s">
        <v>274</v>
      </c>
      <c r="F14" s="2" t="s">
        <v>295</v>
      </c>
      <c r="G14" s="2" t="s">
        <v>292</v>
      </c>
      <c r="H14" s="2" t="s">
        <v>289</v>
      </c>
      <c r="I14" s="2" t="s">
        <v>286</v>
      </c>
    </row>
    <row r="15" spans="1:9" x14ac:dyDescent="0.25">
      <c r="A15" s="2" t="s">
        <v>2870</v>
      </c>
      <c r="B15" s="2" t="s">
        <v>286</v>
      </c>
      <c r="C15" s="2" t="s">
        <v>289</v>
      </c>
      <c r="D15" s="2" t="s">
        <v>292</v>
      </c>
      <c r="E15" s="2" t="s">
        <v>295</v>
      </c>
      <c r="F15" s="2" t="s">
        <v>274</v>
      </c>
      <c r="G15" s="2" t="s">
        <v>277</v>
      </c>
      <c r="H15" s="2" t="s">
        <v>280</v>
      </c>
      <c r="I15" s="2" t="s">
        <v>283</v>
      </c>
    </row>
    <row r="16" spans="1:9" x14ac:dyDescent="0.25">
      <c r="A16" s="2" t="s">
        <v>2871</v>
      </c>
      <c r="B16" s="2" t="s">
        <v>295</v>
      </c>
      <c r="C16" s="2" t="s">
        <v>292</v>
      </c>
      <c r="D16" s="2" t="s">
        <v>289</v>
      </c>
      <c r="E16" s="2" t="s">
        <v>286</v>
      </c>
      <c r="F16" s="2" t="s">
        <v>283</v>
      </c>
      <c r="G16" s="2" t="s">
        <v>280</v>
      </c>
      <c r="H16" s="2" t="s">
        <v>277</v>
      </c>
      <c r="I16" s="2" t="s">
        <v>274</v>
      </c>
    </row>
    <row r="17" spans="1:9" x14ac:dyDescent="0.25">
      <c r="A17" s="2" t="s">
        <v>2872</v>
      </c>
      <c r="B17" s="2" t="s">
        <v>274</v>
      </c>
      <c r="C17" s="2" t="s">
        <v>277</v>
      </c>
      <c r="D17" s="2" t="s">
        <v>280</v>
      </c>
      <c r="E17" s="2" t="s">
        <v>283</v>
      </c>
      <c r="F17" s="2" t="s">
        <v>286</v>
      </c>
      <c r="G17" s="2" t="s">
        <v>289</v>
      </c>
      <c r="H17" s="2" t="s">
        <v>292</v>
      </c>
      <c r="I17" s="2" t="s">
        <v>295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84AC-0DE5-4D4F-8BCA-3D0735FEF48C}">
  <dimension ref="A1:F1245"/>
  <sheetViews>
    <sheetView topLeftCell="A29" workbookViewId="0">
      <selection activeCell="H5" sqref="H5"/>
    </sheetView>
  </sheetViews>
  <sheetFormatPr defaultRowHeight="15" x14ac:dyDescent="0.25"/>
  <cols>
    <col min="1" max="1" width="20.42578125" bestFit="1" customWidth="1"/>
    <col min="3" max="3" width="14.85546875" bestFit="1" customWidth="1"/>
  </cols>
  <sheetData>
    <row r="1" spans="1:6" x14ac:dyDescent="0.25">
      <c r="A1" t="s">
        <v>2873</v>
      </c>
      <c r="B1" t="s">
        <v>2847</v>
      </c>
      <c r="C1" t="s">
        <v>2841</v>
      </c>
    </row>
    <row r="2" spans="1:6" x14ac:dyDescent="0.25">
      <c r="A2" s="3" t="s">
        <v>87</v>
      </c>
      <c r="B2" t="s">
        <v>2673</v>
      </c>
      <c r="C2" t="s">
        <v>564</v>
      </c>
      <c r="E2" t="s">
        <v>2687</v>
      </c>
      <c r="F2" t="s">
        <v>2687</v>
      </c>
    </row>
    <row r="3" spans="1:6" x14ac:dyDescent="0.25">
      <c r="A3" s="3" t="s">
        <v>40</v>
      </c>
      <c r="B3" t="s">
        <v>2674</v>
      </c>
      <c r="C3" t="s">
        <v>2423</v>
      </c>
      <c r="E3" t="s">
        <v>2692</v>
      </c>
      <c r="F3" t="s">
        <v>2692</v>
      </c>
    </row>
    <row r="4" spans="1:6" x14ac:dyDescent="0.25">
      <c r="A4" s="3" t="s">
        <v>45</v>
      </c>
      <c r="B4" t="s">
        <v>2675</v>
      </c>
      <c r="C4" t="s">
        <v>2649</v>
      </c>
      <c r="E4" t="s">
        <v>2691</v>
      </c>
      <c r="F4" t="s">
        <v>2691</v>
      </c>
    </row>
    <row r="5" spans="1:6" x14ac:dyDescent="0.25">
      <c r="A5" s="3" t="s">
        <v>88</v>
      </c>
      <c r="B5" t="s">
        <v>2677</v>
      </c>
      <c r="C5" t="s">
        <v>919</v>
      </c>
      <c r="E5" t="s">
        <v>2695</v>
      </c>
      <c r="F5" t="s">
        <v>2686</v>
      </c>
    </row>
    <row r="6" spans="1:6" x14ac:dyDescent="0.25">
      <c r="A6" s="3" t="s">
        <v>113</v>
      </c>
      <c r="C6" t="s">
        <v>1590</v>
      </c>
      <c r="E6" t="s">
        <v>2688</v>
      </c>
      <c r="F6" t="s">
        <v>2685</v>
      </c>
    </row>
    <row r="7" spans="1:6" x14ac:dyDescent="0.25">
      <c r="A7" s="3" t="s">
        <v>2803</v>
      </c>
      <c r="C7" t="s">
        <v>1818</v>
      </c>
      <c r="E7" t="s">
        <v>2690</v>
      </c>
    </row>
    <row r="8" spans="1:6" x14ac:dyDescent="0.25">
      <c r="A8" s="3" t="s">
        <v>78</v>
      </c>
      <c r="C8" t="s">
        <v>2384</v>
      </c>
      <c r="E8" t="s">
        <v>2689</v>
      </c>
    </row>
    <row r="9" spans="1:6" x14ac:dyDescent="0.25">
      <c r="A9" s="3" t="s">
        <v>83</v>
      </c>
      <c r="C9" t="s">
        <v>2669</v>
      </c>
      <c r="E9" t="s">
        <v>2685</v>
      </c>
    </row>
    <row r="10" spans="1:6" x14ac:dyDescent="0.25">
      <c r="A10" s="3" t="s">
        <v>2743</v>
      </c>
      <c r="C10" t="s">
        <v>1975</v>
      </c>
    </row>
    <row r="11" spans="1:6" x14ac:dyDescent="0.25">
      <c r="A11" s="3" t="s">
        <v>100</v>
      </c>
      <c r="C11" t="s">
        <v>2064</v>
      </c>
    </row>
    <row r="12" spans="1:6" x14ac:dyDescent="0.25">
      <c r="A12" s="3" t="s">
        <v>104</v>
      </c>
      <c r="C12" t="s">
        <v>2435</v>
      </c>
    </row>
    <row r="13" spans="1:6" x14ac:dyDescent="0.25">
      <c r="A13" s="3" t="s">
        <v>2821</v>
      </c>
      <c r="C13" t="s">
        <v>1457</v>
      </c>
    </row>
    <row r="14" spans="1:6" x14ac:dyDescent="0.25">
      <c r="A14" s="3" t="s">
        <v>152</v>
      </c>
      <c r="C14" t="s">
        <v>2492</v>
      </c>
    </row>
    <row r="15" spans="1:6" x14ac:dyDescent="0.25">
      <c r="A15" s="3" t="s">
        <v>2827</v>
      </c>
      <c r="C15" t="s">
        <v>2474</v>
      </c>
    </row>
    <row r="16" spans="1:6" x14ac:dyDescent="0.25">
      <c r="A16" s="3" t="s">
        <v>146</v>
      </c>
      <c r="C16" t="s">
        <v>656</v>
      </c>
    </row>
    <row r="17" spans="1:3" x14ac:dyDescent="0.25">
      <c r="A17" s="3" t="s">
        <v>46</v>
      </c>
      <c r="C17" t="s">
        <v>1539</v>
      </c>
    </row>
    <row r="18" spans="1:3" x14ac:dyDescent="0.25">
      <c r="A18" s="3" t="s">
        <v>109</v>
      </c>
      <c r="C18" t="s">
        <v>2451</v>
      </c>
    </row>
    <row r="19" spans="1:3" x14ac:dyDescent="0.25">
      <c r="A19" s="3" t="s">
        <v>61</v>
      </c>
      <c r="C19" t="s">
        <v>2363</v>
      </c>
    </row>
    <row r="20" spans="1:3" x14ac:dyDescent="0.25">
      <c r="A20" s="3" t="s">
        <v>74</v>
      </c>
      <c r="C20" t="s">
        <v>1473</v>
      </c>
    </row>
    <row r="21" spans="1:3" x14ac:dyDescent="0.25">
      <c r="A21" s="3" t="s">
        <v>105</v>
      </c>
      <c r="C21" t="s">
        <v>1224</v>
      </c>
    </row>
    <row r="22" spans="1:3" x14ac:dyDescent="0.25">
      <c r="A22" s="3" t="s">
        <v>159</v>
      </c>
      <c r="C22" t="s">
        <v>1797</v>
      </c>
    </row>
    <row r="23" spans="1:3" x14ac:dyDescent="0.25">
      <c r="A23" s="3" t="s">
        <v>1540</v>
      </c>
      <c r="C23" t="s">
        <v>600</v>
      </c>
    </row>
    <row r="24" spans="1:3" x14ac:dyDescent="0.25">
      <c r="A24" s="3" t="s">
        <v>127</v>
      </c>
      <c r="C24" t="s">
        <v>1078</v>
      </c>
    </row>
    <row r="25" spans="1:3" x14ac:dyDescent="0.25">
      <c r="A25" s="3" t="s">
        <v>2699</v>
      </c>
      <c r="C25" t="s">
        <v>2613</v>
      </c>
    </row>
    <row r="26" spans="1:3" x14ac:dyDescent="0.25">
      <c r="A26" s="3" t="s">
        <v>79</v>
      </c>
      <c r="C26" t="s">
        <v>1996</v>
      </c>
    </row>
    <row r="27" spans="1:3" x14ac:dyDescent="0.25">
      <c r="A27" s="3" t="s">
        <v>92</v>
      </c>
      <c r="C27" t="s">
        <v>2417</v>
      </c>
    </row>
    <row r="28" spans="1:3" x14ac:dyDescent="0.25">
      <c r="A28" s="3" t="s">
        <v>153</v>
      </c>
      <c r="C28" t="s">
        <v>654</v>
      </c>
    </row>
    <row r="29" spans="1:3" x14ac:dyDescent="0.25">
      <c r="A29" s="3" t="s">
        <v>70</v>
      </c>
      <c r="C29" t="s">
        <v>2044</v>
      </c>
    </row>
    <row r="30" spans="1:3" x14ac:dyDescent="0.25">
      <c r="A30" s="3" t="s">
        <v>69</v>
      </c>
      <c r="C30" t="s">
        <v>2421</v>
      </c>
    </row>
    <row r="31" spans="1:3" x14ac:dyDescent="0.25">
      <c r="A31" s="3" t="s">
        <v>112</v>
      </c>
      <c r="C31" t="s">
        <v>487</v>
      </c>
    </row>
    <row r="32" spans="1:3" x14ac:dyDescent="0.25">
      <c r="A32" s="3" t="s">
        <v>66</v>
      </c>
      <c r="C32" t="s">
        <v>800</v>
      </c>
    </row>
    <row r="33" spans="1:3" x14ac:dyDescent="0.25">
      <c r="A33" s="3" t="s">
        <v>108</v>
      </c>
      <c r="C33" t="s">
        <v>1226</v>
      </c>
    </row>
    <row r="34" spans="1:3" x14ac:dyDescent="0.25">
      <c r="A34" s="3" t="s">
        <v>75</v>
      </c>
      <c r="C34" t="s">
        <v>2223</v>
      </c>
    </row>
    <row r="35" spans="1:3" x14ac:dyDescent="0.25">
      <c r="A35" s="3" t="s">
        <v>101</v>
      </c>
      <c r="C35" t="s">
        <v>1814</v>
      </c>
    </row>
    <row r="36" spans="1:3" x14ac:dyDescent="0.25">
      <c r="A36" s="3" t="s">
        <v>162</v>
      </c>
      <c r="C36" t="s">
        <v>2365</v>
      </c>
    </row>
    <row r="37" spans="1:3" x14ac:dyDescent="0.25">
      <c r="A37" s="3" t="s">
        <v>119</v>
      </c>
      <c r="C37" t="s">
        <v>1810</v>
      </c>
    </row>
    <row r="38" spans="1:3" x14ac:dyDescent="0.25">
      <c r="A38" s="3" t="s">
        <v>156</v>
      </c>
      <c r="C38" t="s">
        <v>1467</v>
      </c>
    </row>
    <row r="39" spans="1:3" x14ac:dyDescent="0.25">
      <c r="A39" s="3" t="s">
        <v>126</v>
      </c>
      <c r="C39" t="s">
        <v>2657</v>
      </c>
    </row>
    <row r="40" spans="1:3" x14ac:dyDescent="0.25">
      <c r="A40" s="3" t="s">
        <v>82</v>
      </c>
      <c r="C40" t="s">
        <v>1750</v>
      </c>
    </row>
    <row r="41" spans="1:3" x14ac:dyDescent="0.25">
      <c r="A41" s="3" t="s">
        <v>2697</v>
      </c>
      <c r="C41" t="s">
        <v>1270</v>
      </c>
    </row>
    <row r="42" spans="1:3" x14ac:dyDescent="0.25">
      <c r="A42" s="3" t="s">
        <v>123</v>
      </c>
      <c r="C42" t="s">
        <v>2532</v>
      </c>
    </row>
    <row r="43" spans="1:3" x14ac:dyDescent="0.25">
      <c r="A43" s="3" t="s">
        <v>62</v>
      </c>
      <c r="C43" t="s">
        <v>2653</v>
      </c>
    </row>
    <row r="44" spans="1:3" x14ac:dyDescent="0.25">
      <c r="A44" s="3" t="s">
        <v>165</v>
      </c>
      <c r="C44" t="s">
        <v>818</v>
      </c>
    </row>
    <row r="45" spans="1:3" x14ac:dyDescent="0.25">
      <c r="A45" s="3" t="s">
        <v>139</v>
      </c>
      <c r="C45" t="s">
        <v>1998</v>
      </c>
    </row>
    <row r="46" spans="1:3" x14ac:dyDescent="0.25">
      <c r="A46" s="3" t="s">
        <v>2696</v>
      </c>
      <c r="C46" t="s">
        <v>981</v>
      </c>
    </row>
    <row r="47" spans="1:3" x14ac:dyDescent="0.25">
      <c r="A47" s="3" t="s">
        <v>2522</v>
      </c>
      <c r="C47" t="s">
        <v>1769</v>
      </c>
    </row>
    <row r="48" spans="1:3" x14ac:dyDescent="0.25">
      <c r="A48" s="3" t="s">
        <v>122</v>
      </c>
      <c r="C48" t="s">
        <v>1347</v>
      </c>
    </row>
    <row r="49" spans="1:3" x14ac:dyDescent="0.25">
      <c r="A49" s="3" t="s">
        <v>97</v>
      </c>
      <c r="C49" t="s">
        <v>598</v>
      </c>
    </row>
    <row r="50" spans="1:3" x14ac:dyDescent="0.25">
      <c r="C50" t="s">
        <v>434</v>
      </c>
    </row>
    <row r="51" spans="1:3" x14ac:dyDescent="0.25">
      <c r="C51" t="s">
        <v>2136</v>
      </c>
    </row>
    <row r="52" spans="1:3" x14ac:dyDescent="0.25">
      <c r="C52" t="s">
        <v>602</v>
      </c>
    </row>
    <row r="53" spans="1:3" x14ac:dyDescent="0.25">
      <c r="C53" t="s">
        <v>820</v>
      </c>
    </row>
    <row r="54" spans="1:3" x14ac:dyDescent="0.25">
      <c r="C54" t="s">
        <v>332</v>
      </c>
    </row>
    <row r="55" spans="1:3" x14ac:dyDescent="0.25">
      <c r="C55" t="s">
        <v>2142</v>
      </c>
    </row>
    <row r="56" spans="1:3" x14ac:dyDescent="0.25">
      <c r="C56" t="s">
        <v>1181</v>
      </c>
    </row>
    <row r="57" spans="1:3" x14ac:dyDescent="0.25">
      <c r="C57" t="s">
        <v>1580</v>
      </c>
    </row>
    <row r="58" spans="1:3" x14ac:dyDescent="0.25">
      <c r="C58" t="s">
        <v>674</v>
      </c>
    </row>
    <row r="59" spans="1:3" x14ac:dyDescent="0.25">
      <c r="C59" t="s">
        <v>503</v>
      </c>
    </row>
    <row r="60" spans="1:3" x14ac:dyDescent="0.25">
      <c r="C60" t="s">
        <v>1578</v>
      </c>
    </row>
    <row r="61" spans="1:3" x14ac:dyDescent="0.25">
      <c r="C61" t="s">
        <v>2404</v>
      </c>
    </row>
    <row r="62" spans="1:3" x14ac:dyDescent="0.25">
      <c r="C62" t="s">
        <v>892</v>
      </c>
    </row>
    <row r="63" spans="1:3" x14ac:dyDescent="0.25">
      <c r="C63" t="s">
        <v>896</v>
      </c>
    </row>
    <row r="64" spans="1:3" x14ac:dyDescent="0.25">
      <c r="C64" t="s">
        <v>2625</v>
      </c>
    </row>
    <row r="65" spans="3:3" x14ac:dyDescent="0.25">
      <c r="C65" t="s">
        <v>1074</v>
      </c>
    </row>
    <row r="66" spans="3:3" x14ac:dyDescent="0.25">
      <c r="C66" t="s">
        <v>1193</v>
      </c>
    </row>
    <row r="67" spans="3:3" x14ac:dyDescent="0.25">
      <c r="C67" t="s">
        <v>2010</v>
      </c>
    </row>
    <row r="68" spans="3:3" x14ac:dyDescent="0.25">
      <c r="C68" t="s">
        <v>678</v>
      </c>
    </row>
    <row r="69" spans="3:3" x14ac:dyDescent="0.25">
      <c r="C69" t="s">
        <v>420</v>
      </c>
    </row>
    <row r="70" spans="3:3" x14ac:dyDescent="0.25">
      <c r="C70" t="s">
        <v>2034</v>
      </c>
    </row>
    <row r="71" spans="3:3" x14ac:dyDescent="0.25">
      <c r="C71" t="s">
        <v>560</v>
      </c>
    </row>
    <row r="72" spans="3:3" x14ac:dyDescent="0.25">
      <c r="C72" t="s">
        <v>1113</v>
      </c>
    </row>
    <row r="73" spans="3:3" x14ac:dyDescent="0.25">
      <c r="C73" t="s">
        <v>1005</v>
      </c>
    </row>
    <row r="74" spans="3:3" x14ac:dyDescent="0.25">
      <c r="C74" t="s">
        <v>816</v>
      </c>
    </row>
    <row r="75" spans="3:3" x14ac:dyDescent="0.25">
      <c r="C75" t="s">
        <v>2199</v>
      </c>
    </row>
    <row r="76" spans="3:3" x14ac:dyDescent="0.25">
      <c r="C76" t="s">
        <v>1292</v>
      </c>
    </row>
    <row r="77" spans="3:3" x14ac:dyDescent="0.25">
      <c r="C77" t="s">
        <v>2252</v>
      </c>
    </row>
    <row r="78" spans="3:3" x14ac:dyDescent="0.25">
      <c r="C78" t="s">
        <v>937</v>
      </c>
    </row>
    <row r="79" spans="3:3" x14ac:dyDescent="0.25">
      <c r="C79" t="s">
        <v>2643</v>
      </c>
    </row>
    <row r="80" spans="3:3" x14ac:dyDescent="0.25">
      <c r="C80" t="s">
        <v>1449</v>
      </c>
    </row>
    <row r="81" spans="3:3" x14ac:dyDescent="0.25">
      <c r="C81" t="s">
        <v>1979</v>
      </c>
    </row>
    <row r="82" spans="3:3" x14ac:dyDescent="0.25">
      <c r="C82" t="s">
        <v>1552</v>
      </c>
    </row>
    <row r="83" spans="3:3" x14ac:dyDescent="0.25">
      <c r="C83" t="s">
        <v>2623</v>
      </c>
    </row>
    <row r="84" spans="3:3" x14ac:dyDescent="0.25">
      <c r="C84" t="s">
        <v>1397</v>
      </c>
    </row>
    <row r="85" spans="3:3" x14ac:dyDescent="0.25">
      <c r="C85" t="s">
        <v>501</v>
      </c>
    </row>
    <row r="86" spans="3:3" x14ac:dyDescent="0.25">
      <c r="C86" t="s">
        <v>1095</v>
      </c>
    </row>
    <row r="87" spans="3:3" x14ac:dyDescent="0.25">
      <c r="C87" t="s">
        <v>2635</v>
      </c>
    </row>
    <row r="88" spans="3:3" x14ac:dyDescent="0.25">
      <c r="C88" t="s">
        <v>776</v>
      </c>
    </row>
    <row r="89" spans="3:3" x14ac:dyDescent="0.25">
      <c r="C89" t="s">
        <v>682</v>
      </c>
    </row>
    <row r="90" spans="3:3" x14ac:dyDescent="0.25">
      <c r="C90" t="s">
        <v>1423</v>
      </c>
    </row>
    <row r="91" spans="3:3" x14ac:dyDescent="0.25">
      <c r="C91" t="s">
        <v>1801</v>
      </c>
    </row>
    <row r="92" spans="3:3" x14ac:dyDescent="0.25">
      <c r="C92" t="s">
        <v>1867</v>
      </c>
    </row>
    <row r="93" spans="3:3" x14ac:dyDescent="0.25">
      <c r="C93" t="s">
        <v>1410</v>
      </c>
    </row>
    <row r="94" spans="3:3" x14ac:dyDescent="0.25">
      <c r="C94" t="s">
        <v>1491</v>
      </c>
    </row>
    <row r="95" spans="3:3" x14ac:dyDescent="0.25">
      <c r="C95" t="s">
        <v>708</v>
      </c>
    </row>
    <row r="96" spans="3:3" x14ac:dyDescent="0.25">
      <c r="C96" t="s">
        <v>1254</v>
      </c>
    </row>
    <row r="97" spans="3:3" x14ac:dyDescent="0.25">
      <c r="C97" t="s">
        <v>2002</v>
      </c>
    </row>
    <row r="98" spans="3:3" x14ac:dyDescent="0.25">
      <c r="C98" t="s">
        <v>1377</v>
      </c>
    </row>
    <row r="99" spans="3:3" x14ac:dyDescent="0.25">
      <c r="C99" t="s">
        <v>2156</v>
      </c>
    </row>
    <row r="100" spans="3:3" x14ac:dyDescent="0.25">
      <c r="C100" t="s">
        <v>1574</v>
      </c>
    </row>
    <row r="101" spans="3:3" x14ac:dyDescent="0.25">
      <c r="C101" t="s">
        <v>2146</v>
      </c>
    </row>
    <row r="102" spans="3:3" x14ac:dyDescent="0.25">
      <c r="C102" t="s">
        <v>456</v>
      </c>
    </row>
    <row r="103" spans="3:3" x14ac:dyDescent="0.25">
      <c r="C103" t="s">
        <v>2038</v>
      </c>
    </row>
    <row r="104" spans="3:3" x14ac:dyDescent="0.25">
      <c r="C104" t="s">
        <v>436</v>
      </c>
    </row>
    <row r="105" spans="3:3" x14ac:dyDescent="0.25">
      <c r="C105" t="s">
        <v>1889</v>
      </c>
    </row>
    <row r="106" spans="3:3" x14ac:dyDescent="0.25">
      <c r="C106" t="s">
        <v>785</v>
      </c>
    </row>
    <row r="107" spans="3:3" x14ac:dyDescent="0.25">
      <c r="C107" t="s">
        <v>1789</v>
      </c>
    </row>
    <row r="108" spans="3:3" x14ac:dyDescent="0.25">
      <c r="C108" t="s">
        <v>2056</v>
      </c>
    </row>
    <row r="109" spans="3:3" x14ac:dyDescent="0.25">
      <c r="C109" t="s">
        <v>1962</v>
      </c>
    </row>
    <row r="110" spans="3:3" x14ac:dyDescent="0.25">
      <c r="C110" t="s">
        <v>696</v>
      </c>
    </row>
    <row r="111" spans="3:3" x14ac:dyDescent="0.25">
      <c r="C111" t="s">
        <v>738</v>
      </c>
    </row>
    <row r="112" spans="3:3" x14ac:dyDescent="0.25">
      <c r="C112" t="s">
        <v>2201</v>
      </c>
    </row>
    <row r="113" spans="3:3" x14ac:dyDescent="0.25">
      <c r="C113" t="s">
        <v>1441</v>
      </c>
    </row>
    <row r="114" spans="3:3" x14ac:dyDescent="0.25">
      <c r="C114" t="s">
        <v>1626</v>
      </c>
    </row>
    <row r="115" spans="3:3" x14ac:dyDescent="0.25">
      <c r="C115" t="s">
        <v>1479</v>
      </c>
    </row>
    <row r="116" spans="3:3" x14ac:dyDescent="0.25">
      <c r="C116" t="s">
        <v>1171</v>
      </c>
    </row>
    <row r="117" spans="3:3" x14ac:dyDescent="0.25">
      <c r="C117" t="s">
        <v>1957</v>
      </c>
    </row>
    <row r="118" spans="3:3" x14ac:dyDescent="0.25">
      <c r="C118" t="s">
        <v>1412</v>
      </c>
    </row>
    <row r="119" spans="3:3" x14ac:dyDescent="0.25">
      <c r="C119" t="s">
        <v>1772</v>
      </c>
    </row>
    <row r="120" spans="3:3" x14ac:dyDescent="0.25">
      <c r="C120" t="s">
        <v>1646</v>
      </c>
    </row>
    <row r="121" spans="3:3" x14ac:dyDescent="0.25">
      <c r="C121" t="s">
        <v>412</v>
      </c>
    </row>
    <row r="122" spans="3:3" x14ac:dyDescent="0.25">
      <c r="C122" t="s">
        <v>755</v>
      </c>
    </row>
    <row r="123" spans="3:3" x14ac:dyDescent="0.25">
      <c r="C123" t="s">
        <v>2537</v>
      </c>
    </row>
    <row r="124" spans="3:3" x14ac:dyDescent="0.25">
      <c r="C124" t="s">
        <v>1013</v>
      </c>
    </row>
    <row r="125" spans="3:3" x14ac:dyDescent="0.25">
      <c r="C125" t="s">
        <v>999</v>
      </c>
    </row>
    <row r="126" spans="3:3" x14ac:dyDescent="0.25">
      <c r="C126" t="s">
        <v>1660</v>
      </c>
    </row>
    <row r="127" spans="3:3" x14ac:dyDescent="0.25">
      <c r="C127" t="s">
        <v>1276</v>
      </c>
    </row>
    <row r="128" spans="3:3" x14ac:dyDescent="0.25">
      <c r="C128" t="s">
        <v>1761</v>
      </c>
    </row>
    <row r="129" spans="3:3" x14ac:dyDescent="0.25">
      <c r="C129" t="s">
        <v>991</v>
      </c>
    </row>
    <row r="130" spans="3:3" x14ac:dyDescent="0.25">
      <c r="C130" t="s">
        <v>768</v>
      </c>
    </row>
    <row r="131" spans="3:3" x14ac:dyDescent="0.25">
      <c r="C131" t="s">
        <v>1548</v>
      </c>
    </row>
    <row r="132" spans="3:3" x14ac:dyDescent="0.25">
      <c r="C132" t="s">
        <v>2566</v>
      </c>
    </row>
    <row r="133" spans="3:3" x14ac:dyDescent="0.25">
      <c r="C133" t="s">
        <v>1670</v>
      </c>
    </row>
    <row r="134" spans="3:3" x14ac:dyDescent="0.25">
      <c r="C134" t="s">
        <v>1674</v>
      </c>
    </row>
    <row r="135" spans="3:3" x14ac:dyDescent="0.25">
      <c r="C135" t="s">
        <v>2095</v>
      </c>
    </row>
    <row r="136" spans="3:3" x14ac:dyDescent="0.25">
      <c r="C136" t="s">
        <v>2116</v>
      </c>
    </row>
    <row r="137" spans="3:3" x14ac:dyDescent="0.25">
      <c r="C137" t="s">
        <v>2131</v>
      </c>
    </row>
    <row r="138" spans="3:3" x14ac:dyDescent="0.25">
      <c r="C138" t="s">
        <v>2129</v>
      </c>
    </row>
    <row r="139" spans="3:3" x14ac:dyDescent="0.25">
      <c r="C139" t="s">
        <v>2103</v>
      </c>
    </row>
    <row r="140" spans="3:3" x14ac:dyDescent="0.25">
      <c r="C140" t="s">
        <v>2110</v>
      </c>
    </row>
    <row r="141" spans="3:3" x14ac:dyDescent="0.25">
      <c r="C141" t="s">
        <v>2100</v>
      </c>
    </row>
    <row r="142" spans="3:3" x14ac:dyDescent="0.25">
      <c r="C142" t="s">
        <v>1592</v>
      </c>
    </row>
    <row r="143" spans="3:3" x14ac:dyDescent="0.25">
      <c r="C143" t="s">
        <v>2099</v>
      </c>
    </row>
    <row r="144" spans="3:3" x14ac:dyDescent="0.25">
      <c r="C144" t="s">
        <v>1300</v>
      </c>
    </row>
    <row r="145" spans="3:3" x14ac:dyDescent="0.25">
      <c r="C145" t="s">
        <v>1595</v>
      </c>
    </row>
    <row r="146" spans="3:3" x14ac:dyDescent="0.25">
      <c r="C146" t="s">
        <v>1617</v>
      </c>
    </row>
    <row r="147" spans="3:3" x14ac:dyDescent="0.25">
      <c r="C147" t="s">
        <v>2125</v>
      </c>
    </row>
    <row r="148" spans="3:3" x14ac:dyDescent="0.25">
      <c r="C148" t="s">
        <v>1604</v>
      </c>
    </row>
    <row r="149" spans="3:3" x14ac:dyDescent="0.25">
      <c r="C149" t="s">
        <v>1600</v>
      </c>
    </row>
    <row r="150" spans="3:3" x14ac:dyDescent="0.25">
      <c r="C150" t="s">
        <v>2108</v>
      </c>
    </row>
    <row r="151" spans="3:3" x14ac:dyDescent="0.25">
      <c r="C151" t="s">
        <v>2093</v>
      </c>
    </row>
    <row r="152" spans="3:3" x14ac:dyDescent="0.25">
      <c r="C152" t="s">
        <v>2124</v>
      </c>
    </row>
    <row r="153" spans="3:3" x14ac:dyDescent="0.25">
      <c r="C153" t="s">
        <v>398</v>
      </c>
    </row>
    <row r="154" spans="3:3" x14ac:dyDescent="0.25">
      <c r="C154" t="s">
        <v>2305</v>
      </c>
    </row>
    <row r="155" spans="3:3" x14ac:dyDescent="0.25">
      <c r="C155" t="s">
        <v>422</v>
      </c>
    </row>
    <row r="156" spans="3:3" x14ac:dyDescent="0.25">
      <c r="C156" t="s">
        <v>1613</v>
      </c>
    </row>
    <row r="157" spans="3:3" x14ac:dyDescent="0.25">
      <c r="C157" t="s">
        <v>1693</v>
      </c>
    </row>
    <row r="158" spans="3:3" x14ac:dyDescent="0.25">
      <c r="C158" t="s">
        <v>1614</v>
      </c>
    </row>
    <row r="159" spans="3:3" x14ac:dyDescent="0.25">
      <c r="C159" t="s">
        <v>2114</v>
      </c>
    </row>
    <row r="160" spans="3:3" x14ac:dyDescent="0.25">
      <c r="C160" t="s">
        <v>2112</v>
      </c>
    </row>
    <row r="161" spans="3:3" x14ac:dyDescent="0.25">
      <c r="C161" t="s">
        <v>1690</v>
      </c>
    </row>
    <row r="162" spans="3:3" x14ac:dyDescent="0.25">
      <c r="C162" t="s">
        <v>1612</v>
      </c>
    </row>
    <row r="163" spans="3:3" x14ac:dyDescent="0.25">
      <c r="C163" t="s">
        <v>372</v>
      </c>
    </row>
    <row r="164" spans="3:3" x14ac:dyDescent="0.25">
      <c r="C164" t="s">
        <v>2105</v>
      </c>
    </row>
    <row r="165" spans="3:3" x14ac:dyDescent="0.25">
      <c r="C165" t="s">
        <v>1680</v>
      </c>
    </row>
    <row r="166" spans="3:3" x14ac:dyDescent="0.25">
      <c r="C166" t="s">
        <v>1607</v>
      </c>
    </row>
    <row r="167" spans="3:3" x14ac:dyDescent="0.25">
      <c r="C167" t="s">
        <v>1681</v>
      </c>
    </row>
    <row r="168" spans="3:3" x14ac:dyDescent="0.25">
      <c r="C168" t="s">
        <v>2096</v>
      </c>
    </row>
    <row r="169" spans="3:3" x14ac:dyDescent="0.25">
      <c r="C169" t="s">
        <v>1616</v>
      </c>
    </row>
    <row r="170" spans="3:3" x14ac:dyDescent="0.25">
      <c r="C170" t="s">
        <v>378</v>
      </c>
    </row>
    <row r="171" spans="3:3" x14ac:dyDescent="0.25">
      <c r="C171" t="s">
        <v>2094</v>
      </c>
    </row>
    <row r="172" spans="3:3" x14ac:dyDescent="0.25">
      <c r="C172" t="s">
        <v>2558</v>
      </c>
    </row>
    <row r="173" spans="3:3" x14ac:dyDescent="0.25">
      <c r="C173" t="s">
        <v>1437</v>
      </c>
    </row>
    <row r="174" spans="3:3" x14ac:dyDescent="0.25">
      <c r="C174" t="s">
        <v>479</v>
      </c>
    </row>
    <row r="175" spans="3:3" x14ac:dyDescent="0.25">
      <c r="C175" t="s">
        <v>545</v>
      </c>
    </row>
    <row r="176" spans="3:3" x14ac:dyDescent="0.25">
      <c r="C176" t="s">
        <v>1027</v>
      </c>
    </row>
    <row r="177" spans="3:3" x14ac:dyDescent="0.25">
      <c r="C177" t="s">
        <v>2262</v>
      </c>
    </row>
    <row r="178" spans="3:3" x14ac:dyDescent="0.25">
      <c r="C178" t="s">
        <v>428</v>
      </c>
    </row>
    <row r="179" spans="3:3" x14ac:dyDescent="0.25">
      <c r="C179" t="s">
        <v>2227</v>
      </c>
    </row>
    <row r="180" spans="3:3" x14ac:dyDescent="0.25">
      <c r="C180" t="s">
        <v>1803</v>
      </c>
    </row>
    <row r="181" spans="3:3" x14ac:dyDescent="0.25">
      <c r="C181" t="s">
        <v>2408</v>
      </c>
    </row>
    <row r="182" spans="3:3" x14ac:dyDescent="0.25">
      <c r="C182" t="s">
        <v>2621</v>
      </c>
    </row>
    <row r="183" spans="3:3" x14ac:dyDescent="0.25">
      <c r="C183" t="s">
        <v>2185</v>
      </c>
    </row>
    <row r="184" spans="3:3" x14ac:dyDescent="0.25">
      <c r="C184" t="s">
        <v>1756</v>
      </c>
    </row>
    <row r="185" spans="3:3" x14ac:dyDescent="0.25">
      <c r="C185" t="s">
        <v>2631</v>
      </c>
    </row>
    <row r="186" spans="3:3" x14ac:dyDescent="0.25">
      <c r="C186" t="s">
        <v>1131</v>
      </c>
    </row>
    <row r="187" spans="3:3" x14ac:dyDescent="0.25">
      <c r="C187" t="s">
        <v>759</v>
      </c>
    </row>
    <row r="188" spans="3:3" x14ac:dyDescent="0.25">
      <c r="C188" t="s">
        <v>2217</v>
      </c>
    </row>
    <row r="189" spans="3:3" x14ac:dyDescent="0.25">
      <c r="C189" t="s">
        <v>2361</v>
      </c>
    </row>
    <row r="190" spans="3:3" x14ac:dyDescent="0.25">
      <c r="C190" t="s">
        <v>2046</v>
      </c>
    </row>
    <row r="191" spans="3:3" x14ac:dyDescent="0.25">
      <c r="C191" t="s">
        <v>1909</v>
      </c>
    </row>
    <row r="192" spans="3:3" x14ac:dyDescent="0.25">
      <c r="C192" t="s">
        <v>2617</v>
      </c>
    </row>
    <row r="193" spans="3:3" x14ac:dyDescent="0.25">
      <c r="C193" t="s">
        <v>318</v>
      </c>
    </row>
    <row r="194" spans="3:3" x14ac:dyDescent="0.25">
      <c r="C194" t="s">
        <v>1357</v>
      </c>
    </row>
    <row r="195" spans="3:3" x14ac:dyDescent="0.25">
      <c r="C195" t="s">
        <v>814</v>
      </c>
    </row>
    <row r="196" spans="3:3" x14ac:dyDescent="0.25">
      <c r="C196" t="s">
        <v>1475</v>
      </c>
    </row>
    <row r="197" spans="3:3" x14ac:dyDescent="0.25">
      <c r="C197" t="s">
        <v>1238</v>
      </c>
    </row>
    <row r="198" spans="3:3" x14ac:dyDescent="0.25">
      <c r="C198" t="s">
        <v>505</v>
      </c>
    </row>
    <row r="199" spans="3:3" x14ac:dyDescent="0.25">
      <c r="C199" t="s">
        <v>1905</v>
      </c>
    </row>
    <row r="200" spans="3:3" x14ac:dyDescent="0.25">
      <c r="C200" t="s">
        <v>2515</v>
      </c>
    </row>
    <row r="201" spans="3:3" x14ac:dyDescent="0.25">
      <c r="C201" t="s">
        <v>2347</v>
      </c>
    </row>
    <row r="202" spans="3:3" x14ac:dyDescent="0.25">
      <c r="C202" t="s">
        <v>1713</v>
      </c>
    </row>
    <row r="203" spans="3:3" x14ac:dyDescent="0.25">
      <c r="C203" t="s">
        <v>410</v>
      </c>
    </row>
    <row r="204" spans="3:3" x14ac:dyDescent="0.25">
      <c r="C204" t="s">
        <v>2317</v>
      </c>
    </row>
    <row r="205" spans="3:3" x14ac:dyDescent="0.25">
      <c r="C205" t="s">
        <v>2089</v>
      </c>
    </row>
    <row r="206" spans="3:3" x14ac:dyDescent="0.25">
      <c r="C206" t="s">
        <v>845</v>
      </c>
    </row>
    <row r="207" spans="3:3" x14ac:dyDescent="0.25">
      <c r="C207" t="s">
        <v>293</v>
      </c>
    </row>
    <row r="208" spans="3:3" x14ac:dyDescent="0.25">
      <c r="C208" t="s">
        <v>408</v>
      </c>
    </row>
    <row r="209" spans="3:3" x14ac:dyDescent="0.25">
      <c r="C209" t="s">
        <v>1724</v>
      </c>
    </row>
    <row r="210" spans="3:3" x14ac:dyDescent="0.25">
      <c r="C210" t="s">
        <v>2177</v>
      </c>
    </row>
    <row r="211" spans="3:3" x14ac:dyDescent="0.25">
      <c r="C211" t="s">
        <v>1493</v>
      </c>
    </row>
    <row r="212" spans="3:3" x14ac:dyDescent="0.25">
      <c r="C212" t="s">
        <v>1035</v>
      </c>
    </row>
    <row r="213" spans="3:3" x14ac:dyDescent="0.25">
      <c r="C213" t="s">
        <v>1970</v>
      </c>
    </row>
    <row r="214" spans="3:3" x14ac:dyDescent="0.25">
      <c r="C214" t="s">
        <v>1483</v>
      </c>
    </row>
    <row r="215" spans="3:3" x14ac:dyDescent="0.25">
      <c r="C215" t="s">
        <v>2524</v>
      </c>
    </row>
    <row r="216" spans="3:3" x14ac:dyDescent="0.25">
      <c r="C216" t="s">
        <v>664</v>
      </c>
    </row>
    <row r="217" spans="3:3" x14ac:dyDescent="0.25">
      <c r="C217" t="s">
        <v>736</v>
      </c>
    </row>
    <row r="218" spans="3:3" x14ac:dyDescent="0.25">
      <c r="C218" t="s">
        <v>779</v>
      </c>
    </row>
    <row r="219" spans="3:3" x14ac:dyDescent="0.25">
      <c r="C219" t="s">
        <v>672</v>
      </c>
    </row>
    <row r="220" spans="3:3" x14ac:dyDescent="0.25">
      <c r="C220" t="s">
        <v>1879</v>
      </c>
    </row>
    <row r="221" spans="3:3" x14ac:dyDescent="0.25">
      <c r="C221" t="s">
        <v>2396</v>
      </c>
    </row>
    <row r="222" spans="3:3" x14ac:dyDescent="0.25">
      <c r="C222" t="s">
        <v>404</v>
      </c>
    </row>
    <row r="223" spans="3:3" x14ac:dyDescent="0.25">
      <c r="C223" t="s">
        <v>2138</v>
      </c>
    </row>
    <row r="224" spans="3:3" x14ac:dyDescent="0.25">
      <c r="C224" t="s">
        <v>1994</v>
      </c>
    </row>
    <row r="225" spans="3:3" x14ac:dyDescent="0.25">
      <c r="C225" t="s">
        <v>983</v>
      </c>
    </row>
    <row r="226" spans="3:3" x14ac:dyDescent="0.25">
      <c r="C226" t="s">
        <v>1748</v>
      </c>
    </row>
    <row r="227" spans="3:3" x14ac:dyDescent="0.25">
      <c r="C227" t="s">
        <v>1222</v>
      </c>
    </row>
    <row r="228" spans="3:3" x14ac:dyDescent="0.25">
      <c r="C228" t="s">
        <v>2413</v>
      </c>
    </row>
    <row r="229" spans="3:3" x14ac:dyDescent="0.25">
      <c r="C229" t="s">
        <v>921</v>
      </c>
    </row>
    <row r="230" spans="3:3" x14ac:dyDescent="0.25">
      <c r="C230" t="s">
        <v>1989</v>
      </c>
    </row>
    <row r="231" spans="3:3" x14ac:dyDescent="0.25">
      <c r="C231" t="s">
        <v>997</v>
      </c>
    </row>
    <row r="232" spans="3:3" x14ac:dyDescent="0.25">
      <c r="C232" t="s">
        <v>1893</v>
      </c>
    </row>
    <row r="233" spans="3:3" x14ac:dyDescent="0.25">
      <c r="C233" t="s">
        <v>670</v>
      </c>
    </row>
    <row r="234" spans="3:3" x14ac:dyDescent="0.25">
      <c r="C234" t="s">
        <v>1730</v>
      </c>
    </row>
    <row r="235" spans="3:3" x14ac:dyDescent="0.25">
      <c r="C235" t="s">
        <v>2225</v>
      </c>
    </row>
    <row r="236" spans="3:3" x14ac:dyDescent="0.25">
      <c r="C236" t="s">
        <v>1199</v>
      </c>
    </row>
    <row r="237" spans="3:3" x14ac:dyDescent="0.25">
      <c r="C237" t="s">
        <v>1017</v>
      </c>
    </row>
    <row r="238" spans="3:3" x14ac:dyDescent="0.25">
      <c r="C238" t="s">
        <v>386</v>
      </c>
    </row>
    <row r="239" spans="3:3" x14ac:dyDescent="0.25">
      <c r="C239" t="s">
        <v>1777</v>
      </c>
    </row>
    <row r="240" spans="3:3" x14ac:dyDescent="0.25">
      <c r="C240" t="s">
        <v>2530</v>
      </c>
    </row>
    <row r="241" spans="3:3" x14ac:dyDescent="0.25">
      <c r="C241" t="s">
        <v>2549</v>
      </c>
    </row>
    <row r="242" spans="3:3" x14ac:dyDescent="0.25">
      <c r="C242" t="s">
        <v>444</v>
      </c>
    </row>
    <row r="243" spans="3:3" x14ac:dyDescent="0.25">
      <c r="C243" t="s">
        <v>1509</v>
      </c>
    </row>
    <row r="244" spans="3:3" x14ac:dyDescent="0.25">
      <c r="C244" t="s">
        <v>1968</v>
      </c>
    </row>
    <row r="245" spans="3:3" x14ac:dyDescent="0.25">
      <c r="C245" t="s">
        <v>2484</v>
      </c>
    </row>
    <row r="246" spans="3:3" x14ac:dyDescent="0.25">
      <c r="C246" t="s">
        <v>2335</v>
      </c>
    </row>
    <row r="247" spans="3:3" x14ac:dyDescent="0.25">
      <c r="C247" t="s">
        <v>1861</v>
      </c>
    </row>
    <row r="248" spans="3:3" x14ac:dyDescent="0.25">
      <c r="C248" t="s">
        <v>1808</v>
      </c>
    </row>
    <row r="249" spans="3:3" x14ac:dyDescent="0.25">
      <c r="C249" t="s">
        <v>2505</v>
      </c>
    </row>
    <row r="250" spans="3:3" x14ac:dyDescent="0.25">
      <c r="C250" t="s">
        <v>939</v>
      </c>
    </row>
    <row r="251" spans="3:3" x14ac:dyDescent="0.25">
      <c r="C251" t="s">
        <v>676</v>
      </c>
    </row>
    <row r="252" spans="3:3" x14ac:dyDescent="0.25">
      <c r="C252" t="s">
        <v>2012</v>
      </c>
    </row>
    <row r="253" spans="3:3" x14ac:dyDescent="0.25">
      <c r="C253" t="s">
        <v>1903</v>
      </c>
    </row>
    <row r="254" spans="3:3" x14ac:dyDescent="0.25">
      <c r="C254" t="s">
        <v>2006</v>
      </c>
    </row>
    <row r="255" spans="3:3" x14ac:dyDescent="0.25">
      <c r="C255" t="s">
        <v>1459</v>
      </c>
    </row>
    <row r="256" spans="3:3" x14ac:dyDescent="0.25">
      <c r="C256" t="s">
        <v>849</v>
      </c>
    </row>
    <row r="257" spans="3:3" x14ac:dyDescent="0.25">
      <c r="C257" t="s">
        <v>1715</v>
      </c>
    </row>
    <row r="258" spans="3:3" x14ac:dyDescent="0.25">
      <c r="C258" t="s">
        <v>1700</v>
      </c>
    </row>
    <row r="259" spans="3:3" x14ac:dyDescent="0.25">
      <c r="C259" t="s">
        <v>860</v>
      </c>
    </row>
    <row r="260" spans="3:3" x14ac:dyDescent="0.25">
      <c r="C260" t="s">
        <v>296</v>
      </c>
    </row>
    <row r="261" spans="3:3" x14ac:dyDescent="0.25">
      <c r="C261" t="s">
        <v>702</v>
      </c>
    </row>
    <row r="262" spans="3:3" x14ac:dyDescent="0.25">
      <c r="C262" t="s">
        <v>714</v>
      </c>
    </row>
    <row r="263" spans="3:3" x14ac:dyDescent="0.25">
      <c r="C263" t="s">
        <v>1003</v>
      </c>
    </row>
    <row r="264" spans="3:3" x14ac:dyDescent="0.25">
      <c r="C264" t="s">
        <v>2048</v>
      </c>
    </row>
    <row r="265" spans="3:3" x14ac:dyDescent="0.25">
      <c r="C265" t="s">
        <v>2439</v>
      </c>
    </row>
    <row r="266" spans="3:3" x14ac:dyDescent="0.25">
      <c r="C266" t="s">
        <v>1325</v>
      </c>
    </row>
    <row r="267" spans="3:3" x14ac:dyDescent="0.25">
      <c r="C267" t="s">
        <v>824</v>
      </c>
    </row>
    <row r="268" spans="3:3" x14ac:dyDescent="0.25">
      <c r="C268" t="s">
        <v>1052</v>
      </c>
    </row>
    <row r="269" spans="3:3" x14ac:dyDescent="0.25">
      <c r="C269" t="s">
        <v>1266</v>
      </c>
    </row>
    <row r="270" spans="3:3" x14ac:dyDescent="0.25">
      <c r="C270" t="s">
        <v>894</v>
      </c>
    </row>
    <row r="271" spans="3:3" x14ac:dyDescent="0.25">
      <c r="C271" t="s">
        <v>1588</v>
      </c>
    </row>
    <row r="272" spans="3:3" x14ac:dyDescent="0.25">
      <c r="C272" t="s">
        <v>1163</v>
      </c>
    </row>
    <row r="273" spans="3:3" x14ac:dyDescent="0.25">
      <c r="C273" t="s">
        <v>354</v>
      </c>
    </row>
    <row r="274" spans="3:3" x14ac:dyDescent="0.25">
      <c r="C274" t="s">
        <v>430</v>
      </c>
    </row>
    <row r="275" spans="3:3" x14ac:dyDescent="0.25">
      <c r="C275" t="s">
        <v>1560</v>
      </c>
    </row>
    <row r="276" spans="3:3" x14ac:dyDescent="0.25">
      <c r="C276" t="s">
        <v>1521</v>
      </c>
    </row>
    <row r="277" spans="3:3" x14ac:dyDescent="0.25">
      <c r="C277" t="s">
        <v>1107</v>
      </c>
    </row>
    <row r="278" spans="3:3" x14ac:dyDescent="0.25">
      <c r="C278" t="s">
        <v>2036</v>
      </c>
    </row>
    <row r="279" spans="3:3" x14ac:dyDescent="0.25">
      <c r="C279" t="s">
        <v>2513</v>
      </c>
    </row>
    <row r="280" spans="3:3" x14ac:dyDescent="0.25">
      <c r="C280" t="s">
        <v>802</v>
      </c>
    </row>
    <row r="281" spans="3:3" x14ac:dyDescent="0.25">
      <c r="C281" t="s">
        <v>1322</v>
      </c>
    </row>
    <row r="282" spans="3:3" x14ac:dyDescent="0.25">
      <c r="C282" t="s">
        <v>2148</v>
      </c>
    </row>
    <row r="283" spans="3:3" x14ac:dyDescent="0.25">
      <c r="C283" t="s">
        <v>1511</v>
      </c>
    </row>
    <row r="284" spans="3:3" x14ac:dyDescent="0.25">
      <c r="C284" t="s">
        <v>1155</v>
      </c>
    </row>
    <row r="285" spans="3:3" x14ac:dyDescent="0.25">
      <c r="C285" t="s">
        <v>1644</v>
      </c>
    </row>
    <row r="286" spans="3:3" x14ac:dyDescent="0.25">
      <c r="C286" t="s">
        <v>2645</v>
      </c>
    </row>
    <row r="287" spans="3:3" x14ac:dyDescent="0.25">
      <c r="C287" t="s">
        <v>1038</v>
      </c>
    </row>
    <row r="288" spans="3:3" x14ac:dyDescent="0.25">
      <c r="C288" t="s">
        <v>1499</v>
      </c>
    </row>
    <row r="289" spans="3:3" x14ac:dyDescent="0.25">
      <c r="C289" t="s">
        <v>525</v>
      </c>
    </row>
    <row r="290" spans="3:3" x14ac:dyDescent="0.25">
      <c r="C290" t="s">
        <v>1451</v>
      </c>
    </row>
    <row r="291" spans="3:3" x14ac:dyDescent="0.25">
      <c r="C291" t="s">
        <v>787</v>
      </c>
    </row>
    <row r="292" spans="3:3" x14ac:dyDescent="0.25">
      <c r="C292" t="s">
        <v>950</v>
      </c>
    </row>
    <row r="293" spans="3:3" x14ac:dyDescent="0.25">
      <c r="C293" t="s">
        <v>1662</v>
      </c>
    </row>
    <row r="294" spans="3:3" x14ac:dyDescent="0.25">
      <c r="C294" t="s">
        <v>1856</v>
      </c>
    </row>
    <row r="295" spans="3:3" x14ac:dyDescent="0.25">
      <c r="C295" t="s">
        <v>1929</v>
      </c>
    </row>
    <row r="296" spans="3:3" x14ac:dyDescent="0.25">
      <c r="C296" t="s">
        <v>782</v>
      </c>
    </row>
    <row r="297" spans="3:3" x14ac:dyDescent="0.25">
      <c r="C297" t="s">
        <v>523</v>
      </c>
    </row>
    <row r="298" spans="3:3" x14ac:dyDescent="0.25">
      <c r="C298" t="s">
        <v>1525</v>
      </c>
    </row>
    <row r="299" spans="3:3" x14ac:dyDescent="0.25">
      <c r="C299" t="s">
        <v>438</v>
      </c>
    </row>
    <row r="300" spans="3:3" x14ac:dyDescent="0.25">
      <c r="C300" t="s">
        <v>414</v>
      </c>
    </row>
    <row r="301" spans="3:3" x14ac:dyDescent="0.25">
      <c r="C301" t="s">
        <v>935</v>
      </c>
    </row>
    <row r="302" spans="3:3" x14ac:dyDescent="0.25">
      <c r="C302" t="s">
        <v>390</v>
      </c>
    </row>
    <row r="303" spans="3:3" x14ac:dyDescent="0.25">
      <c r="C303" t="s">
        <v>380</v>
      </c>
    </row>
    <row r="304" spans="3:3" x14ac:dyDescent="0.25">
      <c r="C304" t="s">
        <v>954</v>
      </c>
    </row>
    <row r="305" spans="3:3" x14ac:dyDescent="0.25">
      <c r="C305" t="s">
        <v>1515</v>
      </c>
    </row>
    <row r="306" spans="3:3" x14ac:dyDescent="0.25">
      <c r="C306" t="s">
        <v>2392</v>
      </c>
    </row>
    <row r="307" spans="3:3" x14ac:dyDescent="0.25">
      <c r="C307" t="s">
        <v>1330</v>
      </c>
    </row>
    <row r="308" spans="3:3" x14ac:dyDescent="0.25">
      <c r="C308" t="s">
        <v>886</v>
      </c>
    </row>
    <row r="309" spans="3:3" x14ac:dyDescent="0.25">
      <c r="C309" t="s">
        <v>2327</v>
      </c>
    </row>
    <row r="310" spans="3:3" x14ac:dyDescent="0.25">
      <c r="C310" t="s">
        <v>1433</v>
      </c>
    </row>
    <row r="311" spans="3:3" x14ac:dyDescent="0.25">
      <c r="C311" t="s">
        <v>467</v>
      </c>
    </row>
    <row r="312" spans="3:3" x14ac:dyDescent="0.25">
      <c r="C312" t="s">
        <v>1179</v>
      </c>
    </row>
    <row r="313" spans="3:3" x14ac:dyDescent="0.25">
      <c r="C313" t="s">
        <v>2390</v>
      </c>
    </row>
    <row r="314" spans="3:3" x14ac:dyDescent="0.25">
      <c r="C314" t="s">
        <v>1145</v>
      </c>
    </row>
    <row r="315" spans="3:3" x14ac:dyDescent="0.25">
      <c r="C315" t="s">
        <v>878</v>
      </c>
    </row>
    <row r="316" spans="3:3" x14ac:dyDescent="0.25">
      <c r="C316" t="s">
        <v>519</v>
      </c>
    </row>
    <row r="317" spans="3:3" x14ac:dyDescent="0.25">
      <c r="C317" t="s">
        <v>531</v>
      </c>
    </row>
    <row r="318" spans="3:3" x14ac:dyDescent="0.25">
      <c r="C318" t="s">
        <v>850</v>
      </c>
    </row>
    <row r="319" spans="3:3" x14ac:dyDescent="0.25">
      <c r="C319" t="s">
        <v>529</v>
      </c>
    </row>
    <row r="320" spans="3:3" x14ac:dyDescent="0.25">
      <c r="C320" t="s">
        <v>876</v>
      </c>
    </row>
    <row r="321" spans="3:3" x14ac:dyDescent="0.25">
      <c r="C321" t="s">
        <v>864</v>
      </c>
    </row>
    <row r="322" spans="3:3" x14ac:dyDescent="0.25">
      <c r="C322" t="s">
        <v>465</v>
      </c>
    </row>
    <row r="323" spans="3:3" x14ac:dyDescent="0.25">
      <c r="C323" t="s">
        <v>2071</v>
      </c>
    </row>
    <row r="324" spans="3:3" x14ac:dyDescent="0.25">
      <c r="C324" t="s">
        <v>847</v>
      </c>
    </row>
    <row r="325" spans="3:3" x14ac:dyDescent="0.25">
      <c r="C325" t="s">
        <v>2441</v>
      </c>
    </row>
    <row r="326" spans="3:3" x14ac:dyDescent="0.25">
      <c r="C326" t="s">
        <v>1207</v>
      </c>
    </row>
    <row r="327" spans="3:3" x14ac:dyDescent="0.25">
      <c r="C327" t="s">
        <v>1738</v>
      </c>
    </row>
    <row r="328" spans="3:3" x14ac:dyDescent="0.25">
      <c r="C328" t="s">
        <v>396</v>
      </c>
    </row>
    <row r="329" spans="3:3" x14ac:dyDescent="0.25">
      <c r="C329" t="s">
        <v>832</v>
      </c>
    </row>
    <row r="330" spans="3:3" x14ac:dyDescent="0.25">
      <c r="C330" t="s">
        <v>2380</v>
      </c>
    </row>
    <row r="331" spans="3:3" x14ac:dyDescent="0.25">
      <c r="C331" t="s">
        <v>1972</v>
      </c>
    </row>
    <row r="332" spans="3:3" x14ac:dyDescent="0.25">
      <c r="C332" t="s">
        <v>834</v>
      </c>
    </row>
    <row r="333" spans="3:3" x14ac:dyDescent="0.25">
      <c r="C333" t="s">
        <v>2203</v>
      </c>
    </row>
    <row r="334" spans="3:3" x14ac:dyDescent="0.25">
      <c r="C334" t="s">
        <v>838</v>
      </c>
    </row>
    <row r="335" spans="3:3" x14ac:dyDescent="0.25">
      <c r="C335" t="s">
        <v>2488</v>
      </c>
    </row>
    <row r="336" spans="3:3" x14ac:dyDescent="0.25">
      <c r="C336" t="s">
        <v>1344</v>
      </c>
    </row>
    <row r="337" spans="3:3" x14ac:dyDescent="0.25">
      <c r="C337" t="s">
        <v>1981</v>
      </c>
    </row>
    <row r="338" spans="3:3" x14ac:dyDescent="0.25">
      <c r="C338" t="s">
        <v>328</v>
      </c>
    </row>
    <row r="339" spans="3:3" x14ac:dyDescent="0.25">
      <c r="C339" t="s">
        <v>1234</v>
      </c>
    </row>
    <row r="340" spans="3:3" x14ac:dyDescent="0.25">
      <c r="C340" t="s">
        <v>306</v>
      </c>
    </row>
    <row r="341" spans="3:3" x14ac:dyDescent="0.25">
      <c r="C341" t="s">
        <v>1550</v>
      </c>
    </row>
    <row r="342" spans="3:3" x14ac:dyDescent="0.25">
      <c r="C342" t="s">
        <v>1907</v>
      </c>
    </row>
    <row r="343" spans="3:3" x14ac:dyDescent="0.25">
      <c r="C343" t="s">
        <v>1021</v>
      </c>
    </row>
    <row r="344" spans="3:3" x14ac:dyDescent="0.25">
      <c r="C344" t="s">
        <v>442</v>
      </c>
    </row>
    <row r="345" spans="3:3" x14ac:dyDescent="0.25">
      <c r="C345" t="s">
        <v>1742</v>
      </c>
    </row>
    <row r="346" spans="3:3" x14ac:dyDescent="0.25">
      <c r="C346" t="s">
        <v>828</v>
      </c>
    </row>
    <row r="347" spans="3:3" x14ac:dyDescent="0.25">
      <c r="C347" t="s">
        <v>2286</v>
      </c>
    </row>
    <row r="348" spans="3:3" x14ac:dyDescent="0.25">
      <c r="C348" t="s">
        <v>340</v>
      </c>
    </row>
    <row r="349" spans="3:3" x14ac:dyDescent="0.25">
      <c r="C349" t="s">
        <v>340</v>
      </c>
    </row>
    <row r="350" spans="3:3" x14ac:dyDescent="0.25">
      <c r="C350" t="s">
        <v>2191</v>
      </c>
    </row>
    <row r="351" spans="3:3" x14ac:dyDescent="0.25">
      <c r="C351" t="s">
        <v>1211</v>
      </c>
    </row>
    <row r="352" spans="3:3" x14ac:dyDescent="0.25">
      <c r="C352" t="s">
        <v>1481</v>
      </c>
    </row>
    <row r="353" spans="3:3" x14ac:dyDescent="0.25">
      <c r="C353" t="s">
        <v>1465</v>
      </c>
    </row>
    <row r="354" spans="3:3" x14ac:dyDescent="0.25">
      <c r="C354" t="s">
        <v>623</v>
      </c>
    </row>
    <row r="355" spans="3:3" x14ac:dyDescent="0.25">
      <c r="C355" t="s">
        <v>1086</v>
      </c>
    </row>
    <row r="356" spans="3:3" x14ac:dyDescent="0.25">
      <c r="C356" t="s">
        <v>2455</v>
      </c>
    </row>
    <row r="357" spans="3:3" x14ac:dyDescent="0.25">
      <c r="C357" t="s">
        <v>1917</v>
      </c>
    </row>
    <row r="358" spans="3:3" x14ac:dyDescent="0.25">
      <c r="C358" t="s">
        <v>2665</v>
      </c>
    </row>
    <row r="359" spans="3:3" x14ac:dyDescent="0.25">
      <c r="C359" t="s">
        <v>2447</v>
      </c>
    </row>
    <row r="360" spans="3:3" x14ac:dyDescent="0.25">
      <c r="C360" t="s">
        <v>2339</v>
      </c>
    </row>
    <row r="361" spans="3:3" x14ac:dyDescent="0.25">
      <c r="C361" t="s">
        <v>2351</v>
      </c>
    </row>
    <row r="362" spans="3:3" x14ac:dyDescent="0.25">
      <c r="C362" t="s">
        <v>1288</v>
      </c>
    </row>
    <row r="363" spans="3:3" x14ac:dyDescent="0.25">
      <c r="C363" t="s">
        <v>1236</v>
      </c>
    </row>
    <row r="364" spans="3:3" x14ac:dyDescent="0.25">
      <c r="C364" t="s">
        <v>497</v>
      </c>
    </row>
    <row r="365" spans="3:3" x14ac:dyDescent="0.25">
      <c r="C365" t="s">
        <v>2102</v>
      </c>
    </row>
    <row r="366" spans="3:3" x14ac:dyDescent="0.25">
      <c r="C366" t="s">
        <v>1679</v>
      </c>
    </row>
    <row r="367" spans="3:3" x14ac:dyDescent="0.25">
      <c r="C367" t="s">
        <v>1295</v>
      </c>
    </row>
    <row r="368" spans="3:3" x14ac:dyDescent="0.25">
      <c r="C368" t="s">
        <v>1305</v>
      </c>
    </row>
    <row r="369" spans="3:3" x14ac:dyDescent="0.25">
      <c r="C369" t="s">
        <v>858</v>
      </c>
    </row>
    <row r="370" spans="3:3" x14ac:dyDescent="0.25">
      <c r="C370" t="s">
        <v>1718</v>
      </c>
    </row>
    <row r="371" spans="3:3" x14ac:dyDescent="0.25">
      <c r="C371" t="s">
        <v>2296</v>
      </c>
    </row>
    <row r="372" spans="3:3" x14ac:dyDescent="0.25">
      <c r="C372" t="s">
        <v>1953</v>
      </c>
    </row>
    <row r="373" spans="3:3" x14ac:dyDescent="0.25">
      <c r="C373" t="s">
        <v>2032</v>
      </c>
    </row>
    <row r="374" spans="3:3" x14ac:dyDescent="0.25">
      <c r="C374" t="s">
        <v>2568</v>
      </c>
    </row>
    <row r="375" spans="3:3" x14ac:dyDescent="0.25">
      <c r="C375" t="s">
        <v>1933</v>
      </c>
    </row>
    <row r="376" spans="3:3" x14ac:dyDescent="0.25">
      <c r="C376" t="s">
        <v>587</v>
      </c>
    </row>
    <row r="377" spans="3:3" x14ac:dyDescent="0.25">
      <c r="C377" t="s">
        <v>2461</v>
      </c>
    </row>
    <row r="378" spans="3:3" x14ac:dyDescent="0.25">
      <c r="C378" t="s">
        <v>2183</v>
      </c>
    </row>
    <row r="379" spans="3:3" x14ac:dyDescent="0.25">
      <c r="C379" t="s">
        <v>471</v>
      </c>
    </row>
    <row r="380" spans="3:3" x14ac:dyDescent="0.25">
      <c r="C380" t="s">
        <v>1873</v>
      </c>
    </row>
    <row r="381" spans="3:3" x14ac:dyDescent="0.25">
      <c r="C381" t="s">
        <v>1977</v>
      </c>
    </row>
    <row r="382" spans="3:3" x14ac:dyDescent="0.25">
      <c r="C382" t="s">
        <v>604</v>
      </c>
    </row>
    <row r="383" spans="3:3" x14ac:dyDescent="0.25">
      <c r="C383" t="s">
        <v>732</v>
      </c>
    </row>
    <row r="384" spans="3:3" x14ac:dyDescent="0.25">
      <c r="C384" t="s">
        <v>2486</v>
      </c>
    </row>
    <row r="385" spans="3:3" x14ac:dyDescent="0.25">
      <c r="C385" t="s">
        <v>1220</v>
      </c>
    </row>
    <row r="386" spans="3:3" x14ac:dyDescent="0.25">
      <c r="C386" t="s">
        <v>1025</v>
      </c>
    </row>
    <row r="387" spans="3:3" x14ac:dyDescent="0.25">
      <c r="C387" t="s">
        <v>550</v>
      </c>
    </row>
    <row r="388" spans="3:3" x14ac:dyDescent="0.25">
      <c r="C388" t="s">
        <v>2572</v>
      </c>
    </row>
    <row r="389" spans="3:3" x14ac:dyDescent="0.25">
      <c r="C389" t="s">
        <v>537</v>
      </c>
    </row>
    <row r="390" spans="3:3" x14ac:dyDescent="0.25">
      <c r="C390" t="s">
        <v>2594</v>
      </c>
    </row>
    <row r="391" spans="3:3" x14ac:dyDescent="0.25">
      <c r="C391" t="s">
        <v>1531</v>
      </c>
    </row>
    <row r="392" spans="3:3" x14ac:dyDescent="0.25">
      <c r="C392" t="s">
        <v>2406</v>
      </c>
    </row>
    <row r="393" spans="3:3" x14ac:dyDescent="0.25">
      <c r="C393" t="s">
        <v>2633</v>
      </c>
    </row>
    <row r="394" spans="3:3" x14ac:dyDescent="0.25">
      <c r="C394" t="s">
        <v>1875</v>
      </c>
    </row>
    <row r="395" spans="3:3" x14ac:dyDescent="0.25">
      <c r="C395" t="s">
        <v>1248</v>
      </c>
    </row>
    <row r="396" spans="3:3" x14ac:dyDescent="0.25">
      <c r="C396" t="s">
        <v>388</v>
      </c>
    </row>
    <row r="397" spans="3:3" x14ac:dyDescent="0.25">
      <c r="C397" t="s">
        <v>2615</v>
      </c>
    </row>
    <row r="398" spans="3:3" x14ac:dyDescent="0.25">
      <c r="C398" t="s">
        <v>700</v>
      </c>
    </row>
    <row r="399" spans="3:3" x14ac:dyDescent="0.25">
      <c r="C399" t="s">
        <v>326</v>
      </c>
    </row>
    <row r="400" spans="3:3" x14ac:dyDescent="0.25">
      <c r="C400" t="s">
        <v>481</v>
      </c>
    </row>
    <row r="401" spans="3:3" x14ac:dyDescent="0.25">
      <c r="C401" t="s">
        <v>852</v>
      </c>
    </row>
    <row r="402" spans="3:3" x14ac:dyDescent="0.25">
      <c r="C402" t="s">
        <v>1591</v>
      </c>
    </row>
    <row r="403" spans="3:3" x14ac:dyDescent="0.25">
      <c r="C403" t="s">
        <v>2130</v>
      </c>
    </row>
    <row r="404" spans="3:3" x14ac:dyDescent="0.25">
      <c r="C404" t="s">
        <v>491</v>
      </c>
    </row>
    <row r="405" spans="3:3" x14ac:dyDescent="0.25">
      <c r="C405" t="s">
        <v>2081</v>
      </c>
    </row>
    <row r="406" spans="3:3" x14ac:dyDescent="0.25">
      <c r="C406" t="s">
        <v>1601</v>
      </c>
    </row>
    <row r="407" spans="3:3" x14ac:dyDescent="0.25">
      <c r="C407" t="s">
        <v>2054</v>
      </c>
    </row>
    <row r="408" spans="3:3" x14ac:dyDescent="0.25">
      <c r="C408" t="s">
        <v>2058</v>
      </c>
    </row>
    <row r="409" spans="3:3" x14ac:dyDescent="0.25">
      <c r="C409" t="s">
        <v>2606</v>
      </c>
    </row>
    <row r="410" spans="3:3" x14ac:dyDescent="0.25">
      <c r="C410" t="s">
        <v>1203</v>
      </c>
    </row>
    <row r="411" spans="3:3" x14ac:dyDescent="0.25">
      <c r="C411" t="s">
        <v>2030</v>
      </c>
    </row>
    <row r="412" spans="3:3" x14ac:dyDescent="0.25">
      <c r="C412" t="s">
        <v>2337</v>
      </c>
    </row>
    <row r="413" spans="3:3" x14ac:dyDescent="0.25">
      <c r="C413" t="s">
        <v>2150</v>
      </c>
    </row>
    <row r="414" spans="3:3" x14ac:dyDescent="0.25">
      <c r="C414" t="s">
        <v>2175</v>
      </c>
    </row>
    <row r="415" spans="3:3" x14ac:dyDescent="0.25">
      <c r="C415" t="s">
        <v>1019</v>
      </c>
    </row>
    <row r="416" spans="3:3" x14ac:dyDescent="0.25">
      <c r="C416" t="s">
        <v>1001</v>
      </c>
    </row>
    <row r="417" spans="3:3" x14ac:dyDescent="0.25">
      <c r="C417" t="s">
        <v>1135</v>
      </c>
    </row>
    <row r="418" spans="3:3" x14ac:dyDescent="0.25">
      <c r="C418" t="s">
        <v>507</v>
      </c>
    </row>
    <row r="419" spans="3:3" x14ac:dyDescent="0.25">
      <c r="C419" t="s">
        <v>1201</v>
      </c>
    </row>
    <row r="420" spans="3:3" x14ac:dyDescent="0.25">
      <c r="C420" t="s">
        <v>2325</v>
      </c>
    </row>
    <row r="421" spans="3:3" x14ac:dyDescent="0.25">
      <c r="C421" t="s">
        <v>631</v>
      </c>
    </row>
    <row r="422" spans="3:3" x14ac:dyDescent="0.25">
      <c r="C422" t="s">
        <v>1763</v>
      </c>
    </row>
    <row r="423" spans="3:3" x14ac:dyDescent="0.25">
      <c r="C423" t="s">
        <v>1453</v>
      </c>
    </row>
    <row r="424" spans="3:3" x14ac:dyDescent="0.25">
      <c r="C424" t="s">
        <v>616</v>
      </c>
    </row>
    <row r="425" spans="3:3" x14ac:dyDescent="0.25">
      <c r="C425" t="s">
        <v>1744</v>
      </c>
    </row>
    <row r="426" spans="3:3" x14ac:dyDescent="0.25">
      <c r="C426" t="s">
        <v>2367</v>
      </c>
    </row>
    <row r="427" spans="3:3" x14ac:dyDescent="0.25">
      <c r="C427" t="s">
        <v>1722</v>
      </c>
    </row>
    <row r="428" spans="3:3" x14ac:dyDescent="0.25">
      <c r="C428" t="s">
        <v>2016</v>
      </c>
    </row>
    <row r="429" spans="3:3" x14ac:dyDescent="0.25">
      <c r="C429" t="s">
        <v>1282</v>
      </c>
    </row>
    <row r="430" spans="3:3" x14ac:dyDescent="0.25">
      <c r="C430" t="s">
        <v>958</v>
      </c>
    </row>
    <row r="431" spans="3:3" x14ac:dyDescent="0.25">
      <c r="C431" t="s">
        <v>2547</v>
      </c>
    </row>
    <row r="432" spans="3:3" x14ac:dyDescent="0.25">
      <c r="C432" t="s">
        <v>1111</v>
      </c>
    </row>
    <row r="433" spans="3:3" x14ac:dyDescent="0.25">
      <c r="C433" t="s">
        <v>611</v>
      </c>
    </row>
    <row r="434" spans="3:3" x14ac:dyDescent="0.25">
      <c r="C434" t="s">
        <v>642</v>
      </c>
    </row>
    <row r="435" spans="3:3" x14ac:dyDescent="0.25">
      <c r="C435" t="s">
        <v>1838</v>
      </c>
    </row>
    <row r="436" spans="3:3" x14ac:dyDescent="0.25">
      <c r="C436" t="s">
        <v>1244</v>
      </c>
    </row>
    <row r="437" spans="3:3" x14ac:dyDescent="0.25">
      <c r="C437" t="s">
        <v>2588</v>
      </c>
    </row>
    <row r="438" spans="3:3" x14ac:dyDescent="0.25">
      <c r="C438" t="s">
        <v>2020</v>
      </c>
    </row>
    <row r="439" spans="3:3" x14ac:dyDescent="0.25">
      <c r="C439" t="s">
        <v>2400</v>
      </c>
    </row>
    <row r="440" spans="3:3" x14ac:dyDescent="0.25">
      <c r="C440" t="s">
        <v>1816</v>
      </c>
    </row>
    <row r="441" spans="3:3" x14ac:dyDescent="0.25">
      <c r="C441" t="s">
        <v>314</v>
      </c>
    </row>
    <row r="442" spans="3:3" x14ac:dyDescent="0.25">
      <c r="C442" t="s">
        <v>854</v>
      </c>
    </row>
    <row r="443" spans="3:3" x14ac:dyDescent="0.25">
      <c r="C443" t="s">
        <v>881</v>
      </c>
    </row>
    <row r="444" spans="3:3" x14ac:dyDescent="0.25">
      <c r="C444" t="s">
        <v>2307</v>
      </c>
    </row>
    <row r="445" spans="3:3" x14ac:dyDescent="0.25">
      <c r="C445" t="s">
        <v>879</v>
      </c>
    </row>
    <row r="446" spans="3:3" x14ac:dyDescent="0.25">
      <c r="C446" t="s">
        <v>2079</v>
      </c>
    </row>
    <row r="447" spans="3:3" x14ac:dyDescent="0.25">
      <c r="C447" t="s">
        <v>2069</v>
      </c>
    </row>
    <row r="448" spans="3:3" x14ac:dyDescent="0.25">
      <c r="C448" t="s">
        <v>2076</v>
      </c>
    </row>
    <row r="449" spans="3:3" x14ac:dyDescent="0.25">
      <c r="C449" t="s">
        <v>583</v>
      </c>
    </row>
    <row r="450" spans="3:3" x14ac:dyDescent="0.25">
      <c r="C450" t="s">
        <v>591</v>
      </c>
    </row>
    <row r="451" spans="3:3" x14ac:dyDescent="0.25">
      <c r="C451" t="s">
        <v>2507</v>
      </c>
    </row>
    <row r="452" spans="3:3" x14ac:dyDescent="0.25">
      <c r="C452" t="s">
        <v>1505</v>
      </c>
    </row>
    <row r="453" spans="3:3" x14ac:dyDescent="0.25">
      <c r="C453" t="s">
        <v>2213</v>
      </c>
    </row>
    <row r="454" spans="3:3" x14ac:dyDescent="0.25">
      <c r="C454" t="s">
        <v>2331</v>
      </c>
    </row>
    <row r="455" spans="3:3" x14ac:dyDescent="0.25">
      <c r="C455" t="s">
        <v>1931</v>
      </c>
    </row>
    <row r="456" spans="3:3" x14ac:dyDescent="0.25">
      <c r="C456" t="s">
        <v>1242</v>
      </c>
    </row>
    <row r="457" spans="3:3" x14ac:dyDescent="0.25">
      <c r="C457" t="s">
        <v>1542</v>
      </c>
    </row>
    <row r="458" spans="3:3" x14ac:dyDescent="0.25">
      <c r="C458" t="s">
        <v>1630</v>
      </c>
    </row>
    <row r="459" spans="3:3" x14ac:dyDescent="0.25">
      <c r="C459" t="s">
        <v>2341</v>
      </c>
    </row>
    <row r="460" spans="3:3" x14ac:dyDescent="0.25">
      <c r="C460" t="s">
        <v>1562</v>
      </c>
    </row>
    <row r="461" spans="3:3" x14ac:dyDescent="0.25">
      <c r="C461" t="s">
        <v>278</v>
      </c>
    </row>
    <row r="462" spans="3:3" x14ac:dyDescent="0.25">
      <c r="C462" t="s">
        <v>2443</v>
      </c>
    </row>
    <row r="463" spans="3:3" x14ac:dyDescent="0.25">
      <c r="C463" t="s">
        <v>2459</v>
      </c>
    </row>
    <row r="464" spans="3:3" x14ac:dyDescent="0.25">
      <c r="C464" t="s">
        <v>2445</v>
      </c>
    </row>
    <row r="465" spans="3:3" x14ac:dyDescent="0.25">
      <c r="C465" t="s">
        <v>1175</v>
      </c>
    </row>
    <row r="466" spans="3:3" x14ac:dyDescent="0.25">
      <c r="C466" t="s">
        <v>660</v>
      </c>
    </row>
    <row r="467" spans="3:3" x14ac:dyDescent="0.25">
      <c r="C467" t="s">
        <v>836</v>
      </c>
    </row>
    <row r="468" spans="3:3" x14ac:dyDescent="0.25">
      <c r="C468" t="s">
        <v>770</v>
      </c>
    </row>
    <row r="469" spans="3:3" x14ac:dyDescent="0.25">
      <c r="C469" t="s">
        <v>2564</v>
      </c>
    </row>
    <row r="470" spans="3:3" x14ac:dyDescent="0.25">
      <c r="C470" t="s">
        <v>1313</v>
      </c>
    </row>
    <row r="471" spans="3:3" x14ac:dyDescent="0.25">
      <c r="C471" t="s">
        <v>1307</v>
      </c>
    </row>
    <row r="472" spans="3:3" x14ac:dyDescent="0.25">
      <c r="C472" t="s">
        <v>1314</v>
      </c>
    </row>
    <row r="473" spans="3:3" x14ac:dyDescent="0.25">
      <c r="C473" t="s">
        <v>2106</v>
      </c>
    </row>
    <row r="474" spans="3:3" x14ac:dyDescent="0.25">
      <c r="C474" t="s">
        <v>2118</v>
      </c>
    </row>
    <row r="475" spans="3:3" x14ac:dyDescent="0.25">
      <c r="C475" t="s">
        <v>2115</v>
      </c>
    </row>
    <row r="476" spans="3:3" x14ac:dyDescent="0.25">
      <c r="C476" t="s">
        <v>884</v>
      </c>
    </row>
    <row r="477" spans="3:3" x14ac:dyDescent="0.25">
      <c r="C477" t="s">
        <v>2087</v>
      </c>
    </row>
    <row r="478" spans="3:3" x14ac:dyDescent="0.25">
      <c r="C478" t="s">
        <v>1301</v>
      </c>
    </row>
    <row r="479" spans="3:3" x14ac:dyDescent="0.25">
      <c r="C479" t="s">
        <v>1676</v>
      </c>
    </row>
    <row r="480" spans="3:3" x14ac:dyDescent="0.25">
      <c r="C480" t="s">
        <v>1596</v>
      </c>
    </row>
    <row r="481" spans="3:3" x14ac:dyDescent="0.25">
      <c r="C481" t="s">
        <v>1717</v>
      </c>
    </row>
    <row r="482" spans="3:3" x14ac:dyDescent="0.25">
      <c r="C482" t="s">
        <v>1704</v>
      </c>
    </row>
    <row r="483" spans="3:3" x14ac:dyDescent="0.25">
      <c r="C483" t="s">
        <v>822</v>
      </c>
    </row>
    <row r="484" spans="3:3" x14ac:dyDescent="0.25">
      <c r="C484" t="s">
        <v>2004</v>
      </c>
    </row>
    <row r="485" spans="3:3" x14ac:dyDescent="0.25">
      <c r="C485" t="s">
        <v>1791</v>
      </c>
    </row>
    <row r="486" spans="3:3" x14ac:dyDescent="0.25">
      <c r="C486" t="s">
        <v>2463</v>
      </c>
    </row>
    <row r="487" spans="3:3" x14ac:dyDescent="0.25">
      <c r="C487" t="s">
        <v>2207</v>
      </c>
    </row>
    <row r="488" spans="3:3" x14ac:dyDescent="0.25">
      <c r="C488" t="s">
        <v>2333</v>
      </c>
    </row>
    <row r="489" spans="3:3" x14ac:dyDescent="0.25">
      <c r="C489" t="s">
        <v>2205</v>
      </c>
    </row>
    <row r="490" spans="3:3" x14ac:dyDescent="0.25">
      <c r="C490" t="s">
        <v>2502</v>
      </c>
    </row>
    <row r="491" spans="3:3" x14ac:dyDescent="0.25">
      <c r="C491" t="s">
        <v>1374</v>
      </c>
    </row>
    <row r="492" spans="3:3" x14ac:dyDescent="0.25">
      <c r="C492" t="s">
        <v>915</v>
      </c>
    </row>
    <row r="493" spans="3:3" x14ac:dyDescent="0.25">
      <c r="C493" t="s">
        <v>1076</v>
      </c>
    </row>
    <row r="494" spans="3:3" x14ac:dyDescent="0.25">
      <c r="C494" t="s">
        <v>585</v>
      </c>
    </row>
    <row r="495" spans="3:3" x14ac:dyDescent="0.25">
      <c r="C495" t="s">
        <v>2236</v>
      </c>
    </row>
    <row r="496" spans="3:3" x14ac:dyDescent="0.25">
      <c r="C496" t="s">
        <v>2229</v>
      </c>
    </row>
    <row r="497" spans="3:3" x14ac:dyDescent="0.25">
      <c r="C497" t="s">
        <v>2254</v>
      </c>
    </row>
    <row r="498" spans="3:3" x14ac:dyDescent="0.25">
      <c r="C498" t="s">
        <v>1040</v>
      </c>
    </row>
    <row r="499" spans="3:3" x14ac:dyDescent="0.25">
      <c r="C499" t="s">
        <v>1082</v>
      </c>
    </row>
    <row r="500" spans="3:3" x14ac:dyDescent="0.25">
      <c r="C500" t="s">
        <v>2062</v>
      </c>
    </row>
    <row r="501" spans="3:3" x14ac:dyDescent="0.25">
      <c r="C501" t="s">
        <v>2282</v>
      </c>
    </row>
    <row r="502" spans="3:3" x14ac:dyDescent="0.25">
      <c r="C502" t="s">
        <v>1728</v>
      </c>
    </row>
    <row r="503" spans="3:3" x14ac:dyDescent="0.25">
      <c r="C503" t="s">
        <v>1795</v>
      </c>
    </row>
    <row r="504" spans="3:3" x14ac:dyDescent="0.25">
      <c r="C504" t="s">
        <v>533</v>
      </c>
    </row>
    <row r="505" spans="3:3" x14ac:dyDescent="0.25">
      <c r="C505" t="s">
        <v>2232</v>
      </c>
    </row>
    <row r="506" spans="3:3" x14ac:dyDescent="0.25">
      <c r="C506" t="s">
        <v>2667</v>
      </c>
    </row>
    <row r="507" spans="3:3" x14ac:dyDescent="0.25">
      <c r="C507" t="s">
        <v>826</v>
      </c>
    </row>
    <row r="508" spans="3:3" x14ac:dyDescent="0.25">
      <c r="C508" t="s">
        <v>1355</v>
      </c>
    </row>
    <row r="509" spans="3:3" x14ac:dyDescent="0.25">
      <c r="C509" t="s">
        <v>1469</v>
      </c>
    </row>
    <row r="510" spans="3:3" x14ac:dyDescent="0.25">
      <c r="C510" t="s">
        <v>2498</v>
      </c>
    </row>
    <row r="511" spans="3:3" x14ac:dyDescent="0.25">
      <c r="C511" t="s">
        <v>848</v>
      </c>
    </row>
    <row r="512" spans="3:3" x14ac:dyDescent="0.25">
      <c r="C512" t="s">
        <v>1315</v>
      </c>
    </row>
    <row r="513" spans="3:3" x14ac:dyDescent="0.25">
      <c r="C513" t="s">
        <v>1603</v>
      </c>
    </row>
    <row r="514" spans="3:3" x14ac:dyDescent="0.25">
      <c r="C514" t="s">
        <v>1687</v>
      </c>
    </row>
    <row r="515" spans="3:3" x14ac:dyDescent="0.25">
      <c r="C515" t="s">
        <v>856</v>
      </c>
    </row>
    <row r="516" spans="3:3" x14ac:dyDescent="0.25">
      <c r="C516" t="s">
        <v>2090</v>
      </c>
    </row>
    <row r="517" spans="3:3" x14ac:dyDescent="0.25">
      <c r="C517" t="s">
        <v>2270</v>
      </c>
    </row>
    <row r="518" spans="3:3" x14ac:dyDescent="0.25">
      <c r="C518" t="s">
        <v>1445</v>
      </c>
    </row>
    <row r="519" spans="3:3" x14ac:dyDescent="0.25">
      <c r="C519" t="s">
        <v>1264</v>
      </c>
    </row>
    <row r="520" spans="3:3" x14ac:dyDescent="0.25">
      <c r="C520" t="s">
        <v>2022</v>
      </c>
    </row>
    <row r="521" spans="3:3" x14ac:dyDescent="0.25">
      <c r="C521" t="s">
        <v>300</v>
      </c>
    </row>
    <row r="522" spans="3:3" x14ac:dyDescent="0.25">
      <c r="C522" t="s">
        <v>1439</v>
      </c>
    </row>
    <row r="523" spans="3:3" x14ac:dyDescent="0.25">
      <c r="C523" t="s">
        <v>1129</v>
      </c>
    </row>
    <row r="524" spans="3:3" x14ac:dyDescent="0.25">
      <c r="C524" t="s">
        <v>1290</v>
      </c>
    </row>
    <row r="525" spans="3:3" x14ac:dyDescent="0.25">
      <c r="C525" t="s">
        <v>972</v>
      </c>
    </row>
    <row r="526" spans="3:3" x14ac:dyDescent="0.25">
      <c r="C526" t="s">
        <v>1471</v>
      </c>
    </row>
    <row r="527" spans="3:3" x14ac:dyDescent="0.25">
      <c r="C527" t="s">
        <v>1115</v>
      </c>
    </row>
    <row r="528" spans="3:3" x14ac:dyDescent="0.25">
      <c r="C528" t="s">
        <v>1887</v>
      </c>
    </row>
    <row r="529" spans="3:3" x14ac:dyDescent="0.25">
      <c r="C529" t="s">
        <v>1513</v>
      </c>
    </row>
    <row r="530" spans="3:3" x14ac:dyDescent="0.25">
      <c r="C530" t="s">
        <v>312</v>
      </c>
    </row>
    <row r="531" spans="3:3" x14ac:dyDescent="0.25">
      <c r="C531" t="s">
        <v>662</v>
      </c>
    </row>
    <row r="532" spans="3:3" x14ac:dyDescent="0.25">
      <c r="C532" t="s">
        <v>1099</v>
      </c>
    </row>
    <row r="533" spans="3:3" x14ac:dyDescent="0.25">
      <c r="C533" t="s">
        <v>2028</v>
      </c>
    </row>
    <row r="534" spans="3:3" x14ac:dyDescent="0.25">
      <c r="C534" t="s">
        <v>1278</v>
      </c>
    </row>
    <row r="535" spans="3:3" x14ac:dyDescent="0.25">
      <c r="C535" t="s">
        <v>974</v>
      </c>
    </row>
    <row r="536" spans="3:3" x14ac:dyDescent="0.25">
      <c r="C536" t="s">
        <v>2026</v>
      </c>
    </row>
    <row r="537" spans="3:3" x14ac:dyDescent="0.25">
      <c r="C537" t="s">
        <v>964</v>
      </c>
    </row>
    <row r="538" spans="3:3" x14ac:dyDescent="0.25">
      <c r="C538" t="s">
        <v>1535</v>
      </c>
    </row>
    <row r="539" spans="3:3" x14ac:dyDescent="0.25">
      <c r="C539" t="s">
        <v>1708</v>
      </c>
    </row>
    <row r="540" spans="3:3" x14ac:dyDescent="0.25">
      <c r="C540" t="s">
        <v>979</v>
      </c>
    </row>
    <row r="541" spans="3:3" x14ac:dyDescent="0.25">
      <c r="C541" t="s">
        <v>979</v>
      </c>
    </row>
    <row r="542" spans="3:3" x14ac:dyDescent="0.25">
      <c r="C542" t="s">
        <v>925</v>
      </c>
    </row>
    <row r="543" spans="3:3" x14ac:dyDescent="0.25">
      <c r="C543" t="s">
        <v>324</v>
      </c>
    </row>
    <row r="544" spans="3:3" x14ac:dyDescent="0.25">
      <c r="C544" t="s">
        <v>1489</v>
      </c>
    </row>
    <row r="545" spans="3:3" x14ac:dyDescent="0.25">
      <c r="C545" t="s">
        <v>1503</v>
      </c>
    </row>
    <row r="546" spans="3:3" x14ac:dyDescent="0.25">
      <c r="C546" t="s">
        <v>2042</v>
      </c>
    </row>
    <row r="547" spans="3:3" x14ac:dyDescent="0.25">
      <c r="C547" t="s">
        <v>2008</v>
      </c>
    </row>
    <row r="548" spans="3:3" x14ac:dyDescent="0.25">
      <c r="C548" t="s">
        <v>1097</v>
      </c>
    </row>
    <row r="549" spans="3:3" x14ac:dyDescent="0.25">
      <c r="C549" t="s">
        <v>1736</v>
      </c>
    </row>
    <row r="550" spans="3:3" x14ac:dyDescent="0.25">
      <c r="C550" t="s">
        <v>666</v>
      </c>
    </row>
    <row r="551" spans="3:3" x14ac:dyDescent="0.25">
      <c r="C551" t="s">
        <v>2576</v>
      </c>
    </row>
    <row r="552" spans="3:3" x14ac:dyDescent="0.25">
      <c r="C552" t="s">
        <v>1987</v>
      </c>
    </row>
    <row r="553" spans="3:3" x14ac:dyDescent="0.25">
      <c r="C553" t="s">
        <v>394</v>
      </c>
    </row>
    <row r="554" spans="3:3" x14ac:dyDescent="0.25">
      <c r="C554" t="s">
        <v>576</v>
      </c>
    </row>
    <row r="555" spans="3:3" x14ac:dyDescent="0.25">
      <c r="C555" t="s">
        <v>1832</v>
      </c>
    </row>
    <row r="556" spans="3:3" x14ac:dyDescent="0.25">
      <c r="C556" t="s">
        <v>1955</v>
      </c>
    </row>
    <row r="557" spans="3:3" x14ac:dyDescent="0.25">
      <c r="C557" t="s">
        <v>1338</v>
      </c>
    </row>
    <row r="558" spans="3:3" x14ac:dyDescent="0.25">
      <c r="C558" t="s">
        <v>2158</v>
      </c>
    </row>
    <row r="559" spans="3:3" x14ac:dyDescent="0.25">
      <c r="C559" t="s">
        <v>680</v>
      </c>
    </row>
    <row r="560" spans="3:3" x14ac:dyDescent="0.25">
      <c r="C560" t="s">
        <v>2651</v>
      </c>
    </row>
    <row r="561" spans="3:3" x14ac:dyDescent="0.25">
      <c r="C561" t="s">
        <v>658</v>
      </c>
    </row>
    <row r="562" spans="3:3" x14ac:dyDescent="0.25">
      <c r="C562" t="s">
        <v>1656</v>
      </c>
    </row>
    <row r="563" spans="3:3" x14ac:dyDescent="0.25">
      <c r="C563" t="s">
        <v>2353</v>
      </c>
    </row>
    <row r="564" spans="3:3" x14ac:dyDescent="0.25">
      <c r="C564" t="s">
        <v>993</v>
      </c>
    </row>
    <row r="565" spans="3:3" x14ac:dyDescent="0.25">
      <c r="C565" t="s">
        <v>342</v>
      </c>
    </row>
    <row r="566" spans="3:3" x14ac:dyDescent="0.25">
      <c r="C566" t="s">
        <v>1850</v>
      </c>
    </row>
    <row r="567" spans="3:3" x14ac:dyDescent="0.25">
      <c r="C567" t="s">
        <v>358</v>
      </c>
    </row>
    <row r="568" spans="3:3" x14ac:dyDescent="0.25">
      <c r="C568" t="s">
        <v>1189</v>
      </c>
    </row>
    <row r="569" spans="3:3" x14ac:dyDescent="0.25">
      <c r="C569" t="s">
        <v>966</v>
      </c>
    </row>
    <row r="570" spans="3:3" x14ac:dyDescent="0.25">
      <c r="C570" t="s">
        <v>1428</v>
      </c>
    </row>
    <row r="571" spans="3:3" x14ac:dyDescent="0.25">
      <c r="C571" t="s">
        <v>1125</v>
      </c>
    </row>
    <row r="572" spans="3:3" x14ac:dyDescent="0.25">
      <c r="C572" t="s">
        <v>638</v>
      </c>
    </row>
    <row r="573" spans="3:3" x14ac:dyDescent="0.25">
      <c r="C573" t="s">
        <v>944</v>
      </c>
    </row>
    <row r="574" spans="3:3" x14ac:dyDescent="0.25">
      <c r="C574" t="s">
        <v>840</v>
      </c>
    </row>
    <row r="575" spans="3:3" x14ac:dyDescent="0.25">
      <c r="C575" t="s">
        <v>541</v>
      </c>
    </row>
    <row r="576" spans="3:3" x14ac:dyDescent="0.25">
      <c r="C576" t="s">
        <v>1127</v>
      </c>
    </row>
    <row r="577" spans="3:3" x14ac:dyDescent="0.25">
      <c r="C577" t="s">
        <v>2659</v>
      </c>
    </row>
    <row r="578" spans="3:3" x14ac:dyDescent="0.25">
      <c r="C578" t="s">
        <v>1394</v>
      </c>
    </row>
    <row r="579" spans="3:3" x14ac:dyDescent="0.25">
      <c r="C579" t="s">
        <v>2165</v>
      </c>
    </row>
    <row r="580" spans="3:3" x14ac:dyDescent="0.25">
      <c r="C580" t="s">
        <v>942</v>
      </c>
    </row>
    <row r="581" spans="3:3" x14ac:dyDescent="0.25">
      <c r="C581" t="s">
        <v>320</v>
      </c>
    </row>
    <row r="582" spans="3:3" x14ac:dyDescent="0.25">
      <c r="C582" t="s">
        <v>608</v>
      </c>
    </row>
    <row r="583" spans="3:3" x14ac:dyDescent="0.25">
      <c r="C583" t="s">
        <v>1443</v>
      </c>
    </row>
    <row r="584" spans="3:3" x14ac:dyDescent="0.25">
      <c r="C584" t="s">
        <v>1256</v>
      </c>
    </row>
    <row r="585" spans="3:3" x14ac:dyDescent="0.25">
      <c r="C585" t="s">
        <v>909</v>
      </c>
    </row>
    <row r="586" spans="3:3" x14ac:dyDescent="0.25">
      <c r="C586" t="s">
        <v>334</v>
      </c>
    </row>
    <row r="587" spans="3:3" x14ac:dyDescent="0.25">
      <c r="C587" t="s">
        <v>2586</v>
      </c>
    </row>
    <row r="588" spans="3:3" x14ac:dyDescent="0.25">
      <c r="C588" t="s">
        <v>1487</v>
      </c>
    </row>
    <row r="589" spans="3:3" x14ac:dyDescent="0.25">
      <c r="C589" t="s">
        <v>1258</v>
      </c>
    </row>
    <row r="590" spans="3:3" x14ac:dyDescent="0.25">
      <c r="C590" t="s">
        <v>962</v>
      </c>
    </row>
    <row r="591" spans="3:3" x14ac:dyDescent="0.25">
      <c r="C591" t="s">
        <v>1333</v>
      </c>
    </row>
    <row r="592" spans="3:3" x14ac:dyDescent="0.25">
      <c r="C592" t="s">
        <v>1759</v>
      </c>
    </row>
    <row r="593" spans="3:3" x14ac:dyDescent="0.25">
      <c r="C593" t="s">
        <v>970</v>
      </c>
    </row>
    <row r="594" spans="3:3" x14ac:dyDescent="0.25">
      <c r="C594" t="s">
        <v>1985</v>
      </c>
    </row>
    <row r="595" spans="3:3" x14ac:dyDescent="0.25">
      <c r="C595" t="s">
        <v>1913</v>
      </c>
    </row>
    <row r="596" spans="3:3" x14ac:dyDescent="0.25">
      <c r="C596" t="s">
        <v>968</v>
      </c>
    </row>
    <row r="597" spans="3:3" x14ac:dyDescent="0.25">
      <c r="C597" t="s">
        <v>968</v>
      </c>
    </row>
    <row r="598" spans="3:3" x14ac:dyDescent="0.25">
      <c r="C598" t="s">
        <v>1935</v>
      </c>
    </row>
    <row r="599" spans="3:3" x14ac:dyDescent="0.25">
      <c r="C599" t="s">
        <v>2604</v>
      </c>
    </row>
    <row r="600" spans="3:3" x14ac:dyDescent="0.25">
      <c r="C600" t="s">
        <v>1726</v>
      </c>
    </row>
    <row r="601" spans="3:3" x14ac:dyDescent="0.25">
      <c r="C601" t="s">
        <v>2539</v>
      </c>
    </row>
    <row r="602" spans="3:3" x14ac:dyDescent="0.25">
      <c r="C602" t="s">
        <v>1213</v>
      </c>
    </row>
    <row r="603" spans="3:3" x14ac:dyDescent="0.25">
      <c r="C603" t="s">
        <v>757</v>
      </c>
    </row>
    <row r="604" spans="3:3" x14ac:dyDescent="0.25">
      <c r="C604" t="s">
        <v>923</v>
      </c>
    </row>
    <row r="605" spans="3:3" x14ac:dyDescent="0.25">
      <c r="C605" t="s">
        <v>2144</v>
      </c>
    </row>
    <row r="606" spans="3:3" x14ac:dyDescent="0.25">
      <c r="C606" t="s">
        <v>1143</v>
      </c>
    </row>
    <row r="607" spans="3:3" x14ac:dyDescent="0.25">
      <c r="C607" t="s">
        <v>1042</v>
      </c>
    </row>
    <row r="608" spans="3:3" x14ac:dyDescent="0.25">
      <c r="C608" t="s">
        <v>454</v>
      </c>
    </row>
    <row r="609" spans="3:3" x14ac:dyDescent="0.25">
      <c r="C609" t="s">
        <v>1959</v>
      </c>
    </row>
    <row r="610" spans="3:3" x14ac:dyDescent="0.25">
      <c r="C610" t="s">
        <v>1044</v>
      </c>
    </row>
    <row r="611" spans="3:3" x14ac:dyDescent="0.25">
      <c r="C611" t="s">
        <v>1638</v>
      </c>
    </row>
    <row r="612" spans="3:3" x14ac:dyDescent="0.25">
      <c r="C612" t="s">
        <v>485</v>
      </c>
    </row>
    <row r="613" spans="3:3" x14ac:dyDescent="0.25">
      <c r="C613" t="s">
        <v>1825</v>
      </c>
    </row>
    <row r="614" spans="3:3" x14ac:dyDescent="0.25">
      <c r="C614" t="s">
        <v>1320</v>
      </c>
    </row>
    <row r="615" spans="3:3" x14ac:dyDescent="0.25">
      <c r="C615" t="s">
        <v>2639</v>
      </c>
    </row>
    <row r="616" spans="3:3" x14ac:dyDescent="0.25">
      <c r="C616" t="s">
        <v>1834</v>
      </c>
    </row>
    <row r="617" spans="3:3" x14ac:dyDescent="0.25">
      <c r="C617" t="s">
        <v>1734</v>
      </c>
    </row>
    <row r="618" spans="3:3" x14ac:dyDescent="0.25">
      <c r="C618" t="s">
        <v>903</v>
      </c>
    </row>
    <row r="619" spans="3:3" x14ac:dyDescent="0.25">
      <c r="C619" t="s">
        <v>2319</v>
      </c>
    </row>
    <row r="620" spans="3:3" x14ac:dyDescent="0.25">
      <c r="C620" t="s">
        <v>1280</v>
      </c>
    </row>
    <row r="621" spans="3:3" x14ac:dyDescent="0.25">
      <c r="C621" t="s">
        <v>1159</v>
      </c>
    </row>
    <row r="622" spans="3:3" x14ac:dyDescent="0.25">
      <c r="C622" t="s">
        <v>1593</v>
      </c>
    </row>
    <row r="623" spans="3:3" x14ac:dyDescent="0.25">
      <c r="C623" t="s">
        <v>874</v>
      </c>
    </row>
    <row r="624" spans="3:3" x14ac:dyDescent="0.25">
      <c r="C624" t="s">
        <v>2092</v>
      </c>
    </row>
    <row r="625" spans="3:3" x14ac:dyDescent="0.25">
      <c r="C625" t="s">
        <v>2119</v>
      </c>
    </row>
    <row r="626" spans="3:3" x14ac:dyDescent="0.25">
      <c r="C626" t="s">
        <v>1695</v>
      </c>
    </row>
    <row r="627" spans="3:3" x14ac:dyDescent="0.25">
      <c r="C627" t="s">
        <v>2290</v>
      </c>
    </row>
    <row r="628" spans="3:3" x14ac:dyDescent="0.25">
      <c r="C628" t="s">
        <v>348</v>
      </c>
    </row>
    <row r="629" spans="3:3" x14ac:dyDescent="0.25">
      <c r="C629" t="s">
        <v>2078</v>
      </c>
    </row>
    <row r="630" spans="3:3" x14ac:dyDescent="0.25">
      <c r="C630" t="s">
        <v>426</v>
      </c>
    </row>
    <row r="631" spans="3:3" x14ac:dyDescent="0.25">
      <c r="C631" t="s">
        <v>872</v>
      </c>
    </row>
    <row r="632" spans="3:3" x14ac:dyDescent="0.25">
      <c r="C632" t="s">
        <v>2066</v>
      </c>
    </row>
    <row r="633" spans="3:3" x14ac:dyDescent="0.25">
      <c r="C633" t="s">
        <v>877</v>
      </c>
    </row>
    <row r="634" spans="3:3" x14ac:dyDescent="0.25">
      <c r="C634" t="s">
        <v>1921</v>
      </c>
    </row>
    <row r="635" spans="3:3" x14ac:dyDescent="0.25">
      <c r="C635" t="s">
        <v>2509</v>
      </c>
    </row>
    <row r="636" spans="3:3" x14ac:dyDescent="0.25">
      <c r="C636" t="s">
        <v>842</v>
      </c>
    </row>
    <row r="637" spans="3:3" x14ac:dyDescent="0.25">
      <c r="C637" t="s">
        <v>2629</v>
      </c>
    </row>
    <row r="638" spans="3:3" x14ac:dyDescent="0.25">
      <c r="C638" t="s">
        <v>2467</v>
      </c>
    </row>
    <row r="639" spans="3:3" x14ac:dyDescent="0.25">
      <c r="C639" t="s">
        <v>2490</v>
      </c>
    </row>
    <row r="640" spans="3:3" x14ac:dyDescent="0.25">
      <c r="C640" t="s">
        <v>1911</v>
      </c>
    </row>
    <row r="641" spans="3:3" x14ac:dyDescent="0.25">
      <c r="C641" t="s">
        <v>956</v>
      </c>
    </row>
    <row r="642" spans="3:3" x14ac:dyDescent="0.25">
      <c r="C642" t="s">
        <v>706</v>
      </c>
    </row>
    <row r="643" spans="3:3" x14ac:dyDescent="0.25">
      <c r="C643" t="s">
        <v>322</v>
      </c>
    </row>
    <row r="644" spans="3:3" x14ac:dyDescent="0.25">
      <c r="C644" t="s">
        <v>753</v>
      </c>
    </row>
    <row r="645" spans="3:3" x14ac:dyDescent="0.25">
      <c r="C645" t="s">
        <v>2219</v>
      </c>
    </row>
    <row r="646" spans="3:3" x14ac:dyDescent="0.25">
      <c r="C646" t="s">
        <v>1121</v>
      </c>
    </row>
    <row r="647" spans="3:3" x14ac:dyDescent="0.25">
      <c r="C647" t="s">
        <v>1137</v>
      </c>
    </row>
    <row r="648" spans="3:3" x14ac:dyDescent="0.25">
      <c r="C648" t="s">
        <v>1658</v>
      </c>
    </row>
    <row r="649" spans="3:3" x14ac:dyDescent="0.25">
      <c r="C649" t="s">
        <v>298</v>
      </c>
    </row>
    <row r="650" spans="3:3" x14ac:dyDescent="0.25">
      <c r="C650" t="s">
        <v>1632</v>
      </c>
    </row>
    <row r="651" spans="3:3" x14ac:dyDescent="0.25">
      <c r="C651" t="s">
        <v>1064</v>
      </c>
    </row>
    <row r="652" spans="3:3" x14ac:dyDescent="0.25">
      <c r="C652" t="s">
        <v>2197</v>
      </c>
    </row>
    <row r="653" spans="3:3" x14ac:dyDescent="0.25">
      <c r="C653" t="s">
        <v>726</v>
      </c>
    </row>
    <row r="654" spans="3:3" x14ac:dyDescent="0.25">
      <c r="C654" t="s">
        <v>1341</v>
      </c>
    </row>
    <row r="655" spans="3:3" x14ac:dyDescent="0.25">
      <c r="C655" t="s">
        <v>275</v>
      </c>
    </row>
    <row r="656" spans="3:3" x14ac:dyDescent="0.25">
      <c r="C656" t="s">
        <v>2171</v>
      </c>
    </row>
    <row r="657" spans="3:3" x14ac:dyDescent="0.25">
      <c r="C657" t="s">
        <v>2250</v>
      </c>
    </row>
    <row r="658" spans="3:3" x14ac:dyDescent="0.25">
      <c r="C658" t="s">
        <v>1666</v>
      </c>
    </row>
    <row r="659" spans="3:3" x14ac:dyDescent="0.25">
      <c r="C659" t="s">
        <v>2248</v>
      </c>
    </row>
    <row r="660" spans="3:3" x14ac:dyDescent="0.25">
      <c r="C660" t="s">
        <v>2321</v>
      </c>
    </row>
    <row r="661" spans="3:3" x14ac:dyDescent="0.25">
      <c r="C661" t="s">
        <v>1664</v>
      </c>
    </row>
    <row r="662" spans="3:3" x14ac:dyDescent="0.25">
      <c r="C662" t="s">
        <v>1622</v>
      </c>
    </row>
    <row r="663" spans="3:3" x14ac:dyDescent="0.25">
      <c r="C663" t="s">
        <v>1268</v>
      </c>
    </row>
    <row r="664" spans="3:3" x14ac:dyDescent="0.25">
      <c r="C664" t="s">
        <v>1447</v>
      </c>
    </row>
    <row r="665" spans="3:3" x14ac:dyDescent="0.25">
      <c r="C665" t="s">
        <v>1284</v>
      </c>
    </row>
    <row r="666" spans="3:3" x14ac:dyDescent="0.25">
      <c r="C666" t="s">
        <v>1652</v>
      </c>
    </row>
    <row r="667" spans="3:3" x14ac:dyDescent="0.25">
      <c r="C667" t="s">
        <v>2274</v>
      </c>
    </row>
    <row r="668" spans="3:3" x14ac:dyDescent="0.25">
      <c r="C668" t="s">
        <v>2349</v>
      </c>
    </row>
    <row r="669" spans="3:3" x14ac:dyDescent="0.25">
      <c r="C669" t="s">
        <v>1668</v>
      </c>
    </row>
    <row r="670" spans="3:3" x14ac:dyDescent="0.25">
      <c r="C670" t="s">
        <v>1461</v>
      </c>
    </row>
    <row r="671" spans="3:3" x14ac:dyDescent="0.25">
      <c r="C671" t="s">
        <v>1477</v>
      </c>
    </row>
    <row r="672" spans="3:3" x14ac:dyDescent="0.25">
      <c r="C672" t="s">
        <v>1497</v>
      </c>
    </row>
    <row r="673" spans="3:3" x14ac:dyDescent="0.25">
      <c r="C673" t="s">
        <v>1941</v>
      </c>
    </row>
    <row r="674" spans="3:3" x14ac:dyDescent="0.25">
      <c r="C674" t="s">
        <v>2154</v>
      </c>
    </row>
    <row r="675" spans="3:3" x14ac:dyDescent="0.25">
      <c r="C675" t="s">
        <v>652</v>
      </c>
    </row>
    <row r="676" spans="3:3" x14ac:dyDescent="0.25">
      <c r="C676" t="s">
        <v>1610</v>
      </c>
    </row>
    <row r="677" spans="3:3" x14ac:dyDescent="0.25">
      <c r="C677" t="s">
        <v>2517</v>
      </c>
    </row>
    <row r="678" spans="3:3" x14ac:dyDescent="0.25">
      <c r="C678" t="s">
        <v>2097</v>
      </c>
    </row>
    <row r="679" spans="3:3" x14ac:dyDescent="0.25">
      <c r="C679" t="s">
        <v>1302</v>
      </c>
    </row>
    <row r="680" spans="3:3" x14ac:dyDescent="0.25">
      <c r="C680" t="s">
        <v>869</v>
      </c>
    </row>
    <row r="681" spans="3:3" x14ac:dyDescent="0.25">
      <c r="C681" t="s">
        <v>870</v>
      </c>
    </row>
    <row r="682" spans="3:3" x14ac:dyDescent="0.25">
      <c r="C682" t="s">
        <v>2134</v>
      </c>
    </row>
    <row r="683" spans="3:3" x14ac:dyDescent="0.25">
      <c r="C683" t="s">
        <v>1710</v>
      </c>
    </row>
    <row r="684" spans="3:3" x14ac:dyDescent="0.25">
      <c r="C684" t="s">
        <v>473</v>
      </c>
    </row>
    <row r="685" spans="3:3" x14ac:dyDescent="0.25">
      <c r="C685" t="s">
        <v>1701</v>
      </c>
    </row>
    <row r="686" spans="3:3" x14ac:dyDescent="0.25">
      <c r="C686" t="s">
        <v>1694</v>
      </c>
    </row>
    <row r="687" spans="3:3" x14ac:dyDescent="0.25">
      <c r="C687" t="s">
        <v>1702</v>
      </c>
    </row>
    <row r="688" spans="3:3" x14ac:dyDescent="0.25">
      <c r="C688" t="s">
        <v>1119</v>
      </c>
    </row>
    <row r="689" spans="3:3" x14ac:dyDescent="0.25">
      <c r="C689" t="s">
        <v>1901</v>
      </c>
    </row>
    <row r="690" spans="3:3" x14ac:dyDescent="0.25">
      <c r="C690" t="s">
        <v>2345</v>
      </c>
    </row>
    <row r="691" spans="3:3" x14ac:dyDescent="0.25">
      <c r="C691" t="s">
        <v>1885</v>
      </c>
    </row>
    <row r="692" spans="3:3" x14ac:dyDescent="0.25">
      <c r="C692" t="s">
        <v>2215</v>
      </c>
    </row>
    <row r="693" spans="3:3" x14ac:dyDescent="0.25">
      <c r="C693" t="s">
        <v>1165</v>
      </c>
    </row>
    <row r="694" spans="3:3" x14ac:dyDescent="0.25">
      <c r="C694" t="s">
        <v>1752</v>
      </c>
    </row>
    <row r="695" spans="3:3" x14ac:dyDescent="0.25">
      <c r="C695" t="s">
        <v>1109</v>
      </c>
    </row>
    <row r="696" spans="3:3" x14ac:dyDescent="0.25">
      <c r="C696" t="s">
        <v>900</v>
      </c>
    </row>
    <row r="697" spans="3:3" x14ac:dyDescent="0.25">
      <c r="C697" t="s">
        <v>1529</v>
      </c>
    </row>
    <row r="698" spans="3:3" x14ac:dyDescent="0.25">
      <c r="C698" t="s">
        <v>360</v>
      </c>
    </row>
    <row r="699" spans="3:3" x14ac:dyDescent="0.25">
      <c r="C699" t="s">
        <v>1365</v>
      </c>
    </row>
    <row r="700" spans="3:3" x14ac:dyDescent="0.25">
      <c r="C700" t="s">
        <v>2173</v>
      </c>
    </row>
    <row r="701" spans="3:3" x14ac:dyDescent="0.25">
      <c r="C701" t="s">
        <v>2167</v>
      </c>
    </row>
    <row r="702" spans="3:3" x14ac:dyDescent="0.25">
      <c r="C702" t="s">
        <v>2284</v>
      </c>
    </row>
    <row r="703" spans="3:3" x14ac:dyDescent="0.25">
      <c r="C703" t="s">
        <v>511</v>
      </c>
    </row>
    <row r="704" spans="3:3" x14ac:dyDescent="0.25">
      <c r="C704" t="s">
        <v>1369</v>
      </c>
    </row>
    <row r="705" spans="3:3" x14ac:dyDescent="0.25">
      <c r="C705" t="s">
        <v>668</v>
      </c>
    </row>
    <row r="706" spans="3:3" x14ac:dyDescent="0.25">
      <c r="C706" t="s">
        <v>1141</v>
      </c>
    </row>
    <row r="707" spans="3:3" x14ac:dyDescent="0.25">
      <c r="C707" t="s">
        <v>2388</v>
      </c>
    </row>
    <row r="708" spans="3:3" x14ac:dyDescent="0.25">
      <c r="C708" t="s">
        <v>1537</v>
      </c>
    </row>
    <row r="709" spans="3:3" x14ac:dyDescent="0.25">
      <c r="C709" t="s">
        <v>2140</v>
      </c>
    </row>
    <row r="710" spans="3:3" x14ac:dyDescent="0.25">
      <c r="C710" t="s">
        <v>1151</v>
      </c>
    </row>
    <row r="711" spans="3:3" x14ac:dyDescent="0.25">
      <c r="C711" t="s">
        <v>1964</v>
      </c>
    </row>
    <row r="712" spans="3:3" x14ac:dyDescent="0.25">
      <c r="C712" t="s">
        <v>290</v>
      </c>
    </row>
    <row r="713" spans="3:3" x14ac:dyDescent="0.25">
      <c r="C713" t="s">
        <v>929</v>
      </c>
    </row>
    <row r="714" spans="3:3" x14ac:dyDescent="0.25">
      <c r="C714" t="s">
        <v>1062</v>
      </c>
    </row>
    <row r="715" spans="3:3" x14ac:dyDescent="0.25">
      <c r="C715" t="s">
        <v>985</v>
      </c>
    </row>
    <row r="716" spans="3:3" x14ac:dyDescent="0.25">
      <c r="C716" t="s">
        <v>1925</v>
      </c>
    </row>
    <row r="717" spans="3:3" x14ac:dyDescent="0.25">
      <c r="C717" t="s">
        <v>621</v>
      </c>
    </row>
    <row r="718" spans="3:3" x14ac:dyDescent="0.25">
      <c r="C718" t="s">
        <v>1517</v>
      </c>
    </row>
    <row r="719" spans="3:3" x14ac:dyDescent="0.25">
      <c r="C719" t="s">
        <v>1173</v>
      </c>
    </row>
    <row r="720" spans="3:3" x14ac:dyDescent="0.25">
      <c r="C720" t="s">
        <v>1746</v>
      </c>
    </row>
    <row r="721" spans="3:3" x14ac:dyDescent="0.25">
      <c r="C721" t="s">
        <v>316</v>
      </c>
    </row>
    <row r="722" spans="3:3" x14ac:dyDescent="0.25">
      <c r="C722" t="s">
        <v>2179</v>
      </c>
    </row>
    <row r="723" spans="3:3" x14ac:dyDescent="0.25">
      <c r="C723" t="s">
        <v>977</v>
      </c>
    </row>
    <row r="724" spans="3:3" x14ac:dyDescent="0.25">
      <c r="C724" t="s">
        <v>1072</v>
      </c>
    </row>
    <row r="725" spans="3:3" x14ac:dyDescent="0.25">
      <c r="C725" t="s">
        <v>460</v>
      </c>
    </row>
    <row r="726" spans="3:3" x14ac:dyDescent="0.25">
      <c r="C726" t="s">
        <v>458</v>
      </c>
    </row>
    <row r="727" spans="3:3" x14ac:dyDescent="0.25">
      <c r="C727" t="s">
        <v>555</v>
      </c>
    </row>
    <row r="728" spans="3:3" x14ac:dyDescent="0.25">
      <c r="C728" t="s">
        <v>1435</v>
      </c>
    </row>
    <row r="729" spans="3:3" x14ac:dyDescent="0.25">
      <c r="C729" t="s">
        <v>284</v>
      </c>
    </row>
    <row r="730" spans="3:3" x14ac:dyDescent="0.25">
      <c r="C730" t="s">
        <v>871</v>
      </c>
    </row>
    <row r="731" spans="3:3" x14ac:dyDescent="0.25">
      <c r="C731" t="s">
        <v>374</v>
      </c>
    </row>
    <row r="732" spans="3:3" x14ac:dyDescent="0.25">
      <c r="C732" t="s">
        <v>1712</v>
      </c>
    </row>
    <row r="733" spans="3:3" x14ac:dyDescent="0.25">
      <c r="C733" t="s">
        <v>1699</v>
      </c>
    </row>
    <row r="734" spans="3:3" x14ac:dyDescent="0.25">
      <c r="C734" t="s">
        <v>1697</v>
      </c>
    </row>
    <row r="735" spans="3:3" x14ac:dyDescent="0.25">
      <c r="C735" t="s">
        <v>1709</v>
      </c>
    </row>
    <row r="736" spans="3:3" x14ac:dyDescent="0.25">
      <c r="C736" t="s">
        <v>1705</v>
      </c>
    </row>
    <row r="737" spans="3:3" x14ac:dyDescent="0.25">
      <c r="C737" t="s">
        <v>1698</v>
      </c>
    </row>
    <row r="738" spans="3:3" x14ac:dyDescent="0.25">
      <c r="C738" t="s">
        <v>846</v>
      </c>
    </row>
    <row r="739" spans="3:3" x14ac:dyDescent="0.25">
      <c r="C739" t="s">
        <v>477</v>
      </c>
    </row>
    <row r="740" spans="3:3" x14ac:dyDescent="0.25">
      <c r="C740" t="s">
        <v>868</v>
      </c>
    </row>
    <row r="741" spans="3:3" x14ac:dyDescent="0.25">
      <c r="C741" t="s">
        <v>2088</v>
      </c>
    </row>
    <row r="742" spans="3:3" x14ac:dyDescent="0.25">
      <c r="C742" t="s">
        <v>851</v>
      </c>
    </row>
    <row r="743" spans="3:3" x14ac:dyDescent="0.25">
      <c r="C743" t="s">
        <v>853</v>
      </c>
    </row>
    <row r="744" spans="3:3" x14ac:dyDescent="0.25">
      <c r="C744" t="s">
        <v>2402</v>
      </c>
    </row>
    <row r="745" spans="3:3" x14ac:dyDescent="0.25">
      <c r="C745" t="s">
        <v>2386</v>
      </c>
    </row>
    <row r="746" spans="3:3" x14ac:dyDescent="0.25">
      <c r="C746" t="s">
        <v>1386</v>
      </c>
    </row>
    <row r="747" spans="3:3" x14ac:dyDescent="0.25">
      <c r="C747" t="s">
        <v>2060</v>
      </c>
    </row>
    <row r="748" spans="3:3" x14ac:dyDescent="0.25">
      <c r="C748" t="s">
        <v>596</v>
      </c>
    </row>
    <row r="749" spans="3:3" x14ac:dyDescent="0.25">
      <c r="C749" t="s">
        <v>2601</v>
      </c>
    </row>
    <row r="750" spans="3:3" x14ac:dyDescent="0.25">
      <c r="C750" t="s">
        <v>2556</v>
      </c>
    </row>
    <row r="751" spans="3:3" x14ac:dyDescent="0.25">
      <c r="C751" t="s">
        <v>740</v>
      </c>
    </row>
    <row r="752" spans="3:3" x14ac:dyDescent="0.25">
      <c r="C752" t="s">
        <v>1056</v>
      </c>
    </row>
    <row r="753" spans="3:3" x14ac:dyDescent="0.25">
      <c r="C753" t="s">
        <v>1426</v>
      </c>
    </row>
    <row r="754" spans="3:3" x14ac:dyDescent="0.25">
      <c r="C754" t="s">
        <v>2429</v>
      </c>
    </row>
    <row r="755" spans="3:3" x14ac:dyDescent="0.25">
      <c r="C755" t="s">
        <v>2449</v>
      </c>
    </row>
    <row r="756" spans="3:3" x14ac:dyDescent="0.25">
      <c r="C756" t="s">
        <v>898</v>
      </c>
    </row>
    <row r="757" spans="3:3" x14ac:dyDescent="0.25">
      <c r="C757" t="s">
        <v>1881</v>
      </c>
    </row>
    <row r="758" spans="3:3" x14ac:dyDescent="0.25">
      <c r="C758" t="s">
        <v>1274</v>
      </c>
    </row>
    <row r="759" spans="3:3" x14ac:dyDescent="0.25">
      <c r="C759" t="s">
        <v>1732</v>
      </c>
    </row>
    <row r="760" spans="3:3" x14ac:dyDescent="0.25">
      <c r="C760" t="s">
        <v>907</v>
      </c>
    </row>
    <row r="761" spans="3:3" x14ac:dyDescent="0.25">
      <c r="C761" t="s">
        <v>1183</v>
      </c>
    </row>
    <row r="762" spans="3:3" x14ac:dyDescent="0.25">
      <c r="C762" t="s">
        <v>890</v>
      </c>
    </row>
    <row r="763" spans="3:3" x14ac:dyDescent="0.25">
      <c r="C763" t="s">
        <v>1863</v>
      </c>
    </row>
    <row r="764" spans="3:3" x14ac:dyDescent="0.25">
      <c r="C764" t="s">
        <v>432</v>
      </c>
    </row>
    <row r="765" spans="3:3" x14ac:dyDescent="0.25">
      <c r="C765" t="s">
        <v>1836</v>
      </c>
    </row>
    <row r="766" spans="3:3" x14ac:dyDescent="0.25">
      <c r="C766" t="s">
        <v>650</v>
      </c>
    </row>
    <row r="767" spans="3:3" x14ac:dyDescent="0.25">
      <c r="C767" t="s">
        <v>2480</v>
      </c>
    </row>
    <row r="768" spans="3:3" x14ac:dyDescent="0.25">
      <c r="C768" t="s">
        <v>483</v>
      </c>
    </row>
    <row r="769" spans="3:3" x14ac:dyDescent="0.25">
      <c r="C769" t="s">
        <v>2189</v>
      </c>
    </row>
    <row r="770" spans="3:3" x14ac:dyDescent="0.25">
      <c r="C770" t="s">
        <v>1774</v>
      </c>
    </row>
    <row r="771" spans="3:3" x14ac:dyDescent="0.25">
      <c r="C771" t="s">
        <v>1031</v>
      </c>
    </row>
    <row r="772" spans="3:3" x14ac:dyDescent="0.25">
      <c r="C772" t="s">
        <v>987</v>
      </c>
    </row>
    <row r="773" spans="3:3" x14ac:dyDescent="0.25">
      <c r="C773" t="s">
        <v>1050</v>
      </c>
    </row>
    <row r="774" spans="3:3" x14ac:dyDescent="0.25">
      <c r="C774" t="s">
        <v>1495</v>
      </c>
    </row>
    <row r="775" spans="3:3" x14ac:dyDescent="0.25">
      <c r="C775" t="s">
        <v>789</v>
      </c>
    </row>
    <row r="776" spans="3:3" x14ac:dyDescent="0.25">
      <c r="C776" t="s">
        <v>1821</v>
      </c>
    </row>
    <row r="777" spans="3:3" x14ac:dyDescent="0.25">
      <c r="C777" t="s">
        <v>513</v>
      </c>
    </row>
    <row r="778" spans="3:3" x14ac:dyDescent="0.25">
      <c r="C778" t="s">
        <v>712</v>
      </c>
    </row>
    <row r="779" spans="3:3" x14ac:dyDescent="0.25">
      <c r="C779" t="s">
        <v>2050</v>
      </c>
    </row>
    <row r="780" spans="3:3" x14ac:dyDescent="0.25">
      <c r="C780" t="s">
        <v>1891</v>
      </c>
    </row>
    <row r="781" spans="3:3" x14ac:dyDescent="0.25">
      <c r="C781" t="s">
        <v>1586</v>
      </c>
    </row>
    <row r="782" spans="3:3" x14ac:dyDescent="0.25">
      <c r="C782" t="s">
        <v>1570</v>
      </c>
    </row>
    <row r="783" spans="3:3" x14ac:dyDescent="0.25">
      <c r="C783" t="s">
        <v>744</v>
      </c>
    </row>
    <row r="784" spans="3:3" x14ac:dyDescent="0.25">
      <c r="C784" t="s">
        <v>356</v>
      </c>
    </row>
    <row r="785" spans="3:3" x14ac:dyDescent="0.25">
      <c r="C785" t="s">
        <v>2469</v>
      </c>
    </row>
    <row r="786" spans="3:3" x14ac:dyDescent="0.25">
      <c r="C786" t="s">
        <v>1362</v>
      </c>
    </row>
    <row r="787" spans="3:3" x14ac:dyDescent="0.25">
      <c r="C787" t="s">
        <v>796</v>
      </c>
    </row>
    <row r="788" spans="3:3" x14ac:dyDescent="0.25">
      <c r="C788" t="s">
        <v>2370</v>
      </c>
    </row>
    <row r="789" spans="3:3" x14ac:dyDescent="0.25">
      <c r="C789" t="s">
        <v>1195</v>
      </c>
    </row>
    <row r="790" spans="3:3" x14ac:dyDescent="0.25">
      <c r="C790" t="s">
        <v>1195</v>
      </c>
    </row>
    <row r="791" spans="3:3" x14ac:dyDescent="0.25">
      <c r="C791" t="s">
        <v>1058</v>
      </c>
    </row>
    <row r="792" spans="3:3" x14ac:dyDescent="0.25">
      <c r="C792" t="s">
        <v>1139</v>
      </c>
    </row>
    <row r="793" spans="3:3" x14ac:dyDescent="0.25">
      <c r="C793" t="s">
        <v>1372</v>
      </c>
    </row>
    <row r="794" spans="3:3" x14ac:dyDescent="0.25">
      <c r="C794" t="s">
        <v>686</v>
      </c>
    </row>
    <row r="795" spans="3:3" x14ac:dyDescent="0.25">
      <c r="C795" t="s">
        <v>368</v>
      </c>
    </row>
    <row r="796" spans="3:3" x14ac:dyDescent="0.25">
      <c r="C796" t="s">
        <v>553</v>
      </c>
    </row>
    <row r="797" spans="3:3" x14ac:dyDescent="0.25">
      <c r="C797" t="s">
        <v>2256</v>
      </c>
    </row>
    <row r="798" spans="3:3" x14ac:dyDescent="0.25">
      <c r="C798" t="s">
        <v>2535</v>
      </c>
    </row>
    <row r="799" spans="3:3" x14ac:dyDescent="0.25">
      <c r="C799" t="s">
        <v>1558</v>
      </c>
    </row>
    <row r="800" spans="3:3" x14ac:dyDescent="0.25">
      <c r="C800" t="s">
        <v>1568</v>
      </c>
    </row>
    <row r="801" spans="3:3" x14ac:dyDescent="0.25">
      <c r="C801" t="s">
        <v>2374</v>
      </c>
    </row>
    <row r="802" spans="3:3" x14ac:dyDescent="0.25">
      <c r="C802" t="s">
        <v>2482</v>
      </c>
    </row>
    <row r="803" spans="3:3" x14ac:dyDescent="0.25">
      <c r="C803" t="s">
        <v>2433</v>
      </c>
    </row>
    <row r="804" spans="3:3" x14ac:dyDescent="0.25">
      <c r="C804" t="s">
        <v>382</v>
      </c>
    </row>
    <row r="805" spans="3:3" x14ac:dyDescent="0.25">
      <c r="C805" t="s">
        <v>2195</v>
      </c>
    </row>
    <row r="806" spans="3:3" x14ac:dyDescent="0.25">
      <c r="C806" t="s">
        <v>416</v>
      </c>
    </row>
    <row r="807" spans="3:3" x14ac:dyDescent="0.25">
      <c r="C807" t="s">
        <v>308</v>
      </c>
    </row>
    <row r="808" spans="3:3" x14ac:dyDescent="0.25">
      <c r="C808" t="s">
        <v>2578</v>
      </c>
    </row>
    <row r="809" spans="3:3" x14ac:dyDescent="0.25">
      <c r="C809" t="s">
        <v>1937</v>
      </c>
    </row>
    <row r="810" spans="3:3" x14ac:dyDescent="0.25">
      <c r="C810" t="s">
        <v>747</v>
      </c>
    </row>
    <row r="811" spans="3:3" x14ac:dyDescent="0.25">
      <c r="C811" t="s">
        <v>1046</v>
      </c>
    </row>
    <row r="812" spans="3:3" x14ac:dyDescent="0.25">
      <c r="C812" t="s">
        <v>1246</v>
      </c>
    </row>
    <row r="813" spans="3:3" x14ac:dyDescent="0.25">
      <c r="C813" t="s">
        <v>499</v>
      </c>
    </row>
    <row r="814" spans="3:3" x14ac:dyDescent="0.25">
      <c r="C814" t="s">
        <v>2541</v>
      </c>
    </row>
    <row r="815" spans="3:3" x14ac:dyDescent="0.25">
      <c r="C815" t="s">
        <v>495</v>
      </c>
    </row>
    <row r="816" spans="3:3" x14ac:dyDescent="0.25">
      <c r="C816" t="s">
        <v>644</v>
      </c>
    </row>
    <row r="817" spans="3:3" x14ac:dyDescent="0.25">
      <c r="C817" t="s">
        <v>728</v>
      </c>
    </row>
    <row r="818" spans="3:3" x14ac:dyDescent="0.25">
      <c r="C818" t="s">
        <v>1177</v>
      </c>
    </row>
    <row r="819" spans="3:3" x14ac:dyDescent="0.25">
      <c r="C819" t="s">
        <v>2193</v>
      </c>
    </row>
    <row r="820" spans="3:3" x14ac:dyDescent="0.25">
      <c r="C820" t="s">
        <v>1455</v>
      </c>
    </row>
    <row r="821" spans="3:3" x14ac:dyDescent="0.25">
      <c r="C821" t="s">
        <v>1895</v>
      </c>
    </row>
    <row r="822" spans="3:3" x14ac:dyDescent="0.25">
      <c r="C822" t="s">
        <v>2343</v>
      </c>
    </row>
    <row r="823" spans="3:3" x14ac:dyDescent="0.25">
      <c r="C823" t="s">
        <v>716</v>
      </c>
    </row>
    <row r="824" spans="3:3" x14ac:dyDescent="0.25">
      <c r="C824" t="s">
        <v>2427</v>
      </c>
    </row>
    <row r="825" spans="3:3" x14ac:dyDescent="0.25">
      <c r="C825" t="s">
        <v>1582</v>
      </c>
    </row>
    <row r="826" spans="3:3" x14ac:dyDescent="0.25">
      <c r="C826" t="s">
        <v>1407</v>
      </c>
    </row>
    <row r="827" spans="3:3" x14ac:dyDescent="0.25">
      <c r="C827" t="s">
        <v>1939</v>
      </c>
    </row>
    <row r="828" spans="3:3" x14ac:dyDescent="0.25">
      <c r="C828" t="s">
        <v>1390</v>
      </c>
    </row>
    <row r="829" spans="3:3" x14ac:dyDescent="0.25">
      <c r="C829" t="s">
        <v>2553</v>
      </c>
    </row>
    <row r="830" spans="3:3" x14ac:dyDescent="0.25">
      <c r="C830" t="s">
        <v>1566</v>
      </c>
    </row>
    <row r="831" spans="3:3" x14ac:dyDescent="0.25">
      <c r="C831" t="s">
        <v>568</v>
      </c>
    </row>
    <row r="832" spans="3:3" x14ac:dyDescent="0.25">
      <c r="C832" t="s">
        <v>690</v>
      </c>
    </row>
    <row r="833" spans="3:3" x14ac:dyDescent="0.25">
      <c r="C833" t="s">
        <v>2521</v>
      </c>
    </row>
    <row r="834" spans="3:3" x14ac:dyDescent="0.25">
      <c r="C834" t="s">
        <v>2592</v>
      </c>
    </row>
    <row r="835" spans="3:3" x14ac:dyDescent="0.25">
      <c r="C835" t="s">
        <v>464</v>
      </c>
    </row>
    <row r="836" spans="3:3" x14ac:dyDescent="0.25">
      <c r="C836" t="s">
        <v>2582</v>
      </c>
    </row>
    <row r="837" spans="3:3" x14ac:dyDescent="0.25">
      <c r="C837" t="s">
        <v>1843</v>
      </c>
    </row>
    <row r="838" spans="3:3" x14ac:dyDescent="0.25">
      <c r="C838" t="s">
        <v>1865</v>
      </c>
    </row>
    <row r="839" spans="3:3" x14ac:dyDescent="0.25">
      <c r="C839" t="s">
        <v>794</v>
      </c>
    </row>
    <row r="840" spans="3:3" x14ac:dyDescent="0.25">
      <c r="C840" t="s">
        <v>1691</v>
      </c>
    </row>
    <row r="841" spans="3:3" x14ac:dyDescent="0.25">
      <c r="C841" t="s">
        <v>1308</v>
      </c>
    </row>
    <row r="842" spans="3:3" x14ac:dyDescent="0.25">
      <c r="C842" t="s">
        <v>2083</v>
      </c>
    </row>
    <row r="843" spans="3:3" x14ac:dyDescent="0.25">
      <c r="C843" t="s">
        <v>370</v>
      </c>
    </row>
    <row r="844" spans="3:3" x14ac:dyDescent="0.25">
      <c r="C844" t="s">
        <v>2292</v>
      </c>
    </row>
    <row r="845" spans="3:3" x14ac:dyDescent="0.25">
      <c r="C845" t="s">
        <v>861</v>
      </c>
    </row>
    <row r="846" spans="3:3" x14ac:dyDescent="0.25">
      <c r="C846" t="s">
        <v>1080</v>
      </c>
    </row>
    <row r="847" spans="3:3" x14ac:dyDescent="0.25">
      <c r="C847" t="s">
        <v>406</v>
      </c>
    </row>
    <row r="848" spans="3:3" x14ac:dyDescent="0.25">
      <c r="C848" t="s">
        <v>1070</v>
      </c>
    </row>
    <row r="849" spans="3:3" x14ac:dyDescent="0.25">
      <c r="C849" t="s">
        <v>1606</v>
      </c>
    </row>
    <row r="850" spans="3:3" x14ac:dyDescent="0.25">
      <c r="C850" t="s">
        <v>452</v>
      </c>
    </row>
    <row r="851" spans="3:3" x14ac:dyDescent="0.25">
      <c r="C851" t="s">
        <v>2309</v>
      </c>
    </row>
    <row r="852" spans="3:3" x14ac:dyDescent="0.25">
      <c r="C852" t="s">
        <v>1306</v>
      </c>
    </row>
    <row r="853" spans="3:3" x14ac:dyDescent="0.25">
      <c r="C853" t="s">
        <v>400</v>
      </c>
    </row>
    <row r="854" spans="3:3" x14ac:dyDescent="0.25">
      <c r="C854" t="s">
        <v>2072</v>
      </c>
    </row>
    <row r="855" spans="3:3" x14ac:dyDescent="0.25">
      <c r="C855" t="s">
        <v>2040</v>
      </c>
    </row>
    <row r="856" spans="3:3" x14ac:dyDescent="0.25">
      <c r="C856" t="s">
        <v>1597</v>
      </c>
    </row>
    <row r="857" spans="3:3" x14ac:dyDescent="0.25">
      <c r="C857" t="s">
        <v>2084</v>
      </c>
    </row>
    <row r="858" spans="3:3" x14ac:dyDescent="0.25">
      <c r="C858" t="s">
        <v>2303</v>
      </c>
    </row>
    <row r="859" spans="3:3" x14ac:dyDescent="0.25">
      <c r="C859" t="s">
        <v>281</v>
      </c>
    </row>
    <row r="860" spans="3:3" x14ac:dyDescent="0.25">
      <c r="C860" t="s">
        <v>1298</v>
      </c>
    </row>
    <row r="861" spans="3:3" x14ac:dyDescent="0.25">
      <c r="C861" t="s">
        <v>1296</v>
      </c>
    </row>
    <row r="862" spans="3:3" x14ac:dyDescent="0.25">
      <c r="C862" t="s">
        <v>1293</v>
      </c>
    </row>
    <row r="863" spans="3:3" x14ac:dyDescent="0.25">
      <c r="C863" t="s">
        <v>1299</v>
      </c>
    </row>
    <row r="864" spans="3:3" x14ac:dyDescent="0.25">
      <c r="C864" t="s">
        <v>2126</v>
      </c>
    </row>
    <row r="865" spans="3:3" x14ac:dyDescent="0.25">
      <c r="C865" t="s">
        <v>418</v>
      </c>
    </row>
    <row r="866" spans="3:3" x14ac:dyDescent="0.25">
      <c r="C866" t="s">
        <v>1682</v>
      </c>
    </row>
    <row r="867" spans="3:3" x14ac:dyDescent="0.25">
      <c r="C867" t="s">
        <v>1672</v>
      </c>
    </row>
    <row r="868" spans="3:3" x14ac:dyDescent="0.25">
      <c r="C868" t="s">
        <v>1688</v>
      </c>
    </row>
    <row r="869" spans="3:3" x14ac:dyDescent="0.25">
      <c r="C869" t="s">
        <v>1686</v>
      </c>
    </row>
    <row r="870" spans="3:3" x14ac:dyDescent="0.25">
      <c r="C870" t="s">
        <v>2098</v>
      </c>
    </row>
    <row r="871" spans="3:3" x14ac:dyDescent="0.25">
      <c r="C871" t="s">
        <v>2128</v>
      </c>
    </row>
    <row r="872" spans="3:3" x14ac:dyDescent="0.25">
      <c r="C872" t="s">
        <v>2111</v>
      </c>
    </row>
    <row r="873" spans="3:3" x14ac:dyDescent="0.25">
      <c r="C873" t="s">
        <v>2104</v>
      </c>
    </row>
    <row r="874" spans="3:3" x14ac:dyDescent="0.25">
      <c r="C874" t="s">
        <v>1615</v>
      </c>
    </row>
    <row r="875" spans="3:3" x14ac:dyDescent="0.25">
      <c r="C875" t="s">
        <v>1309</v>
      </c>
    </row>
    <row r="876" spans="3:3" x14ac:dyDescent="0.25">
      <c r="C876" t="s">
        <v>1677</v>
      </c>
    </row>
    <row r="877" spans="3:3" x14ac:dyDescent="0.25">
      <c r="C877" t="s">
        <v>1294</v>
      </c>
    </row>
    <row r="878" spans="3:3" x14ac:dyDescent="0.25">
      <c r="C878" t="s">
        <v>1317</v>
      </c>
    </row>
    <row r="879" spans="3:3" x14ac:dyDescent="0.25">
      <c r="C879" t="s">
        <v>2117</v>
      </c>
    </row>
    <row r="880" spans="3:3" x14ac:dyDescent="0.25">
      <c r="C880" t="s">
        <v>1692</v>
      </c>
    </row>
    <row r="881" spans="3:3" x14ac:dyDescent="0.25">
      <c r="C881" t="s">
        <v>1602</v>
      </c>
    </row>
    <row r="882" spans="3:3" x14ac:dyDescent="0.25">
      <c r="C882" t="s">
        <v>2123</v>
      </c>
    </row>
    <row r="883" spans="3:3" x14ac:dyDescent="0.25">
      <c r="C883" t="s">
        <v>1599</v>
      </c>
    </row>
    <row r="884" spans="3:3" x14ac:dyDescent="0.25">
      <c r="C884" t="s">
        <v>1783</v>
      </c>
    </row>
    <row r="885" spans="3:3" x14ac:dyDescent="0.25">
      <c r="C885" t="s">
        <v>1830</v>
      </c>
    </row>
    <row r="886" spans="3:3" x14ac:dyDescent="0.25">
      <c r="C886" t="s">
        <v>1417</v>
      </c>
    </row>
    <row r="887" spans="3:3" x14ac:dyDescent="0.25">
      <c r="C887" t="s">
        <v>1286</v>
      </c>
    </row>
    <row r="888" spans="3:3" x14ac:dyDescent="0.25">
      <c r="C888" t="s">
        <v>606</v>
      </c>
    </row>
    <row r="889" spans="3:3" x14ac:dyDescent="0.25">
      <c r="C889" t="s">
        <v>581</v>
      </c>
    </row>
    <row r="890" spans="3:3" x14ac:dyDescent="0.25">
      <c r="C890" t="s">
        <v>539</v>
      </c>
    </row>
    <row r="891" spans="3:3" x14ac:dyDescent="0.25">
      <c r="C891" t="s">
        <v>812</v>
      </c>
    </row>
    <row r="892" spans="3:3" x14ac:dyDescent="0.25">
      <c r="C892" t="s">
        <v>2599</v>
      </c>
    </row>
    <row r="893" spans="3:3" x14ac:dyDescent="0.25">
      <c r="C893" t="s">
        <v>1806</v>
      </c>
    </row>
    <row r="894" spans="3:3" x14ac:dyDescent="0.25">
      <c r="C894" t="s">
        <v>2382</v>
      </c>
    </row>
    <row r="895" spans="3:3" x14ac:dyDescent="0.25">
      <c r="C895" t="s">
        <v>640</v>
      </c>
    </row>
    <row r="896" spans="3:3" x14ac:dyDescent="0.25">
      <c r="C896" t="s">
        <v>694</v>
      </c>
    </row>
    <row r="897" spans="3:3" x14ac:dyDescent="0.25">
      <c r="C897" t="s">
        <v>2234</v>
      </c>
    </row>
    <row r="898" spans="3:3" x14ac:dyDescent="0.25">
      <c r="C898" t="s">
        <v>1384</v>
      </c>
    </row>
    <row r="899" spans="3:3" x14ac:dyDescent="0.25">
      <c r="C899" t="s">
        <v>804</v>
      </c>
    </row>
    <row r="900" spans="3:3" x14ac:dyDescent="0.25">
      <c r="C900" t="s">
        <v>1852</v>
      </c>
    </row>
    <row r="901" spans="3:3" x14ac:dyDescent="0.25">
      <c r="C901" t="s">
        <v>1352</v>
      </c>
    </row>
    <row r="902" spans="3:3" x14ac:dyDescent="0.25">
      <c r="C902" t="s">
        <v>1779</v>
      </c>
    </row>
    <row r="903" spans="3:3" x14ac:dyDescent="0.25">
      <c r="C903" t="s">
        <v>1023</v>
      </c>
    </row>
    <row r="904" spans="3:3" x14ac:dyDescent="0.25">
      <c r="C904" t="s">
        <v>509</v>
      </c>
    </row>
    <row r="905" spans="3:3" x14ac:dyDescent="0.25">
      <c r="C905" t="s">
        <v>1054</v>
      </c>
    </row>
    <row r="906" spans="3:3" x14ac:dyDescent="0.25">
      <c r="C906" t="s">
        <v>798</v>
      </c>
    </row>
    <row r="907" spans="3:3" x14ac:dyDescent="0.25">
      <c r="C907" t="s">
        <v>1007</v>
      </c>
    </row>
    <row r="908" spans="3:3" x14ac:dyDescent="0.25">
      <c r="C908" t="s">
        <v>764</v>
      </c>
    </row>
    <row r="909" spans="3:3" x14ac:dyDescent="0.25">
      <c r="C909" t="s">
        <v>2415</v>
      </c>
    </row>
    <row r="910" spans="3:3" x14ac:dyDescent="0.25">
      <c r="C910" t="s">
        <v>350</v>
      </c>
    </row>
    <row r="911" spans="3:3" x14ac:dyDescent="0.25">
      <c r="C911" t="s">
        <v>614</v>
      </c>
    </row>
    <row r="912" spans="3:3" x14ac:dyDescent="0.25">
      <c r="C912" t="s">
        <v>2152</v>
      </c>
    </row>
    <row r="913" spans="3:3" x14ac:dyDescent="0.25">
      <c r="C913" t="s">
        <v>635</v>
      </c>
    </row>
    <row r="914" spans="3:3" x14ac:dyDescent="0.25">
      <c r="C914" t="s">
        <v>1230</v>
      </c>
    </row>
    <row r="915" spans="3:3" x14ac:dyDescent="0.25">
      <c r="C915" t="s">
        <v>1871</v>
      </c>
    </row>
    <row r="916" spans="3:3" x14ac:dyDescent="0.25">
      <c r="C916" t="s">
        <v>773</v>
      </c>
    </row>
    <row r="917" spans="3:3" x14ac:dyDescent="0.25">
      <c r="C917" t="s">
        <v>1009</v>
      </c>
    </row>
    <row r="918" spans="3:3" x14ac:dyDescent="0.25">
      <c r="C918" t="s">
        <v>917</v>
      </c>
    </row>
    <row r="919" spans="3:3" x14ac:dyDescent="0.25">
      <c r="C919" t="s">
        <v>493</v>
      </c>
    </row>
    <row r="920" spans="3:3" x14ac:dyDescent="0.25">
      <c r="C920" t="s">
        <v>724</v>
      </c>
    </row>
    <row r="921" spans="3:3" x14ac:dyDescent="0.25">
      <c r="C921" t="s">
        <v>2246</v>
      </c>
    </row>
    <row r="922" spans="3:3" x14ac:dyDescent="0.25">
      <c r="C922" t="s">
        <v>913</v>
      </c>
    </row>
    <row r="923" spans="3:3" x14ac:dyDescent="0.25">
      <c r="C923" t="s">
        <v>424</v>
      </c>
    </row>
    <row r="924" spans="3:3" x14ac:dyDescent="0.25">
      <c r="C924" t="s">
        <v>791</v>
      </c>
    </row>
    <row r="925" spans="3:3" x14ac:dyDescent="0.25">
      <c r="C925" t="s">
        <v>688</v>
      </c>
    </row>
    <row r="926" spans="3:3" x14ac:dyDescent="0.25">
      <c r="C926" t="s">
        <v>1066</v>
      </c>
    </row>
    <row r="927" spans="3:3" x14ac:dyDescent="0.25">
      <c r="C927" t="s">
        <v>1431</v>
      </c>
    </row>
    <row r="928" spans="3:3" x14ac:dyDescent="0.25">
      <c r="C928" t="s">
        <v>1311</v>
      </c>
    </row>
    <row r="929" spans="3:3" x14ac:dyDescent="0.25">
      <c r="C929" t="s">
        <v>2121</v>
      </c>
    </row>
    <row r="930" spans="3:3" x14ac:dyDescent="0.25">
      <c r="C930" t="s">
        <v>2109</v>
      </c>
    </row>
    <row r="931" spans="3:3" x14ac:dyDescent="0.25">
      <c r="C931" t="s">
        <v>2113</v>
      </c>
    </row>
    <row r="932" spans="3:3" x14ac:dyDescent="0.25">
      <c r="C932" t="s">
        <v>2067</v>
      </c>
    </row>
    <row r="933" spans="3:3" x14ac:dyDescent="0.25">
      <c r="C933" t="s">
        <v>855</v>
      </c>
    </row>
    <row r="934" spans="3:3" x14ac:dyDescent="0.25">
      <c r="C934" t="s">
        <v>346</v>
      </c>
    </row>
    <row r="935" spans="3:3" x14ac:dyDescent="0.25">
      <c r="C935" t="s">
        <v>1684</v>
      </c>
    </row>
    <row r="936" spans="3:3" x14ac:dyDescent="0.25">
      <c r="C936" t="s">
        <v>1683</v>
      </c>
    </row>
    <row r="937" spans="3:3" x14ac:dyDescent="0.25">
      <c r="C937" t="s">
        <v>1671</v>
      </c>
    </row>
    <row r="938" spans="3:3" x14ac:dyDescent="0.25">
      <c r="C938" t="s">
        <v>882</v>
      </c>
    </row>
    <row r="939" spans="3:3" x14ac:dyDescent="0.25">
      <c r="C939" t="s">
        <v>364</v>
      </c>
    </row>
    <row r="940" spans="3:3" x14ac:dyDescent="0.25">
      <c r="C940" t="s">
        <v>2024</v>
      </c>
    </row>
    <row r="941" spans="3:3" x14ac:dyDescent="0.25">
      <c r="C941" t="s">
        <v>2276</v>
      </c>
    </row>
    <row r="942" spans="3:3" x14ac:dyDescent="0.25">
      <c r="C942" t="s">
        <v>2519</v>
      </c>
    </row>
    <row r="943" spans="3:3" x14ac:dyDescent="0.25">
      <c r="C943" t="s">
        <v>1399</v>
      </c>
    </row>
    <row r="944" spans="3:3" x14ac:dyDescent="0.25">
      <c r="C944" t="s">
        <v>557</v>
      </c>
    </row>
    <row r="945" spans="3:3" x14ac:dyDescent="0.25">
      <c r="C945" t="s">
        <v>1951</v>
      </c>
    </row>
    <row r="946" spans="3:3" x14ac:dyDescent="0.25">
      <c r="C946" t="s">
        <v>287</v>
      </c>
    </row>
    <row r="947" spans="3:3" x14ac:dyDescent="0.25">
      <c r="C947" t="s">
        <v>1240</v>
      </c>
    </row>
    <row r="948" spans="3:3" x14ac:dyDescent="0.25">
      <c r="C948" t="s">
        <v>1197</v>
      </c>
    </row>
    <row r="949" spans="3:3" x14ac:dyDescent="0.25">
      <c r="C949" t="s">
        <v>2018</v>
      </c>
    </row>
    <row r="950" spans="3:3" x14ac:dyDescent="0.25">
      <c r="C950" t="s">
        <v>888</v>
      </c>
    </row>
    <row r="951" spans="3:3" x14ac:dyDescent="0.25">
      <c r="C951" t="s">
        <v>2478</v>
      </c>
    </row>
    <row r="952" spans="3:3" x14ac:dyDescent="0.25">
      <c r="C952" t="s">
        <v>2655</v>
      </c>
    </row>
    <row r="953" spans="3:3" x14ac:dyDescent="0.25">
      <c r="C953" t="s">
        <v>2500</v>
      </c>
    </row>
    <row r="954" spans="3:3" x14ac:dyDescent="0.25">
      <c r="C954" t="s">
        <v>1209</v>
      </c>
    </row>
    <row r="955" spans="3:3" x14ac:dyDescent="0.25">
      <c r="C955" t="s">
        <v>2258</v>
      </c>
    </row>
    <row r="956" spans="3:3" x14ac:dyDescent="0.25">
      <c r="C956" t="s">
        <v>1966</v>
      </c>
    </row>
    <row r="957" spans="3:3" x14ac:dyDescent="0.25">
      <c r="C957" t="s">
        <v>1915</v>
      </c>
    </row>
    <row r="958" spans="3:3" x14ac:dyDescent="0.25">
      <c r="C958" t="s">
        <v>1754</v>
      </c>
    </row>
    <row r="959" spans="3:3" x14ac:dyDescent="0.25">
      <c r="C959" t="s">
        <v>2431</v>
      </c>
    </row>
    <row r="960" spans="3:3" x14ac:dyDescent="0.25">
      <c r="C960" t="s">
        <v>2647</v>
      </c>
    </row>
    <row r="961" spans="3:3" x14ac:dyDescent="0.25">
      <c r="C961" t="s">
        <v>2663</v>
      </c>
    </row>
    <row r="962" spans="3:3" x14ac:dyDescent="0.25">
      <c r="C962" t="s">
        <v>1740</v>
      </c>
    </row>
    <row r="963" spans="3:3" x14ac:dyDescent="0.25">
      <c r="C963" t="s">
        <v>515</v>
      </c>
    </row>
    <row r="964" spans="3:3" x14ac:dyDescent="0.25">
      <c r="C964" t="s">
        <v>1689</v>
      </c>
    </row>
    <row r="965" spans="3:3" x14ac:dyDescent="0.25">
      <c r="C965" t="s">
        <v>1714</v>
      </c>
    </row>
    <row r="966" spans="3:3" x14ac:dyDescent="0.25">
      <c r="C966" t="s">
        <v>1316</v>
      </c>
    </row>
    <row r="967" spans="3:3" x14ac:dyDescent="0.25">
      <c r="C967" t="s">
        <v>1485</v>
      </c>
    </row>
    <row r="968" spans="3:3" x14ac:dyDescent="0.25">
      <c r="C968" t="s">
        <v>646</v>
      </c>
    </row>
    <row r="969" spans="3:3" x14ac:dyDescent="0.25">
      <c r="C969" t="s">
        <v>1943</v>
      </c>
    </row>
    <row r="970" spans="3:3" x14ac:dyDescent="0.25">
      <c r="C970" t="s">
        <v>2211</v>
      </c>
    </row>
    <row r="971" spans="3:3" x14ac:dyDescent="0.25">
      <c r="C971" t="s">
        <v>931</v>
      </c>
    </row>
    <row r="972" spans="3:3" x14ac:dyDescent="0.25">
      <c r="C972" t="s">
        <v>1250</v>
      </c>
    </row>
    <row r="973" spans="3:3" x14ac:dyDescent="0.25">
      <c r="C973" t="s">
        <v>1421</v>
      </c>
    </row>
    <row r="974" spans="3:3" x14ac:dyDescent="0.25">
      <c r="C974" t="s">
        <v>2221</v>
      </c>
    </row>
    <row r="975" spans="3:3" x14ac:dyDescent="0.25">
      <c r="C975" t="s">
        <v>1218</v>
      </c>
    </row>
    <row r="976" spans="3:3" x14ac:dyDescent="0.25">
      <c r="C976" t="s">
        <v>1252</v>
      </c>
    </row>
    <row r="977" spans="3:3" x14ac:dyDescent="0.25">
      <c r="C977" t="s">
        <v>648</v>
      </c>
    </row>
    <row r="978" spans="3:3" x14ac:dyDescent="0.25">
      <c r="C978" t="s">
        <v>718</v>
      </c>
    </row>
    <row r="979" spans="3:3" x14ac:dyDescent="0.25">
      <c r="C979" t="s">
        <v>1084</v>
      </c>
    </row>
    <row r="980" spans="3:3" x14ac:dyDescent="0.25">
      <c r="C980" t="s">
        <v>704</v>
      </c>
    </row>
    <row r="981" spans="3:3" x14ac:dyDescent="0.25">
      <c r="C981" t="s">
        <v>1544</v>
      </c>
    </row>
    <row r="982" spans="3:3" x14ac:dyDescent="0.25">
      <c r="C982" t="s">
        <v>684</v>
      </c>
    </row>
    <row r="983" spans="3:3" x14ac:dyDescent="0.25">
      <c r="C983" t="s">
        <v>698</v>
      </c>
    </row>
    <row r="984" spans="3:3" x14ac:dyDescent="0.25">
      <c r="C984" t="s">
        <v>2209</v>
      </c>
    </row>
    <row r="985" spans="3:3" x14ac:dyDescent="0.25">
      <c r="C985" t="s">
        <v>1185</v>
      </c>
    </row>
    <row r="986" spans="3:3" x14ac:dyDescent="0.25">
      <c r="C986" t="s">
        <v>1060</v>
      </c>
    </row>
    <row r="987" spans="3:3" x14ac:dyDescent="0.25">
      <c r="C987" t="s">
        <v>1169</v>
      </c>
    </row>
    <row r="988" spans="3:3" x14ac:dyDescent="0.25">
      <c r="C988" t="s">
        <v>1272</v>
      </c>
    </row>
    <row r="989" spans="3:3" x14ac:dyDescent="0.25">
      <c r="C989" t="s">
        <v>734</v>
      </c>
    </row>
    <row r="990" spans="3:3" x14ac:dyDescent="0.25">
      <c r="C990" t="s">
        <v>730</v>
      </c>
    </row>
    <row r="991" spans="3:3" x14ac:dyDescent="0.25">
      <c r="C991" t="s">
        <v>1706</v>
      </c>
    </row>
    <row r="992" spans="3:3" x14ac:dyDescent="0.25">
      <c r="C992" t="s">
        <v>1711</v>
      </c>
    </row>
    <row r="993" spans="3:3" x14ac:dyDescent="0.25">
      <c r="C993" t="s">
        <v>469</v>
      </c>
    </row>
    <row r="994" spans="3:3" x14ac:dyDescent="0.25">
      <c r="C994" t="s">
        <v>330</v>
      </c>
    </row>
    <row r="995" spans="3:3" x14ac:dyDescent="0.25">
      <c r="C995" t="s">
        <v>2086</v>
      </c>
    </row>
    <row r="996" spans="3:3" x14ac:dyDescent="0.25">
      <c r="C996" t="s">
        <v>2077</v>
      </c>
    </row>
    <row r="997" spans="3:3" x14ac:dyDescent="0.25">
      <c r="C997" t="s">
        <v>402</v>
      </c>
    </row>
    <row r="998" spans="3:3" x14ac:dyDescent="0.25">
      <c r="C998" t="s">
        <v>866</v>
      </c>
    </row>
    <row r="999" spans="3:3" x14ac:dyDescent="0.25">
      <c r="C999" t="s">
        <v>1848</v>
      </c>
    </row>
    <row r="1000" spans="3:3" x14ac:dyDescent="0.25">
      <c r="C1000" t="s">
        <v>1501</v>
      </c>
    </row>
    <row r="1001" spans="3:3" x14ac:dyDescent="0.25">
      <c r="C1001" t="s">
        <v>2611</v>
      </c>
    </row>
    <row r="1002" spans="3:3" x14ac:dyDescent="0.25">
      <c r="C1002" t="s">
        <v>562</v>
      </c>
    </row>
    <row r="1003" spans="3:3" x14ac:dyDescent="0.25">
      <c r="C1003" t="s">
        <v>1767</v>
      </c>
    </row>
    <row r="1004" spans="3:3" x14ac:dyDescent="0.25">
      <c r="C1004" t="s">
        <v>2584</v>
      </c>
    </row>
    <row r="1005" spans="3:3" x14ac:dyDescent="0.25">
      <c r="C1005" t="s">
        <v>2637</v>
      </c>
    </row>
    <row r="1006" spans="3:3" x14ac:dyDescent="0.25">
      <c r="C1006" t="s">
        <v>1103</v>
      </c>
    </row>
    <row r="1007" spans="3:3" x14ac:dyDescent="0.25">
      <c r="C1007" t="s">
        <v>566</v>
      </c>
    </row>
    <row r="1008" spans="3:3" x14ac:dyDescent="0.25">
      <c r="C1008" t="s">
        <v>570</v>
      </c>
    </row>
    <row r="1009" spans="3:3" x14ac:dyDescent="0.25">
      <c r="C1009" t="s">
        <v>2596</v>
      </c>
    </row>
    <row r="1010" spans="3:3" x14ac:dyDescent="0.25">
      <c r="C1010" t="s">
        <v>338</v>
      </c>
    </row>
    <row r="1011" spans="3:3" x14ac:dyDescent="0.25">
      <c r="C1011" t="s">
        <v>1576</v>
      </c>
    </row>
    <row r="1012" spans="3:3" x14ac:dyDescent="0.25">
      <c r="C1012" t="s">
        <v>2437</v>
      </c>
    </row>
    <row r="1013" spans="3:3" x14ac:dyDescent="0.25">
      <c r="C1013" t="s">
        <v>2163</v>
      </c>
    </row>
    <row r="1014" spans="3:3" x14ac:dyDescent="0.25">
      <c r="C1014" t="s">
        <v>547</v>
      </c>
    </row>
    <row r="1015" spans="3:3" x14ac:dyDescent="0.25">
      <c r="C1015" t="s">
        <v>1650</v>
      </c>
    </row>
    <row r="1016" spans="3:3" x14ac:dyDescent="0.25">
      <c r="C1016" t="s">
        <v>2457</v>
      </c>
    </row>
    <row r="1017" spans="3:3" x14ac:dyDescent="0.25">
      <c r="C1017" t="s">
        <v>2014</v>
      </c>
    </row>
    <row r="1018" spans="3:3" x14ac:dyDescent="0.25">
      <c r="C1018" t="s">
        <v>2394</v>
      </c>
    </row>
    <row r="1019" spans="3:3" x14ac:dyDescent="0.25">
      <c r="C1019" t="s">
        <v>2240</v>
      </c>
    </row>
    <row r="1020" spans="3:3" x14ac:dyDescent="0.25">
      <c r="C1020" t="s">
        <v>475</v>
      </c>
    </row>
    <row r="1021" spans="3:3" x14ac:dyDescent="0.25">
      <c r="C1021" t="s">
        <v>1785</v>
      </c>
    </row>
    <row r="1022" spans="3:3" x14ac:dyDescent="0.25">
      <c r="C1022" t="s">
        <v>1153</v>
      </c>
    </row>
    <row r="1023" spans="3:3" x14ac:dyDescent="0.25">
      <c r="C1023" t="s">
        <v>450</v>
      </c>
    </row>
    <row r="1024" spans="3:3" x14ac:dyDescent="0.25">
      <c r="C1024" t="s">
        <v>489</v>
      </c>
    </row>
    <row r="1025" spans="3:3" x14ac:dyDescent="0.25">
      <c r="C1025" t="s">
        <v>2453</v>
      </c>
    </row>
    <row r="1026" spans="3:3" x14ac:dyDescent="0.25">
      <c r="C1026" t="s">
        <v>905</v>
      </c>
    </row>
    <row r="1027" spans="3:3" x14ac:dyDescent="0.25">
      <c r="C1027" t="s">
        <v>535</v>
      </c>
    </row>
    <row r="1028" spans="3:3" x14ac:dyDescent="0.25">
      <c r="C1028" t="s">
        <v>594</v>
      </c>
    </row>
    <row r="1029" spans="3:3" x14ac:dyDescent="0.25">
      <c r="C1029" t="s">
        <v>1983</v>
      </c>
    </row>
    <row r="1030" spans="3:3" x14ac:dyDescent="0.25">
      <c r="C1030" t="s">
        <v>527</v>
      </c>
    </row>
    <row r="1031" spans="3:3" x14ac:dyDescent="0.25">
      <c r="C1031" t="s">
        <v>2560</v>
      </c>
    </row>
    <row r="1032" spans="3:3" x14ac:dyDescent="0.25">
      <c r="C1032" t="s">
        <v>1533</v>
      </c>
    </row>
    <row r="1033" spans="3:3" x14ac:dyDescent="0.25">
      <c r="C1033" t="s">
        <v>1720</v>
      </c>
    </row>
    <row r="1034" spans="3:3" x14ac:dyDescent="0.25">
      <c r="C1034" t="s">
        <v>1556</v>
      </c>
    </row>
    <row r="1035" spans="3:3" x14ac:dyDescent="0.25">
      <c r="C1035" t="s">
        <v>960</v>
      </c>
    </row>
    <row r="1036" spans="3:3" x14ac:dyDescent="0.25">
      <c r="C1036" t="s">
        <v>1359</v>
      </c>
    </row>
    <row r="1037" spans="3:3" x14ac:dyDescent="0.25">
      <c r="C1037" t="s">
        <v>2376</v>
      </c>
    </row>
    <row r="1038" spans="3:3" x14ac:dyDescent="0.25">
      <c r="C1038" t="s">
        <v>1823</v>
      </c>
    </row>
    <row r="1039" spans="3:3" x14ac:dyDescent="0.25">
      <c r="C1039" t="s">
        <v>722</v>
      </c>
    </row>
    <row r="1040" spans="3:3" x14ac:dyDescent="0.25">
      <c r="C1040" t="s">
        <v>2052</v>
      </c>
    </row>
    <row r="1041" spans="3:3" x14ac:dyDescent="0.25">
      <c r="C1041" t="s">
        <v>2181</v>
      </c>
    </row>
    <row r="1042" spans="3:3" x14ac:dyDescent="0.25">
      <c r="C1042" t="s">
        <v>1897</v>
      </c>
    </row>
    <row r="1043" spans="3:3" x14ac:dyDescent="0.25">
      <c r="C1043" t="s">
        <v>1101</v>
      </c>
    </row>
    <row r="1044" spans="3:3" x14ac:dyDescent="0.25">
      <c r="C1044" t="s">
        <v>549</v>
      </c>
    </row>
    <row r="1045" spans="3:3" x14ac:dyDescent="0.25">
      <c r="C1045" t="s">
        <v>2238</v>
      </c>
    </row>
    <row r="1046" spans="3:3" x14ac:dyDescent="0.25">
      <c r="C1046" t="s">
        <v>2608</v>
      </c>
    </row>
    <row r="1047" spans="3:3" x14ac:dyDescent="0.25">
      <c r="C1047" t="s">
        <v>579</v>
      </c>
    </row>
    <row r="1048" spans="3:3" x14ac:dyDescent="0.25">
      <c r="C1048" t="s">
        <v>366</v>
      </c>
    </row>
    <row r="1049" spans="3:3" x14ac:dyDescent="0.25">
      <c r="C1049" t="s">
        <v>1685</v>
      </c>
    </row>
    <row r="1050" spans="3:3" x14ac:dyDescent="0.25">
      <c r="C1050" t="s">
        <v>1303</v>
      </c>
    </row>
    <row r="1051" spans="3:3" x14ac:dyDescent="0.25">
      <c r="C1051" t="s">
        <v>302</v>
      </c>
    </row>
    <row r="1052" spans="3:3" x14ac:dyDescent="0.25">
      <c r="C1052" t="s">
        <v>857</v>
      </c>
    </row>
    <row r="1053" spans="3:3" x14ac:dyDescent="0.25">
      <c r="C1053" t="s">
        <v>1594</v>
      </c>
    </row>
    <row r="1054" spans="3:3" x14ac:dyDescent="0.25">
      <c r="C1054" t="s">
        <v>2068</v>
      </c>
    </row>
    <row r="1055" spans="3:3" x14ac:dyDescent="0.25">
      <c r="C1055" t="s">
        <v>384</v>
      </c>
    </row>
    <row r="1056" spans="3:3" x14ac:dyDescent="0.25">
      <c r="C1056" t="s">
        <v>462</v>
      </c>
    </row>
    <row r="1057" spans="3:3" x14ac:dyDescent="0.25">
      <c r="C1057" t="s">
        <v>2073</v>
      </c>
    </row>
    <row r="1058" spans="3:3" x14ac:dyDescent="0.25">
      <c r="C1058" t="s">
        <v>2065</v>
      </c>
    </row>
    <row r="1059" spans="3:3" x14ac:dyDescent="0.25">
      <c r="C1059" t="s">
        <v>880</v>
      </c>
    </row>
    <row r="1060" spans="3:3" x14ac:dyDescent="0.25">
      <c r="C1060" t="s">
        <v>1228</v>
      </c>
    </row>
    <row r="1061" spans="3:3" x14ac:dyDescent="0.25">
      <c r="C1061" t="s">
        <v>2494</v>
      </c>
    </row>
    <row r="1062" spans="3:3" x14ac:dyDescent="0.25">
      <c r="C1062" t="s">
        <v>1793</v>
      </c>
    </row>
    <row r="1063" spans="3:3" x14ac:dyDescent="0.25">
      <c r="C1063" t="s">
        <v>948</v>
      </c>
    </row>
    <row r="1064" spans="3:3" x14ac:dyDescent="0.25">
      <c r="C1064" t="s">
        <v>1033</v>
      </c>
    </row>
    <row r="1065" spans="3:3" x14ac:dyDescent="0.25">
      <c r="C1065" t="s">
        <v>830</v>
      </c>
    </row>
    <row r="1066" spans="3:3" x14ac:dyDescent="0.25">
      <c r="C1066" t="s">
        <v>2419</v>
      </c>
    </row>
    <row r="1067" spans="3:3" x14ac:dyDescent="0.25">
      <c r="C1067" t="s">
        <v>1947</v>
      </c>
    </row>
    <row r="1068" spans="3:3" x14ac:dyDescent="0.25">
      <c r="C1068" t="s">
        <v>2545</v>
      </c>
    </row>
    <row r="1069" spans="3:3" x14ac:dyDescent="0.25">
      <c r="C1069" t="s">
        <v>2590</v>
      </c>
    </row>
    <row r="1070" spans="3:3" x14ac:dyDescent="0.25">
      <c r="C1070" t="s">
        <v>2580</v>
      </c>
    </row>
    <row r="1071" spans="3:3" x14ac:dyDescent="0.25">
      <c r="C1071" t="s">
        <v>2242</v>
      </c>
    </row>
    <row r="1072" spans="3:3" x14ac:dyDescent="0.25">
      <c r="C1072" t="s">
        <v>1147</v>
      </c>
    </row>
    <row r="1073" spans="3:3" x14ac:dyDescent="0.25">
      <c r="C1073" t="s">
        <v>574</v>
      </c>
    </row>
    <row r="1074" spans="3:3" x14ac:dyDescent="0.25">
      <c r="C1074" t="s">
        <v>543</v>
      </c>
    </row>
    <row r="1075" spans="3:3" x14ac:dyDescent="0.25">
      <c r="C1075" t="s">
        <v>1799</v>
      </c>
    </row>
    <row r="1076" spans="3:3" x14ac:dyDescent="0.25">
      <c r="C1076" t="s">
        <v>2661</v>
      </c>
    </row>
    <row r="1077" spans="3:3" x14ac:dyDescent="0.25">
      <c r="C1077" t="s">
        <v>911</v>
      </c>
    </row>
    <row r="1078" spans="3:3" x14ac:dyDescent="0.25">
      <c r="C1078" t="s">
        <v>1564</v>
      </c>
    </row>
    <row r="1079" spans="3:3" x14ac:dyDescent="0.25">
      <c r="C1079" t="s">
        <v>1105</v>
      </c>
    </row>
    <row r="1080" spans="3:3" x14ac:dyDescent="0.25">
      <c r="C1080" t="s">
        <v>1216</v>
      </c>
    </row>
    <row r="1081" spans="3:3" x14ac:dyDescent="0.25">
      <c r="C1081" t="s">
        <v>1572</v>
      </c>
    </row>
    <row r="1082" spans="3:3" x14ac:dyDescent="0.25">
      <c r="C1082" t="s">
        <v>1765</v>
      </c>
    </row>
    <row r="1083" spans="3:3" x14ac:dyDescent="0.25">
      <c r="C1083" t="s">
        <v>1133</v>
      </c>
    </row>
    <row r="1084" spans="3:3" x14ac:dyDescent="0.25">
      <c r="C1084" t="s">
        <v>1546</v>
      </c>
    </row>
    <row r="1085" spans="3:3" x14ac:dyDescent="0.25">
      <c r="C1085" t="s">
        <v>2260</v>
      </c>
    </row>
    <row r="1086" spans="3:3" x14ac:dyDescent="0.25">
      <c r="C1086" t="s">
        <v>742</v>
      </c>
    </row>
    <row r="1087" spans="3:3" x14ac:dyDescent="0.25">
      <c r="C1087" t="s">
        <v>995</v>
      </c>
    </row>
    <row r="1088" spans="3:3" x14ac:dyDescent="0.25">
      <c r="C1088" t="s">
        <v>1554</v>
      </c>
    </row>
    <row r="1089" spans="3:3" x14ac:dyDescent="0.25">
      <c r="C1089" t="s">
        <v>810</v>
      </c>
    </row>
    <row r="1090" spans="3:3" x14ac:dyDescent="0.25">
      <c r="C1090" t="s">
        <v>749</v>
      </c>
    </row>
    <row r="1091" spans="3:3" x14ac:dyDescent="0.25">
      <c r="C1091" t="s">
        <v>1927</v>
      </c>
    </row>
    <row r="1092" spans="3:3" x14ac:dyDescent="0.25">
      <c r="C1092" t="s">
        <v>446</v>
      </c>
    </row>
    <row r="1093" spans="3:3" x14ac:dyDescent="0.25">
      <c r="C1093" t="s">
        <v>2160</v>
      </c>
    </row>
    <row r="1094" spans="3:3" x14ac:dyDescent="0.25">
      <c r="C1094" t="s">
        <v>310</v>
      </c>
    </row>
    <row r="1095" spans="3:3" x14ac:dyDescent="0.25">
      <c r="C1095" t="s">
        <v>2574</v>
      </c>
    </row>
    <row r="1096" spans="3:3" x14ac:dyDescent="0.25">
      <c r="C1096" t="s">
        <v>1584</v>
      </c>
    </row>
    <row r="1097" spans="3:3" x14ac:dyDescent="0.25">
      <c r="C1097" t="s">
        <v>1011</v>
      </c>
    </row>
    <row r="1098" spans="3:3" x14ac:dyDescent="0.25">
      <c r="C1098" t="s">
        <v>2641</v>
      </c>
    </row>
    <row r="1099" spans="3:3" x14ac:dyDescent="0.25">
      <c r="C1099" t="s">
        <v>2496</v>
      </c>
    </row>
    <row r="1100" spans="3:3" x14ac:dyDescent="0.25">
      <c r="C1100" t="s">
        <v>710</v>
      </c>
    </row>
    <row r="1101" spans="3:3" x14ac:dyDescent="0.25">
      <c r="C1101" t="s">
        <v>808</v>
      </c>
    </row>
    <row r="1102" spans="3:3" x14ac:dyDescent="0.25">
      <c r="C1102" t="s">
        <v>1812</v>
      </c>
    </row>
    <row r="1103" spans="3:3" x14ac:dyDescent="0.25">
      <c r="C1103" t="s">
        <v>2570</v>
      </c>
    </row>
    <row r="1104" spans="3:3" x14ac:dyDescent="0.25">
      <c r="C1104" t="s">
        <v>1093</v>
      </c>
    </row>
    <row r="1105" spans="3:3" x14ac:dyDescent="0.25">
      <c r="C1105" t="s">
        <v>1899</v>
      </c>
    </row>
    <row r="1106" spans="3:3" x14ac:dyDescent="0.25">
      <c r="C1106" t="s">
        <v>1919</v>
      </c>
    </row>
    <row r="1107" spans="3:3" x14ac:dyDescent="0.25">
      <c r="C1107" t="s">
        <v>1628</v>
      </c>
    </row>
    <row r="1108" spans="3:3" x14ac:dyDescent="0.25">
      <c r="C1108" t="s">
        <v>2465</v>
      </c>
    </row>
    <row r="1109" spans="3:3" x14ac:dyDescent="0.25">
      <c r="C1109" t="s">
        <v>2378</v>
      </c>
    </row>
    <row r="1110" spans="3:3" x14ac:dyDescent="0.25">
      <c r="C1110" t="s">
        <v>1675</v>
      </c>
    </row>
    <row r="1111" spans="3:3" x14ac:dyDescent="0.25">
      <c r="C1111" t="s">
        <v>2085</v>
      </c>
    </row>
    <row r="1112" spans="3:3" x14ac:dyDescent="0.25">
      <c r="C1112" t="s">
        <v>1673</v>
      </c>
    </row>
    <row r="1113" spans="3:3" x14ac:dyDescent="0.25">
      <c r="C1113" t="s">
        <v>2132</v>
      </c>
    </row>
    <row r="1114" spans="3:3" x14ac:dyDescent="0.25">
      <c r="C1114" t="s">
        <v>2127</v>
      </c>
    </row>
    <row r="1115" spans="3:3" x14ac:dyDescent="0.25">
      <c r="C1115" t="s">
        <v>2075</v>
      </c>
    </row>
    <row r="1116" spans="3:3" x14ac:dyDescent="0.25">
      <c r="C1116" t="s">
        <v>2120</v>
      </c>
    </row>
    <row r="1117" spans="3:3" x14ac:dyDescent="0.25">
      <c r="C1117" t="s">
        <v>1703</v>
      </c>
    </row>
    <row r="1118" spans="3:3" x14ac:dyDescent="0.25">
      <c r="C1118" t="s">
        <v>863</v>
      </c>
    </row>
    <row r="1119" spans="3:3" x14ac:dyDescent="0.25">
      <c r="C1119" t="s">
        <v>440</v>
      </c>
    </row>
    <row r="1120" spans="3:3" x14ac:dyDescent="0.25">
      <c r="C1120" t="s">
        <v>1696</v>
      </c>
    </row>
    <row r="1121" spans="3:3" x14ac:dyDescent="0.25">
      <c r="C1121" t="s">
        <v>865</v>
      </c>
    </row>
    <row r="1122" spans="3:3" x14ac:dyDescent="0.25">
      <c r="C1122" t="s">
        <v>862</v>
      </c>
    </row>
    <row r="1123" spans="3:3" x14ac:dyDescent="0.25">
      <c r="C1123" t="s">
        <v>2091</v>
      </c>
    </row>
    <row r="1124" spans="3:3" x14ac:dyDescent="0.25">
      <c r="C1124" t="s">
        <v>2133</v>
      </c>
    </row>
    <row r="1125" spans="3:3" x14ac:dyDescent="0.25">
      <c r="C1125" t="s">
        <v>1945</v>
      </c>
    </row>
    <row r="1126" spans="3:3" x14ac:dyDescent="0.25">
      <c r="C1126" t="s">
        <v>2543</v>
      </c>
    </row>
    <row r="1127" spans="3:3" x14ac:dyDescent="0.25">
      <c r="C1127" t="s">
        <v>2355</v>
      </c>
    </row>
    <row r="1128" spans="3:3" x14ac:dyDescent="0.25">
      <c r="C1128" t="s">
        <v>626</v>
      </c>
    </row>
    <row r="1129" spans="3:3" x14ac:dyDescent="0.25">
      <c r="C1129" t="s">
        <v>1877</v>
      </c>
    </row>
    <row r="1130" spans="3:3" x14ac:dyDescent="0.25">
      <c r="C1130" t="s">
        <v>1091</v>
      </c>
    </row>
    <row r="1131" spans="3:3" x14ac:dyDescent="0.25">
      <c r="C1131" t="s">
        <v>1015</v>
      </c>
    </row>
    <row r="1132" spans="3:3" x14ac:dyDescent="0.25">
      <c r="C1132" t="s">
        <v>927</v>
      </c>
    </row>
    <row r="1133" spans="3:3" x14ac:dyDescent="0.25">
      <c r="C1133" t="s">
        <v>761</v>
      </c>
    </row>
    <row r="1134" spans="3:3" x14ac:dyDescent="0.25">
      <c r="C1134" t="s">
        <v>1117</v>
      </c>
    </row>
    <row r="1135" spans="3:3" x14ac:dyDescent="0.25">
      <c r="C1135" t="s">
        <v>1187</v>
      </c>
    </row>
    <row r="1136" spans="3:3" x14ac:dyDescent="0.25">
      <c r="C1136" t="s">
        <v>344</v>
      </c>
    </row>
    <row r="1137" spans="3:3" x14ac:dyDescent="0.25">
      <c r="C1137" t="s">
        <v>1089</v>
      </c>
    </row>
    <row r="1138" spans="3:3" x14ac:dyDescent="0.25">
      <c r="C1138" t="s">
        <v>989</v>
      </c>
    </row>
    <row r="1139" spans="3:3" x14ac:dyDescent="0.25">
      <c r="C1139" t="s">
        <v>2169</v>
      </c>
    </row>
    <row r="1140" spans="3:3" x14ac:dyDescent="0.25">
      <c r="C1140" t="s">
        <v>1068</v>
      </c>
    </row>
    <row r="1141" spans="3:3" x14ac:dyDescent="0.25">
      <c r="C1141" t="s">
        <v>1620</v>
      </c>
    </row>
    <row r="1142" spans="3:3" x14ac:dyDescent="0.25">
      <c r="C1142" t="s">
        <v>1923</v>
      </c>
    </row>
    <row r="1143" spans="3:3" x14ac:dyDescent="0.25">
      <c r="C1143" t="s">
        <v>336</v>
      </c>
    </row>
    <row r="1144" spans="3:3" x14ac:dyDescent="0.25">
      <c r="C1144" t="s">
        <v>1149</v>
      </c>
    </row>
    <row r="1145" spans="3:3" x14ac:dyDescent="0.25">
      <c r="C1145" t="s">
        <v>1841</v>
      </c>
    </row>
    <row r="1146" spans="3:3" x14ac:dyDescent="0.25">
      <c r="C1146" t="s">
        <v>1654</v>
      </c>
    </row>
    <row r="1147" spans="3:3" x14ac:dyDescent="0.25">
      <c r="C1147" t="s">
        <v>1335</v>
      </c>
    </row>
    <row r="1148" spans="3:3" x14ac:dyDescent="0.25">
      <c r="C1148" t="s">
        <v>2278</v>
      </c>
    </row>
    <row r="1149" spans="3:3" x14ac:dyDescent="0.25">
      <c r="C1149" t="s">
        <v>2244</v>
      </c>
    </row>
    <row r="1150" spans="3:3" x14ac:dyDescent="0.25">
      <c r="C1150" t="s">
        <v>2268</v>
      </c>
    </row>
    <row r="1151" spans="3:3" x14ac:dyDescent="0.25">
      <c r="C1151" t="s">
        <v>766</v>
      </c>
    </row>
    <row r="1152" spans="3:3" x14ac:dyDescent="0.25">
      <c r="C1152" t="s">
        <v>2264</v>
      </c>
    </row>
    <row r="1153" spans="3:3" x14ac:dyDescent="0.25">
      <c r="C1153" t="s">
        <v>2280</v>
      </c>
    </row>
    <row r="1154" spans="3:3" x14ac:dyDescent="0.25">
      <c r="C1154" t="s">
        <v>806</v>
      </c>
    </row>
    <row r="1155" spans="3:3" x14ac:dyDescent="0.25">
      <c r="C1155" t="s">
        <v>1123</v>
      </c>
    </row>
    <row r="1156" spans="3:3" x14ac:dyDescent="0.25">
      <c r="C1156" t="s">
        <v>933</v>
      </c>
    </row>
    <row r="1157" spans="3:3" x14ac:dyDescent="0.25">
      <c r="C1157" t="s">
        <v>1463</v>
      </c>
    </row>
    <row r="1158" spans="3:3" x14ac:dyDescent="0.25">
      <c r="C1158" t="s">
        <v>1869</v>
      </c>
    </row>
    <row r="1159" spans="3:3" x14ac:dyDescent="0.25">
      <c r="C1159" t="s">
        <v>2528</v>
      </c>
    </row>
    <row r="1160" spans="3:3" x14ac:dyDescent="0.25">
      <c r="C1160" t="s">
        <v>1846</v>
      </c>
    </row>
    <row r="1161" spans="3:3" x14ac:dyDescent="0.25">
      <c r="C1161" t="s">
        <v>2000</v>
      </c>
    </row>
    <row r="1162" spans="3:3" x14ac:dyDescent="0.25">
      <c r="C1162" t="s">
        <v>1883</v>
      </c>
    </row>
    <row r="1163" spans="3:3" x14ac:dyDescent="0.25">
      <c r="C1163" t="s">
        <v>1167</v>
      </c>
    </row>
    <row r="1164" spans="3:3" x14ac:dyDescent="0.25">
      <c r="C1164" t="s">
        <v>1634</v>
      </c>
    </row>
    <row r="1165" spans="3:3" x14ac:dyDescent="0.25">
      <c r="C1165" t="s">
        <v>1640</v>
      </c>
    </row>
    <row r="1166" spans="3:3" x14ac:dyDescent="0.25">
      <c r="C1166" t="s">
        <v>2562</v>
      </c>
    </row>
    <row r="1167" spans="3:3" x14ac:dyDescent="0.25">
      <c r="C1167" t="s">
        <v>692</v>
      </c>
    </row>
    <row r="1168" spans="3:3" x14ac:dyDescent="0.25">
      <c r="C1168" t="s">
        <v>2272</v>
      </c>
    </row>
    <row r="1169" spans="3:3" x14ac:dyDescent="0.25">
      <c r="C1169" t="s">
        <v>2107</v>
      </c>
    </row>
    <row r="1170" spans="3:3" x14ac:dyDescent="0.25">
      <c r="C1170" t="s">
        <v>1304</v>
      </c>
    </row>
    <row r="1171" spans="3:3" x14ac:dyDescent="0.25">
      <c r="C1171" t="s">
        <v>875</v>
      </c>
    </row>
    <row r="1172" spans="3:3" x14ac:dyDescent="0.25">
      <c r="C1172" t="s">
        <v>2070</v>
      </c>
    </row>
    <row r="1173" spans="3:3" x14ac:dyDescent="0.25">
      <c r="C1173" t="s">
        <v>1312</v>
      </c>
    </row>
    <row r="1174" spans="3:3" x14ac:dyDescent="0.25">
      <c r="C1174" t="s">
        <v>2080</v>
      </c>
    </row>
    <row r="1175" spans="3:3" x14ac:dyDescent="0.25">
      <c r="C1175" t="s">
        <v>2472</v>
      </c>
    </row>
    <row r="1176" spans="3:3" x14ac:dyDescent="0.25">
      <c r="C1176" t="s">
        <v>2627</v>
      </c>
    </row>
    <row r="1177" spans="3:3" x14ac:dyDescent="0.25">
      <c r="C1177" t="s">
        <v>2619</v>
      </c>
    </row>
    <row r="1178" spans="3:3" x14ac:dyDescent="0.25">
      <c r="C1178" t="s">
        <v>352</v>
      </c>
    </row>
    <row r="1179" spans="3:3" x14ac:dyDescent="0.25">
      <c r="C1179" t="s">
        <v>628</v>
      </c>
    </row>
    <row r="1180" spans="3:3" x14ac:dyDescent="0.25">
      <c r="C1180" t="s">
        <v>1157</v>
      </c>
    </row>
    <row r="1181" spans="3:3" x14ac:dyDescent="0.25">
      <c r="C1181" t="s">
        <v>1161</v>
      </c>
    </row>
    <row r="1182" spans="3:3" x14ac:dyDescent="0.25">
      <c r="C1182" t="s">
        <v>392</v>
      </c>
    </row>
    <row r="1183" spans="3:3" x14ac:dyDescent="0.25">
      <c r="C1183" t="s">
        <v>2323</v>
      </c>
    </row>
    <row r="1184" spans="3:3" x14ac:dyDescent="0.25">
      <c r="C1184" t="s">
        <v>2329</v>
      </c>
    </row>
    <row r="1185" spans="3:3" x14ac:dyDescent="0.25">
      <c r="C1185" t="s">
        <v>362</v>
      </c>
    </row>
    <row r="1186" spans="3:3" x14ac:dyDescent="0.25">
      <c r="C1186" t="s">
        <v>2315</v>
      </c>
    </row>
    <row r="1187" spans="3:3" x14ac:dyDescent="0.25">
      <c r="C1187" t="s">
        <v>304</v>
      </c>
    </row>
    <row r="1188" spans="3:3" x14ac:dyDescent="0.25">
      <c r="C1188" t="s">
        <v>2074</v>
      </c>
    </row>
    <row r="1189" spans="3:3" x14ac:dyDescent="0.25">
      <c r="C1189" t="s">
        <v>859</v>
      </c>
    </row>
    <row r="1190" spans="3:3" x14ac:dyDescent="0.25">
      <c r="C1190" t="s">
        <v>1403</v>
      </c>
    </row>
    <row r="1191" spans="3:3" x14ac:dyDescent="0.25">
      <c r="C1191" t="s">
        <v>946</v>
      </c>
    </row>
    <row r="1192" spans="3:3" x14ac:dyDescent="0.25">
      <c r="C1192" t="s">
        <v>1642</v>
      </c>
    </row>
    <row r="1193" spans="3:3" x14ac:dyDescent="0.25">
      <c r="C1193" t="s">
        <v>1523</v>
      </c>
    </row>
    <row r="1194" spans="3:3" x14ac:dyDescent="0.25">
      <c r="C1194" t="s">
        <v>2551</v>
      </c>
    </row>
    <row r="1195" spans="3:3" x14ac:dyDescent="0.25">
      <c r="C1195" t="s">
        <v>1260</v>
      </c>
    </row>
    <row r="1196" spans="3:3" x14ac:dyDescent="0.25">
      <c r="C1196" t="s">
        <v>1507</v>
      </c>
    </row>
    <row r="1197" spans="3:3" x14ac:dyDescent="0.25">
      <c r="C1197" t="s">
        <v>1519</v>
      </c>
    </row>
    <row r="1198" spans="3:3" x14ac:dyDescent="0.25">
      <c r="C1198" t="s">
        <v>376</v>
      </c>
    </row>
    <row r="1199" spans="3:3" x14ac:dyDescent="0.25">
      <c r="C1199" t="s">
        <v>1205</v>
      </c>
    </row>
    <row r="1200" spans="3:3" x14ac:dyDescent="0.25">
      <c r="C1200" t="s">
        <v>1854</v>
      </c>
    </row>
    <row r="1201" spans="3:3" x14ac:dyDescent="0.25">
      <c r="C1201" t="s">
        <v>1380</v>
      </c>
    </row>
    <row r="1202" spans="3:3" x14ac:dyDescent="0.25">
      <c r="C1202" t="s">
        <v>867</v>
      </c>
    </row>
    <row r="1203" spans="3:3" x14ac:dyDescent="0.25">
      <c r="C1203" t="s">
        <v>844</v>
      </c>
    </row>
    <row r="1204" spans="3:3" x14ac:dyDescent="0.25">
      <c r="C1204" t="s">
        <v>843</v>
      </c>
    </row>
    <row r="1205" spans="3:3" x14ac:dyDescent="0.25">
      <c r="C1205" t="s">
        <v>883</v>
      </c>
    </row>
    <row r="1206" spans="3:3" x14ac:dyDescent="0.25">
      <c r="C1206" t="s">
        <v>720</v>
      </c>
    </row>
    <row r="1207" spans="3:3" x14ac:dyDescent="0.25">
      <c r="C1207" t="s">
        <v>2511</v>
      </c>
    </row>
    <row r="1208" spans="3:3" x14ac:dyDescent="0.25">
      <c r="C1208" t="s">
        <v>2357</v>
      </c>
    </row>
    <row r="1209" spans="3:3" x14ac:dyDescent="0.25">
      <c r="C1209" t="s">
        <v>1991</v>
      </c>
    </row>
    <row r="1210" spans="3:3" x14ac:dyDescent="0.25">
      <c r="C1210" t="s">
        <v>1781</v>
      </c>
    </row>
    <row r="1211" spans="3:3" x14ac:dyDescent="0.25">
      <c r="C1211" t="s">
        <v>521</v>
      </c>
    </row>
    <row r="1212" spans="3:3" x14ac:dyDescent="0.25">
      <c r="C1212" t="s">
        <v>1232</v>
      </c>
    </row>
    <row r="1213" spans="3:3" x14ac:dyDescent="0.25">
      <c r="C1213" t="s">
        <v>2187</v>
      </c>
    </row>
    <row r="1214" spans="3:3" x14ac:dyDescent="0.25">
      <c r="C1214" t="s">
        <v>1191</v>
      </c>
    </row>
    <row r="1215" spans="3:3" x14ac:dyDescent="0.25">
      <c r="C1215" t="s">
        <v>1527</v>
      </c>
    </row>
    <row r="1216" spans="3:3" x14ac:dyDescent="0.25">
      <c r="C1216" t="s">
        <v>1262</v>
      </c>
    </row>
    <row r="1217" spans="3:3" x14ac:dyDescent="0.25">
      <c r="C1217" t="s">
        <v>952</v>
      </c>
    </row>
    <row r="1218" spans="3:3" x14ac:dyDescent="0.25">
      <c r="C1218" t="s">
        <v>2372</v>
      </c>
    </row>
    <row r="1219" spans="3:3" x14ac:dyDescent="0.25">
      <c r="C1219" t="s">
        <v>1636</v>
      </c>
    </row>
    <row r="1220" spans="3:3" x14ac:dyDescent="0.25">
      <c r="C1220" t="s">
        <v>2266</v>
      </c>
    </row>
    <row r="1221" spans="3:3" x14ac:dyDescent="0.25">
      <c r="C1221" t="s">
        <v>1624</v>
      </c>
    </row>
    <row r="1222" spans="3:3" x14ac:dyDescent="0.25">
      <c r="C1222" t="s">
        <v>1648</v>
      </c>
    </row>
    <row r="1223" spans="3:3" x14ac:dyDescent="0.25">
      <c r="C1223" t="s">
        <v>448</v>
      </c>
    </row>
    <row r="1224" spans="3:3" x14ac:dyDescent="0.25">
      <c r="C1224" t="s">
        <v>589</v>
      </c>
    </row>
    <row r="1225" spans="3:3" x14ac:dyDescent="0.25">
      <c r="C1225" t="s">
        <v>2425</v>
      </c>
    </row>
    <row r="1226" spans="3:3" x14ac:dyDescent="0.25">
      <c r="C1226" t="s">
        <v>1029</v>
      </c>
    </row>
    <row r="1227" spans="3:3" x14ac:dyDescent="0.25">
      <c r="C1227" t="s">
        <v>1716</v>
      </c>
    </row>
    <row r="1228" spans="3:3" x14ac:dyDescent="0.25">
      <c r="C1228" t="s">
        <v>873</v>
      </c>
    </row>
    <row r="1229" spans="3:3" x14ac:dyDescent="0.25">
      <c r="C1229" t="s">
        <v>1297</v>
      </c>
    </row>
    <row r="1230" spans="3:3" x14ac:dyDescent="0.25">
      <c r="C1230" t="s">
        <v>1678</v>
      </c>
    </row>
    <row r="1231" spans="3:3" x14ac:dyDescent="0.25">
      <c r="C1231" t="s">
        <v>1669</v>
      </c>
    </row>
    <row r="1232" spans="3:3" x14ac:dyDescent="0.25">
      <c r="C1232" t="s">
        <v>2301</v>
      </c>
    </row>
    <row r="1233" spans="3:3" x14ac:dyDescent="0.25">
      <c r="C1233" t="s">
        <v>1611</v>
      </c>
    </row>
    <row r="1234" spans="3:3" x14ac:dyDescent="0.25">
      <c r="C1234" t="s">
        <v>2101</v>
      </c>
    </row>
    <row r="1235" spans="3:3" x14ac:dyDescent="0.25">
      <c r="C1235" t="s">
        <v>2410</v>
      </c>
    </row>
    <row r="1236" spans="3:3" x14ac:dyDescent="0.25">
      <c r="C1236" t="s">
        <v>572</v>
      </c>
    </row>
    <row r="1237" spans="3:3" x14ac:dyDescent="0.25">
      <c r="C1237" t="s">
        <v>2476</v>
      </c>
    </row>
    <row r="1238" spans="3:3" x14ac:dyDescent="0.25">
      <c r="C1238" t="s">
        <v>751</v>
      </c>
    </row>
    <row r="1239" spans="3:3" x14ac:dyDescent="0.25">
      <c r="C1239" t="s">
        <v>1787</v>
      </c>
    </row>
    <row r="1240" spans="3:3" x14ac:dyDescent="0.25">
      <c r="C1240" t="s">
        <v>517</v>
      </c>
    </row>
    <row r="1241" spans="3:3" x14ac:dyDescent="0.25">
      <c r="C1241" t="s">
        <v>1608</v>
      </c>
    </row>
    <row r="1242" spans="3:3" x14ac:dyDescent="0.25">
      <c r="C1242" t="s">
        <v>1598</v>
      </c>
    </row>
    <row r="1243" spans="3:3" x14ac:dyDescent="0.25">
      <c r="C1243" t="s">
        <v>1605</v>
      </c>
    </row>
    <row r="1244" spans="3:3" x14ac:dyDescent="0.25">
      <c r="C1244" t="s">
        <v>2122</v>
      </c>
    </row>
    <row r="1245" spans="3:3" x14ac:dyDescent="0.25">
      <c r="C1245" t="s">
        <v>1310</v>
      </c>
    </row>
  </sheetData>
  <autoFilter ref="A1:B1" xr:uid="{801C84AC-0DE5-4D4F-8BCA-3D0735FEF48C}"/>
  <sortState xmlns:xlrd2="http://schemas.microsoft.com/office/spreadsheetml/2017/richdata2" ref="A2:B49">
    <sortCondition ref="A1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schedule</vt:lpstr>
      <vt:lpstr>PickedPlayers</vt:lpstr>
      <vt:lpstr>OriginalPaste</vt:lpstr>
      <vt:lpstr>Teams</vt:lpstr>
      <vt:lpstr>Barlow</vt:lpstr>
      <vt:lpstr>Taylor</vt:lpstr>
      <vt:lpstr>Ian</vt:lpstr>
      <vt:lpstr>WillT</vt:lpstr>
      <vt:lpstr>Joe</vt:lpstr>
      <vt:lpstr>Dan</vt:lpstr>
      <vt:lpstr>Andy</vt:lpstr>
      <vt:lpstr>WillS</vt:lpstr>
      <vt:lpstr>Predictor</vt:lpstr>
      <vt:lpstr>Fixtures</vt:lpstr>
      <vt:lpstr>SquadLists</vt:lpstr>
      <vt:lpstr>DraftData</vt:lpstr>
      <vt:lpstr>DraftOrder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 Tomlinson</dc:creator>
  <cp:keywords/>
  <dc:description/>
  <cp:lastModifiedBy>Will Tomlinson</cp:lastModifiedBy>
  <cp:revision/>
  <dcterms:created xsi:type="dcterms:W3CDTF">2026-06-07T15:11:54Z</dcterms:created>
  <dcterms:modified xsi:type="dcterms:W3CDTF">2026-07-03T13:49:27Z</dcterms:modified>
  <cp:category/>
  <cp:contentStatus/>
</cp:coreProperties>
</file>