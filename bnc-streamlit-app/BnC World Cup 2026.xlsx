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627" documentId="8_{DE49DC6A-C840-492B-B227-19D455AF6A7E}" xr6:coauthVersionLast="47" xr6:coauthVersionMax="47" xr10:uidLastSave="{7B058551-CCD7-46C6-AF72-C23AF51023A5}"/>
  <bookViews>
    <workbookView xWindow="-120" yWindow="-120" windowWidth="29040" windowHeight="15720" tabRatio="695" firstSheet="7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Y43" i="20"/>
  <c r="AG43" i="20"/>
  <c r="AC44" i="20"/>
  <c r="V44" i="20"/>
  <c r="AD44" i="20"/>
  <c r="W44" i="20"/>
  <c r="AE44" i="20"/>
  <c r="Y44" i="20"/>
  <c r="AG44" i="20"/>
  <c r="AC45" i="20"/>
  <c r="V45" i="20"/>
  <c r="AD45" i="20"/>
  <c r="W45" i="20"/>
  <c r="AE45" i="20"/>
  <c r="Y45" i="20"/>
  <c r="AG45" i="20"/>
  <c r="AB46" i="20"/>
  <c r="V46" i="20"/>
  <c r="AD46" i="20"/>
  <c r="W46" i="20"/>
  <c r="AE46" i="20"/>
  <c r="Y46" i="20"/>
  <c r="AG46" i="20"/>
  <c r="Z47" i="20"/>
  <c r="V47" i="20"/>
  <c r="AD47" i="20"/>
  <c r="W47" i="20"/>
  <c r="AE47" i="20"/>
  <c r="Y47" i="20"/>
  <c r="AG47" i="20"/>
  <c r="V48" i="20"/>
  <c r="AD48" i="20"/>
  <c r="W48" i="20"/>
  <c r="AE48" i="20"/>
  <c r="Y48" i="20"/>
  <c r="AG48" i="20"/>
  <c r="Z49" i="20"/>
  <c r="AC49" i="20"/>
  <c r="V49" i="20"/>
  <c r="AD49" i="20"/>
  <c r="W49" i="20"/>
  <c r="AE49" i="20"/>
  <c r="Y49" i="20"/>
  <c r="AG49" i="20"/>
  <c r="AA50" i="20"/>
  <c r="V50" i="20"/>
  <c r="AD50" i="20"/>
  <c r="AE50" i="20"/>
  <c r="AG50" i="20"/>
  <c r="AA51" i="20"/>
  <c r="AB51" i="20"/>
  <c r="V51" i="20"/>
  <c r="AD51" i="20"/>
  <c r="AE51" i="20"/>
  <c r="AG51" i="20"/>
  <c r="AA52" i="20"/>
  <c r="AB52" i="20"/>
  <c r="AC52" i="20"/>
  <c r="AD52" i="20"/>
  <c r="AE52" i="20"/>
  <c r="AG52" i="20"/>
  <c r="Z53" i="20"/>
  <c r="AA53" i="20"/>
  <c r="AD53" i="20"/>
  <c r="AE53" i="20"/>
  <c r="AG53" i="20"/>
  <c r="AA54" i="20"/>
  <c r="AB54" i="20"/>
  <c r="AD54" i="20"/>
  <c r="AE54" i="20"/>
  <c r="AG54" i="20"/>
  <c r="AA55" i="20"/>
  <c r="AB55" i="20"/>
  <c r="AD55" i="20"/>
  <c r="AE55" i="20"/>
  <c r="AG55" i="20"/>
  <c r="AA56" i="20"/>
  <c r="AB56" i="20"/>
  <c r="AD56" i="20"/>
  <c r="AE56" i="20"/>
  <c r="AG56" i="20"/>
  <c r="AA57" i="20"/>
  <c r="AB57" i="20"/>
  <c r="AC57" i="20"/>
  <c r="AD57" i="20"/>
  <c r="AE57" i="20"/>
  <c r="AG57" i="20"/>
  <c r="Z58" i="20"/>
  <c r="AA58" i="20"/>
  <c r="AB58" i="20"/>
  <c r="AD58" i="20"/>
  <c r="AE58" i="20"/>
  <c r="AG58" i="20"/>
  <c r="AA59" i="20"/>
  <c r="AB59" i="20"/>
  <c r="AC59" i="20"/>
  <c r="AD59" i="20"/>
  <c r="AE59" i="20"/>
  <c r="AG59" i="20"/>
  <c r="AA60" i="20"/>
  <c r="AB60" i="20"/>
  <c r="AD60" i="20"/>
  <c r="AE60" i="20"/>
  <c r="AG60" i="20"/>
  <c r="AA61" i="20"/>
  <c r="AB61" i="20"/>
  <c r="AD61" i="20"/>
  <c r="AE61" i="20"/>
  <c r="AG61" i="20"/>
  <c r="Z62" i="20"/>
  <c r="AA62" i="20"/>
  <c r="AB62" i="20"/>
  <c r="AD62" i="20"/>
  <c r="AE62" i="20"/>
  <c r="AG62" i="20"/>
  <c r="Z63" i="20"/>
  <c r="AA63" i="20"/>
  <c r="AB63" i="20"/>
  <c r="AD63" i="20"/>
  <c r="AE63" i="20"/>
  <c r="AG63" i="20"/>
  <c r="AA64" i="20"/>
  <c r="AB64" i="20"/>
  <c r="AD64" i="20"/>
  <c r="AE64" i="20"/>
  <c r="AG64" i="20"/>
  <c r="Z65" i="20"/>
  <c r="AA65" i="20"/>
  <c r="AB65" i="20"/>
  <c r="AD65" i="20"/>
  <c r="AE65" i="20"/>
  <c r="AG65" i="20"/>
  <c r="Z66" i="20"/>
  <c r="AA66" i="20"/>
  <c r="AB66" i="20"/>
  <c r="AD66" i="20"/>
  <c r="AE66" i="20"/>
  <c r="AG66" i="20"/>
  <c r="AA67" i="20"/>
  <c r="AB67" i="20"/>
  <c r="AC67" i="20"/>
  <c r="AD67" i="20"/>
  <c r="AE67" i="20"/>
  <c r="AG67" i="20"/>
  <c r="Z68" i="20"/>
  <c r="AA68" i="20"/>
  <c r="AB68" i="20"/>
  <c r="AD68" i="20"/>
  <c r="AE68" i="20"/>
  <c r="AG68" i="20"/>
  <c r="Z69" i="20"/>
  <c r="AA69" i="20"/>
  <c r="AB69" i="20"/>
  <c r="AD69" i="20"/>
  <c r="AE69" i="20"/>
  <c r="AG69" i="20"/>
  <c r="AA70" i="20"/>
  <c r="AB70" i="20"/>
  <c r="AD70" i="20"/>
  <c r="AE70" i="20"/>
  <c r="AG70" i="20"/>
  <c r="AA71" i="20"/>
  <c r="AB71" i="20"/>
  <c r="AC71" i="20"/>
  <c r="AD71" i="20"/>
  <c r="AE71" i="20"/>
  <c r="AG71" i="20"/>
  <c r="AA72" i="20"/>
  <c r="AB72" i="20"/>
  <c r="AD72" i="20"/>
  <c r="AE72" i="20"/>
  <c r="AG72" i="20"/>
  <c r="AA73" i="20"/>
  <c r="AB73" i="20"/>
  <c r="AD73" i="20"/>
  <c r="AE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 s="1"/>
  <c r="R36" i="20"/>
  <c r="Z36" i="20"/>
  <c r="S36" i="20"/>
  <c r="AA36" i="20"/>
  <c r="T36" i="20"/>
  <c r="U36" i="20"/>
  <c r="X36" i="20"/>
  <c r="AF36" i="20" s="1"/>
  <c r="R37" i="20"/>
  <c r="S37" i="20"/>
  <c r="AA37" i="20"/>
  <c r="T37" i="20"/>
  <c r="AB37" i="20"/>
  <c r="U37" i="20"/>
  <c r="AC37" i="20"/>
  <c r="X37" i="20"/>
  <c r="AF37" i="20" s="1"/>
  <c r="R38" i="20"/>
  <c r="Z38" i="20"/>
  <c r="S38" i="20"/>
  <c r="AA38" i="20"/>
  <c r="T38" i="20"/>
  <c r="AB38" i="20"/>
  <c r="U38" i="20"/>
  <c r="X38" i="20"/>
  <c r="AF38" i="20" s="1"/>
  <c r="R39" i="20"/>
  <c r="Z39" i="20"/>
  <c r="S39" i="20"/>
  <c r="AA39" i="20"/>
  <c r="T39" i="20"/>
  <c r="AB39" i="20"/>
  <c r="U39" i="20"/>
  <c r="AC39" i="20"/>
  <c r="X39" i="20"/>
  <c r="AF39" i="20" s="1"/>
  <c r="R40" i="20"/>
  <c r="Z40" i="20"/>
  <c r="S40" i="20"/>
  <c r="AA40" i="20"/>
  <c r="T40" i="20"/>
  <c r="AB40" i="20"/>
  <c r="U40" i="20"/>
  <c r="AC40" i="20"/>
  <c r="X40" i="20"/>
  <c r="AF40" i="20" s="1"/>
  <c r="R41" i="20"/>
  <c r="Z41" i="20"/>
  <c r="S41" i="20"/>
  <c r="AA41" i="20"/>
  <c r="T41" i="20"/>
  <c r="U41" i="20"/>
  <c r="X41" i="20"/>
  <c r="AF41" i="20" s="1"/>
  <c r="R42" i="20"/>
  <c r="S42" i="20"/>
  <c r="AA42" i="20"/>
  <c r="T42" i="20"/>
  <c r="AB42" i="20"/>
  <c r="U42" i="20"/>
  <c r="AC42" i="20"/>
  <c r="X42" i="20"/>
  <c r="AF42" i="20" s="1"/>
  <c r="R43" i="20"/>
  <c r="S43" i="20"/>
  <c r="AA43" i="20"/>
  <c r="T43" i="20"/>
  <c r="U43" i="20"/>
  <c r="X43" i="20"/>
  <c r="AF43" i="20" s="1"/>
  <c r="R44" i="20"/>
  <c r="Z44" i="20"/>
  <c r="S44" i="20"/>
  <c r="AA44" i="20"/>
  <c r="T44" i="20"/>
  <c r="AB44" i="20"/>
  <c r="U44" i="20"/>
  <c r="X44" i="20"/>
  <c r="AF44" i="20" s="1"/>
  <c r="R45" i="20"/>
  <c r="Z45" i="20"/>
  <c r="S45" i="20"/>
  <c r="AA45" i="20"/>
  <c r="T45" i="20"/>
  <c r="AB45" i="20"/>
  <c r="U45" i="20"/>
  <c r="X45" i="20"/>
  <c r="AF45" i="20" s="1"/>
  <c r="R46" i="20"/>
  <c r="Z46" i="20"/>
  <c r="S46" i="20"/>
  <c r="AA46" i="20"/>
  <c r="T46" i="20"/>
  <c r="U46" i="20"/>
  <c r="AC46" i="20"/>
  <c r="X46" i="20"/>
  <c r="AF46" i="20" s="1"/>
  <c r="R47" i="20"/>
  <c r="S47" i="20"/>
  <c r="AA47" i="20"/>
  <c r="T47" i="20"/>
  <c r="AB47" i="20"/>
  <c r="U47" i="20"/>
  <c r="AC47" i="20"/>
  <c r="X47" i="20"/>
  <c r="AF47" i="20" s="1"/>
  <c r="R48" i="20"/>
  <c r="Z48" i="20"/>
  <c r="S48" i="20"/>
  <c r="AA48" i="20"/>
  <c r="T48" i="20"/>
  <c r="AB48" i="20"/>
  <c r="U48" i="20"/>
  <c r="AC48" i="20"/>
  <c r="X48" i="20"/>
  <c r="AF48" i="20" s="1"/>
  <c r="R49" i="20"/>
  <c r="S49" i="20"/>
  <c r="AA49" i="20"/>
  <c r="T49" i="20"/>
  <c r="AB49" i="20" s="1"/>
  <c r="U49" i="20"/>
  <c r="X49" i="20"/>
  <c r="AF49" i="20" s="1"/>
  <c r="R50" i="20"/>
  <c r="Z50" i="20"/>
  <c r="S50" i="20"/>
  <c r="T50" i="20"/>
  <c r="AB50" i="20" s="1"/>
  <c r="U50" i="20"/>
  <c r="AC50" i="20" s="1"/>
  <c r="W50" i="20"/>
  <c r="X50" i="20"/>
  <c r="AF50" i="20" s="1"/>
  <c r="Y50" i="20"/>
  <c r="R51" i="20"/>
  <c r="Z51" i="20"/>
  <c r="S51" i="20"/>
  <c r="T51" i="20"/>
  <c r="U51" i="20"/>
  <c r="AC51" i="20" s="1"/>
  <c r="W51" i="20"/>
  <c r="X51" i="20"/>
  <c r="AF51" i="20" s="1"/>
  <c r="Y51" i="20"/>
  <c r="R52" i="20"/>
  <c r="Z52" i="20"/>
  <c r="S52" i="20"/>
  <c r="T52" i="20"/>
  <c r="U52" i="20"/>
  <c r="V52" i="20"/>
  <c r="W52" i="20"/>
  <c r="X52" i="20"/>
  <c r="AF52" i="20" s="1"/>
  <c r="Y52" i="20"/>
  <c r="R53" i="20"/>
  <c r="S53" i="20"/>
  <c r="T53" i="20"/>
  <c r="AB53" i="20" s="1"/>
  <c r="U53" i="20"/>
  <c r="AC53" i="20" s="1"/>
  <c r="V53" i="20"/>
  <c r="W53" i="20"/>
  <c r="X53" i="20"/>
  <c r="AF53" i="20" s="1"/>
  <c r="Y53" i="20"/>
  <c r="R54" i="20"/>
  <c r="Z54" i="20"/>
  <c r="S54" i="20"/>
  <c r="T54" i="20"/>
  <c r="U54" i="20"/>
  <c r="AC54" i="20" s="1"/>
  <c r="V54" i="20"/>
  <c r="W54" i="20"/>
  <c r="X54" i="20"/>
  <c r="AF54" i="20" s="1"/>
  <c r="Y54" i="20"/>
  <c r="R55" i="20"/>
  <c r="Z55" i="20"/>
  <c r="S55" i="20"/>
  <c r="T55" i="20"/>
  <c r="U55" i="20"/>
  <c r="AC55" i="20" s="1"/>
  <c r="V55" i="20"/>
  <c r="W55" i="20"/>
  <c r="X55" i="20"/>
  <c r="AF55" i="20" s="1"/>
  <c r="Y55" i="20"/>
  <c r="R56" i="20"/>
  <c r="Z56" i="20"/>
  <c r="S56" i="20"/>
  <c r="T56" i="20"/>
  <c r="U56" i="20"/>
  <c r="AC56" i="20" s="1"/>
  <c r="V56" i="20"/>
  <c r="W56" i="20"/>
  <c r="X56" i="20"/>
  <c r="AF56" i="20" s="1"/>
  <c r="Y56" i="20"/>
  <c r="R57" i="20"/>
  <c r="Z57" i="20"/>
  <c r="S57" i="20"/>
  <c r="T57" i="20"/>
  <c r="U57" i="20"/>
  <c r="V57" i="20"/>
  <c r="W57" i="20"/>
  <c r="X57" i="20"/>
  <c r="AF57" i="20" s="1"/>
  <c r="Y57" i="20"/>
  <c r="R58" i="20"/>
  <c r="S58" i="20"/>
  <c r="T58" i="20"/>
  <c r="U58" i="20"/>
  <c r="AC58" i="20" s="1"/>
  <c r="V58" i="20"/>
  <c r="W58" i="20"/>
  <c r="X58" i="20"/>
  <c r="AF58" i="20" s="1"/>
  <c r="Y58" i="20"/>
  <c r="R59" i="20"/>
  <c r="Z59" i="20"/>
  <c r="S59" i="20"/>
  <c r="T59" i="20"/>
  <c r="U59" i="20"/>
  <c r="V59" i="20"/>
  <c r="W59" i="20"/>
  <c r="X59" i="20"/>
  <c r="AF59" i="20" s="1"/>
  <c r="Y59" i="20"/>
  <c r="R60" i="20"/>
  <c r="Z60" i="20"/>
  <c r="S60" i="20"/>
  <c r="T60" i="20"/>
  <c r="U60" i="20"/>
  <c r="AC60" i="20" s="1"/>
  <c r="V60" i="20"/>
  <c r="W60" i="20"/>
  <c r="X60" i="20"/>
  <c r="AF60" i="20" s="1"/>
  <c r="Y60" i="20"/>
  <c r="R61" i="20"/>
  <c r="Z61" i="20"/>
  <c r="S61" i="20"/>
  <c r="T61" i="20"/>
  <c r="U61" i="20"/>
  <c r="AC61" i="20" s="1"/>
  <c r="V61" i="20"/>
  <c r="W61" i="20"/>
  <c r="X61" i="20"/>
  <c r="AF61" i="20" s="1"/>
  <c r="Y61" i="20"/>
  <c r="R62" i="20"/>
  <c r="S62" i="20"/>
  <c r="T62" i="20"/>
  <c r="U62" i="20"/>
  <c r="AC62" i="20" s="1"/>
  <c r="V62" i="20"/>
  <c r="W62" i="20"/>
  <c r="X62" i="20"/>
  <c r="AF62" i="20" s="1"/>
  <c r="Y62" i="20"/>
  <c r="R63" i="20"/>
  <c r="S63" i="20"/>
  <c r="T63" i="20"/>
  <c r="U63" i="20"/>
  <c r="AC63" i="20" s="1"/>
  <c r="V63" i="20"/>
  <c r="W63" i="20"/>
  <c r="X63" i="20"/>
  <c r="AF63" i="20" s="1"/>
  <c r="Y63" i="20"/>
  <c r="R64" i="20"/>
  <c r="Z64" i="20"/>
  <c r="S64" i="20"/>
  <c r="T64" i="20"/>
  <c r="U64" i="20"/>
  <c r="AC64" i="20" s="1"/>
  <c r="V64" i="20"/>
  <c r="W64" i="20"/>
  <c r="X64" i="20"/>
  <c r="AF64" i="20" s="1"/>
  <c r="Y64" i="20"/>
  <c r="R65" i="20"/>
  <c r="S65" i="20"/>
  <c r="T65" i="20"/>
  <c r="U65" i="20"/>
  <c r="AC65" i="20" s="1"/>
  <c r="V65" i="20"/>
  <c r="W65" i="20"/>
  <c r="X65" i="20"/>
  <c r="AF65" i="20" s="1"/>
  <c r="Y65" i="20"/>
  <c r="R66" i="20"/>
  <c r="S66" i="20"/>
  <c r="T66" i="20"/>
  <c r="U66" i="20"/>
  <c r="AC66" i="20" s="1"/>
  <c r="V66" i="20"/>
  <c r="W66" i="20"/>
  <c r="X66" i="20"/>
  <c r="AF66" i="20" s="1"/>
  <c r="Y66" i="20"/>
  <c r="R67" i="20"/>
  <c r="Z67" i="20"/>
  <c r="S67" i="20"/>
  <c r="T67" i="20"/>
  <c r="U67" i="20"/>
  <c r="V67" i="20"/>
  <c r="W67" i="20"/>
  <c r="X67" i="20"/>
  <c r="AF67" i="20" s="1"/>
  <c r="Y67" i="20"/>
  <c r="R68" i="20"/>
  <c r="S68" i="20"/>
  <c r="T68" i="20"/>
  <c r="U68" i="20"/>
  <c r="AC68" i="20" s="1"/>
  <c r="V68" i="20"/>
  <c r="W68" i="20"/>
  <c r="X68" i="20"/>
  <c r="AF68" i="20" s="1"/>
  <c r="Y68" i="20"/>
  <c r="R69" i="20"/>
  <c r="S69" i="20"/>
  <c r="T69" i="20"/>
  <c r="U69" i="20"/>
  <c r="AC69" i="20" s="1"/>
  <c r="V69" i="20"/>
  <c r="W69" i="20"/>
  <c r="X69" i="20"/>
  <c r="AF69" i="20" s="1"/>
  <c r="Y69" i="20"/>
  <c r="R70" i="20"/>
  <c r="Z70" i="20"/>
  <c r="S70" i="20"/>
  <c r="T70" i="20"/>
  <c r="U70" i="20"/>
  <c r="AC70" i="20" s="1"/>
  <c r="V70" i="20"/>
  <c r="W70" i="20"/>
  <c r="X70" i="20"/>
  <c r="AF70" i="20" s="1"/>
  <c r="Y70" i="20"/>
  <c r="R71" i="20"/>
  <c r="Z71" i="20"/>
  <c r="S71" i="20"/>
  <c r="T71" i="20"/>
  <c r="U71" i="20"/>
  <c r="V71" i="20"/>
  <c r="W71" i="20"/>
  <c r="X71" i="20"/>
  <c r="AF71" i="20" s="1"/>
  <c r="Y71" i="20"/>
  <c r="R72" i="20"/>
  <c r="Z72" i="20"/>
  <c r="S72" i="20"/>
  <c r="T72" i="20"/>
  <c r="U72" i="20"/>
  <c r="AC72" i="20" s="1"/>
  <c r="V72" i="20"/>
  <c r="W72" i="20"/>
  <c r="X72" i="20"/>
  <c r="AF72" i="20" s="1"/>
  <c r="Y72" i="20"/>
  <c r="R73" i="20"/>
  <c r="Z73" i="20"/>
  <c r="S73" i="20"/>
  <c r="T73" i="20"/>
  <c r="U73" i="20"/>
  <c r="AC73" i="20" s="1"/>
  <c r="V73" i="20"/>
  <c r="W73" i="20"/>
  <c r="X73" i="20"/>
  <c r="AF73" i="20" s="1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C23" i="3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/>
  <c r="G24" i="3"/>
  <c r="G23" i="3"/>
  <c r="G25" i="3"/>
</calcChain>
</file>

<file path=xl/sharedStrings.xml><?xml version="1.0" encoding="utf-8"?>
<sst xmlns="http://schemas.openxmlformats.org/spreadsheetml/2006/main" count="15846" uniqueCount="2840">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</sst>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G1" sqref="G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528</v>
      </c>
      <c r="E1" t="str">
        <f>A1</f>
        <v>Goalkeeper</v>
      </c>
    </row>
    <row r="2" spans="1:8" x14ac:dyDescent="0.25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5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5">
      <c r="A4" t="s">
        <v>535</v>
      </c>
      <c r="E4" t="str">
        <f t="shared" si="0"/>
        <v>Defender</v>
      </c>
    </row>
    <row r="5" spans="1:8" x14ac:dyDescent="0.25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5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5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5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5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5">
      <c r="A10" t="s">
        <v>554</v>
      </c>
      <c r="E10" t="str">
        <f t="shared" si="0"/>
        <v>Midfielder</v>
      </c>
    </row>
    <row r="11" spans="1:8" x14ac:dyDescent="0.25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5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5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5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5">
      <c r="A15" t="s">
        <v>569</v>
      </c>
      <c r="E15" t="str">
        <f t="shared" si="0"/>
        <v>Forward</v>
      </c>
    </row>
    <row r="16" spans="1:8" x14ac:dyDescent="0.25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5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5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5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5">
      <c r="A20" t="s">
        <v>528</v>
      </c>
      <c r="E20" t="str">
        <f t="shared" si="0"/>
        <v>Goalkeeper</v>
      </c>
    </row>
    <row r="21" spans="1:8" x14ac:dyDescent="0.25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5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5">
      <c r="A23" t="s">
        <v>535</v>
      </c>
      <c r="E23" t="str">
        <f t="shared" si="0"/>
        <v>Defender</v>
      </c>
    </row>
    <row r="24" spans="1:8" x14ac:dyDescent="0.25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5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5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5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554</v>
      </c>
      <c r="E28" t="str">
        <f t="shared" si="0"/>
        <v>Midfielder</v>
      </c>
    </row>
    <row r="29" spans="1:8" x14ac:dyDescent="0.25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5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5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5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5">
      <c r="A33" t="s">
        <v>569</v>
      </c>
      <c r="E33" t="str">
        <f t="shared" si="0"/>
        <v>Forward</v>
      </c>
    </row>
    <row r="34" spans="1:8" x14ac:dyDescent="0.25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5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5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5">
      <c r="A38" t="s">
        <v>528</v>
      </c>
      <c r="E38" t="str">
        <f t="shared" si="0"/>
        <v>Goalkeeper</v>
      </c>
    </row>
    <row r="39" spans="1:8" x14ac:dyDescent="0.25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5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5">
      <c r="A41" t="s">
        <v>535</v>
      </c>
      <c r="E41" t="str">
        <f t="shared" si="0"/>
        <v>Defender</v>
      </c>
    </row>
    <row r="42" spans="1:8" x14ac:dyDescent="0.25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5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5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5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5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5">
      <c r="A47" t="s">
        <v>554</v>
      </c>
      <c r="E47" t="str">
        <f t="shared" si="0"/>
        <v>Midfielder</v>
      </c>
    </row>
    <row r="48" spans="1:8" x14ac:dyDescent="0.25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5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5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5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5">
      <c r="A52" t="s">
        <v>569</v>
      </c>
      <c r="E52" t="str">
        <f t="shared" si="0"/>
        <v>Forward</v>
      </c>
    </row>
    <row r="53" spans="1:8" x14ac:dyDescent="0.25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5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5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5">
      <c r="A56" t="s">
        <v>528</v>
      </c>
      <c r="E56" t="str">
        <f t="shared" si="0"/>
        <v>Goalkeeper</v>
      </c>
    </row>
    <row r="57" spans="1:8" x14ac:dyDescent="0.25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5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5">
      <c r="A59" t="s">
        <v>535</v>
      </c>
      <c r="E59" t="str">
        <f t="shared" si="0"/>
        <v>Defender</v>
      </c>
    </row>
    <row r="60" spans="1:8" x14ac:dyDescent="0.25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5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5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5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5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5">
      <c r="A65" t="s">
        <v>554</v>
      </c>
      <c r="E65" t="str">
        <f t="shared" si="0"/>
        <v>Midfielder</v>
      </c>
    </row>
    <row r="66" spans="1:8" x14ac:dyDescent="0.25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5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5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5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5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5">
      <c r="A71" t="s">
        <v>569</v>
      </c>
      <c r="E71" t="str">
        <f t="shared" si="1"/>
        <v>Forward</v>
      </c>
    </row>
    <row r="72" spans="1:8" x14ac:dyDescent="0.25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5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5">
      <c r="A74" t="s">
        <v>528</v>
      </c>
      <c r="E74" t="str">
        <f t="shared" si="1"/>
        <v>Goalkeeper</v>
      </c>
    </row>
    <row r="75" spans="1:8" x14ac:dyDescent="0.25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5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5">
      <c r="A77" t="s">
        <v>535</v>
      </c>
      <c r="E77" t="str">
        <f t="shared" si="1"/>
        <v>Defender</v>
      </c>
    </row>
    <row r="78" spans="1:8" x14ac:dyDescent="0.25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5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5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5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5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5">
      <c r="A83" t="s">
        <v>554</v>
      </c>
      <c r="E83" t="str">
        <f t="shared" si="1"/>
        <v>Midfielder</v>
      </c>
    </row>
    <row r="84" spans="1:8" x14ac:dyDescent="0.25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5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5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5">
      <c r="A87" t="s">
        <v>569</v>
      </c>
      <c r="E87" t="str">
        <f t="shared" si="1"/>
        <v>Forward</v>
      </c>
    </row>
    <row r="88" spans="1:8" x14ac:dyDescent="0.25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5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5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5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5">
      <c r="A92" t="s">
        <v>528</v>
      </c>
      <c r="E92" t="str">
        <f t="shared" si="1"/>
        <v>Goalkeeper</v>
      </c>
    </row>
    <row r="93" spans="1:8" x14ac:dyDescent="0.25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5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5">
      <c r="A95" t="s">
        <v>535</v>
      </c>
      <c r="E95" t="str">
        <f t="shared" si="1"/>
        <v>Defender</v>
      </c>
    </row>
    <row r="96" spans="1:8" x14ac:dyDescent="0.25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5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5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5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5">
      <c r="A100" t="s">
        <v>554</v>
      </c>
      <c r="E100" t="str">
        <f t="shared" si="1"/>
        <v>Midfielder</v>
      </c>
    </row>
    <row r="101" spans="1:8" x14ac:dyDescent="0.25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5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5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5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5">
      <c r="A105" t="s">
        <v>569</v>
      </c>
      <c r="E105" t="str">
        <f t="shared" si="1"/>
        <v>Forward</v>
      </c>
    </row>
    <row r="106" spans="1:8" x14ac:dyDescent="0.25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5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5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5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5">
      <c r="A110" t="s">
        <v>528</v>
      </c>
      <c r="E110" t="str">
        <f t="shared" si="1"/>
        <v>Goalkeeper</v>
      </c>
    </row>
    <row r="111" spans="1:8" x14ac:dyDescent="0.25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5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5">
      <c r="A113" t="s">
        <v>535</v>
      </c>
      <c r="E113" t="str">
        <f t="shared" si="1"/>
        <v>Defender</v>
      </c>
    </row>
    <row r="114" spans="1:8" x14ac:dyDescent="0.25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5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5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5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5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5">
      <c r="A119" t="s">
        <v>554</v>
      </c>
      <c r="E119" t="str">
        <f t="shared" si="1"/>
        <v>Midfielder</v>
      </c>
    </row>
    <row r="120" spans="1:8" x14ac:dyDescent="0.25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5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5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5">
      <c r="A123" t="s">
        <v>569</v>
      </c>
      <c r="E123" t="str">
        <f t="shared" si="1"/>
        <v>Forward</v>
      </c>
    </row>
    <row r="124" spans="1:8" x14ac:dyDescent="0.25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5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5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5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5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5">
      <c r="A129" t="s">
        <v>528</v>
      </c>
      <c r="E129" t="str">
        <f t="shared" si="1"/>
        <v>Goalkeeper</v>
      </c>
    </row>
    <row r="130" spans="1:8" x14ac:dyDescent="0.25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5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535</v>
      </c>
      <c r="E132" t="str">
        <f t="shared" si="2"/>
        <v>Defender</v>
      </c>
    </row>
    <row r="133" spans="1:8" x14ac:dyDescent="0.25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5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5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5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5">
      <c r="A137" t="s">
        <v>554</v>
      </c>
      <c r="E137" t="str">
        <f t="shared" si="2"/>
        <v>Midfielder</v>
      </c>
    </row>
    <row r="138" spans="1:8" x14ac:dyDescent="0.25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5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5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5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5">
      <c r="A142" t="s">
        <v>569</v>
      </c>
      <c r="E142" t="str">
        <f t="shared" si="2"/>
        <v>Forward</v>
      </c>
    </row>
    <row r="143" spans="1:8" x14ac:dyDescent="0.25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5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5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5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5">
      <c r="A147" t="s">
        <v>528</v>
      </c>
      <c r="E147" t="str">
        <f t="shared" si="2"/>
        <v>Goalkeeper</v>
      </c>
    </row>
    <row r="148" spans="1:8" x14ac:dyDescent="0.25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5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5">
      <c r="A150" t="s">
        <v>535</v>
      </c>
      <c r="E150" t="str">
        <f t="shared" si="2"/>
        <v>Defender</v>
      </c>
    </row>
    <row r="151" spans="1:8" x14ac:dyDescent="0.25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5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5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5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5">
      <c r="A155" t="s">
        <v>554</v>
      </c>
      <c r="E155" t="str">
        <f t="shared" si="2"/>
        <v>Midfielder</v>
      </c>
    </row>
    <row r="156" spans="1:8" x14ac:dyDescent="0.25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5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5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5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5">
      <c r="A160" t="s">
        <v>569</v>
      </c>
      <c r="E160" t="str">
        <f t="shared" si="2"/>
        <v>Forward</v>
      </c>
    </row>
    <row r="161" spans="1:8" x14ac:dyDescent="0.25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5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5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5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5">
      <c r="A165" t="s">
        <v>528</v>
      </c>
      <c r="E165" t="str">
        <f t="shared" si="2"/>
        <v>Goalkeeper</v>
      </c>
    </row>
    <row r="166" spans="1:8" x14ac:dyDescent="0.25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5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5">
      <c r="A168" t="s">
        <v>535</v>
      </c>
      <c r="E168" t="str">
        <f t="shared" si="2"/>
        <v>Defender</v>
      </c>
    </row>
    <row r="169" spans="1:8" x14ac:dyDescent="0.25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5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5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5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5">
      <c r="A173" t="s">
        <v>554</v>
      </c>
      <c r="E173" t="str">
        <f t="shared" si="2"/>
        <v>Midfielder</v>
      </c>
    </row>
    <row r="174" spans="1:8" x14ac:dyDescent="0.25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5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5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5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5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5">
      <c r="A179" t="s">
        <v>569</v>
      </c>
      <c r="E179" t="str">
        <f t="shared" si="2"/>
        <v>Forward</v>
      </c>
    </row>
    <row r="180" spans="1:8" x14ac:dyDescent="0.25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5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5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5">
      <c r="A183" t="s">
        <v>528</v>
      </c>
      <c r="E183" t="str">
        <f t="shared" si="2"/>
        <v>Goalkeeper</v>
      </c>
    </row>
    <row r="184" spans="1:8" x14ac:dyDescent="0.25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5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5">
      <c r="A186" t="s">
        <v>535</v>
      </c>
      <c r="E186" t="str">
        <f t="shared" si="2"/>
        <v>Defender</v>
      </c>
    </row>
    <row r="187" spans="1:8" x14ac:dyDescent="0.25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5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5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5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5">
      <c r="A191" t="s">
        <v>554</v>
      </c>
      <c r="E191" t="str">
        <f t="shared" si="2"/>
        <v>Midfielder</v>
      </c>
    </row>
    <row r="192" spans="1:8" x14ac:dyDescent="0.25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5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5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5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5">
      <c r="A196" t="s">
        <v>569</v>
      </c>
      <c r="E196" t="str">
        <f t="shared" si="3"/>
        <v>Forward</v>
      </c>
    </row>
    <row r="197" spans="1:8" x14ac:dyDescent="0.25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5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5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5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5">
      <c r="A201" t="s">
        <v>528</v>
      </c>
      <c r="E201" t="str">
        <f t="shared" si="3"/>
        <v>Goalkeeper</v>
      </c>
    </row>
    <row r="202" spans="1:8" x14ac:dyDescent="0.25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5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5">
      <c r="A204" t="s">
        <v>535</v>
      </c>
      <c r="E204" t="str">
        <f t="shared" si="3"/>
        <v>Defender</v>
      </c>
    </row>
    <row r="205" spans="1:8" x14ac:dyDescent="0.25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5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5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5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5">
      <c r="A209" t="s">
        <v>554</v>
      </c>
      <c r="E209" t="str">
        <f t="shared" si="3"/>
        <v>Midfielder</v>
      </c>
    </row>
    <row r="210" spans="1:8" x14ac:dyDescent="0.25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5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5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5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5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5">
      <c r="A215" t="s">
        <v>569</v>
      </c>
      <c r="E215" t="str">
        <f t="shared" si="3"/>
        <v>Forward</v>
      </c>
    </row>
    <row r="216" spans="1:8" x14ac:dyDescent="0.25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5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5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5">
      <c r="A219" t="s">
        <v>528</v>
      </c>
      <c r="E219" t="str">
        <f t="shared" si="3"/>
        <v>Goalkeeper</v>
      </c>
    </row>
    <row r="220" spans="1:8" x14ac:dyDescent="0.25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5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5">
      <c r="A222" t="s">
        <v>535</v>
      </c>
      <c r="E222" t="str">
        <f t="shared" si="3"/>
        <v>Defender</v>
      </c>
    </row>
    <row r="223" spans="1:8" x14ac:dyDescent="0.25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5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5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5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5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5">
      <c r="A228" t="s">
        <v>554</v>
      </c>
      <c r="E228" t="str">
        <f t="shared" si="3"/>
        <v>Midfielder</v>
      </c>
    </row>
    <row r="229" spans="1:8" x14ac:dyDescent="0.25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5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5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5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5">
      <c r="A233" t="s">
        <v>569</v>
      </c>
      <c r="E233" t="str">
        <f t="shared" si="3"/>
        <v>Forward</v>
      </c>
    </row>
    <row r="234" spans="1:8" x14ac:dyDescent="0.25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5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5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5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5">
      <c r="A238" t="s">
        <v>528</v>
      </c>
      <c r="E238" t="str">
        <f t="shared" si="3"/>
        <v>Goalkeeper</v>
      </c>
    </row>
    <row r="239" spans="1:8" x14ac:dyDescent="0.25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5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5">
      <c r="A241" t="s">
        <v>535</v>
      </c>
      <c r="E241" t="str">
        <f t="shared" si="3"/>
        <v>Defender</v>
      </c>
    </row>
    <row r="242" spans="1:8" x14ac:dyDescent="0.25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5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5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5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5">
      <c r="A246" t="s">
        <v>554</v>
      </c>
      <c r="E246" t="str">
        <f t="shared" si="3"/>
        <v>Midfielder</v>
      </c>
    </row>
    <row r="247" spans="1:8" x14ac:dyDescent="0.25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5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5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5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5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5">
      <c r="A252" t="s">
        <v>569</v>
      </c>
      <c r="E252" t="str">
        <f t="shared" si="3"/>
        <v>Forward</v>
      </c>
    </row>
    <row r="253" spans="1:8" x14ac:dyDescent="0.25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5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5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5">
      <c r="A256" t="s">
        <v>528</v>
      </c>
      <c r="E256" t="str">
        <f t="shared" si="3"/>
        <v>Goalkeeper</v>
      </c>
    </row>
    <row r="257" spans="1:8" x14ac:dyDescent="0.25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5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5">
      <c r="A259" t="s">
        <v>535</v>
      </c>
      <c r="E259" t="str">
        <f t="shared" ref="E259:E322" si="4">A259</f>
        <v>Defender</v>
      </c>
    </row>
    <row r="260" spans="1:8" x14ac:dyDescent="0.25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5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5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5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5">
      <c r="A264" t="s">
        <v>554</v>
      </c>
      <c r="E264" t="str">
        <f t="shared" si="4"/>
        <v>Midfielder</v>
      </c>
    </row>
    <row r="265" spans="1:8" x14ac:dyDescent="0.25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5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5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5">
      <c r="A268" t="s">
        <v>569</v>
      </c>
      <c r="E268" t="str">
        <f t="shared" si="4"/>
        <v>Forward</v>
      </c>
    </row>
    <row r="269" spans="1:8" x14ac:dyDescent="0.25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5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5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5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5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5">
      <c r="A274" t="s">
        <v>528</v>
      </c>
      <c r="E274" t="str">
        <f t="shared" si="4"/>
        <v>Goalkeeper</v>
      </c>
    </row>
    <row r="275" spans="1:8" x14ac:dyDescent="0.25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5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5">
      <c r="A277" t="s">
        <v>535</v>
      </c>
      <c r="E277" t="str">
        <f t="shared" si="4"/>
        <v>Defender</v>
      </c>
    </row>
    <row r="278" spans="1:8" x14ac:dyDescent="0.25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5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5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5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5">
      <c r="A282" t="s">
        <v>554</v>
      </c>
      <c r="E282" t="str">
        <f t="shared" si="4"/>
        <v>Midfielder</v>
      </c>
    </row>
    <row r="283" spans="1:8" x14ac:dyDescent="0.25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5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5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5">
      <c r="A286" t="s">
        <v>569</v>
      </c>
      <c r="E286" t="str">
        <f t="shared" si="4"/>
        <v>Forward</v>
      </c>
    </row>
    <row r="287" spans="1:8" x14ac:dyDescent="0.25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5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5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5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5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5">
      <c r="A292" t="s">
        <v>528</v>
      </c>
      <c r="E292" t="str">
        <f t="shared" si="4"/>
        <v>Goalkeeper</v>
      </c>
    </row>
    <row r="293" spans="1:8" x14ac:dyDescent="0.25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5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5">
      <c r="A295" t="s">
        <v>535</v>
      </c>
      <c r="E295" t="str">
        <f t="shared" si="4"/>
        <v>Defender</v>
      </c>
    </row>
    <row r="296" spans="1:8" x14ac:dyDescent="0.25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5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5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5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5">
      <c r="A300" t="s">
        <v>554</v>
      </c>
      <c r="E300" t="str">
        <f t="shared" si="4"/>
        <v>Midfielder</v>
      </c>
    </row>
    <row r="301" spans="1:8" x14ac:dyDescent="0.25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5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5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5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5">
      <c r="A305" t="s">
        <v>569</v>
      </c>
      <c r="E305" t="str">
        <f t="shared" si="4"/>
        <v>Forward</v>
      </c>
    </row>
    <row r="306" spans="1:8" x14ac:dyDescent="0.25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5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5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5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5">
      <c r="A310" t="s">
        <v>528</v>
      </c>
      <c r="E310" t="str">
        <f t="shared" si="4"/>
        <v>Goalkeeper</v>
      </c>
    </row>
    <row r="311" spans="1:8" x14ac:dyDescent="0.25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5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5">
      <c r="A313" t="s">
        <v>535</v>
      </c>
      <c r="E313" t="str">
        <f t="shared" si="4"/>
        <v>Defender</v>
      </c>
    </row>
    <row r="314" spans="1:8" x14ac:dyDescent="0.25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5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5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5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5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5">
      <c r="A319" t="s">
        <v>554</v>
      </c>
      <c r="E319" t="str">
        <f t="shared" si="4"/>
        <v>Midfielder</v>
      </c>
    </row>
    <row r="320" spans="1:8" x14ac:dyDescent="0.25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5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5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5">
      <c r="A323" t="s">
        <v>569</v>
      </c>
      <c r="E323" t="str">
        <f t="shared" ref="E323:E386" si="5">A323</f>
        <v>Forward</v>
      </c>
    </row>
    <row r="324" spans="1:8" x14ac:dyDescent="0.25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5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5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5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5">
      <c r="A328" t="s">
        <v>528</v>
      </c>
      <c r="E328" t="str">
        <f t="shared" si="5"/>
        <v>Goalkeeper</v>
      </c>
    </row>
    <row r="329" spans="1:8" x14ac:dyDescent="0.25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5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535</v>
      </c>
      <c r="E331" t="str">
        <f t="shared" si="5"/>
        <v>Defender</v>
      </c>
    </row>
    <row r="332" spans="1:8" x14ac:dyDescent="0.25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5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5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5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5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5">
      <c r="A337" t="s">
        <v>554</v>
      </c>
      <c r="E337" t="str">
        <f t="shared" si="5"/>
        <v>Midfielder</v>
      </c>
    </row>
    <row r="338" spans="1:8" x14ac:dyDescent="0.25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5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5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5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5">
      <c r="A342" t="s">
        <v>569</v>
      </c>
      <c r="E342" t="str">
        <f t="shared" si="5"/>
        <v>Forward</v>
      </c>
    </row>
    <row r="343" spans="1:8" x14ac:dyDescent="0.25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5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5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5">
      <c r="A346" t="s">
        <v>528</v>
      </c>
      <c r="E346" t="str">
        <f t="shared" si="5"/>
        <v>Goalkeeper</v>
      </c>
    </row>
    <row r="347" spans="1:8" x14ac:dyDescent="0.25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5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5">
      <c r="A349" t="s">
        <v>535</v>
      </c>
      <c r="E349" t="str">
        <f t="shared" si="5"/>
        <v>Defender</v>
      </c>
    </row>
    <row r="350" spans="1:8" x14ac:dyDescent="0.25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5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5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5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5">
      <c r="A354" t="s">
        <v>554</v>
      </c>
      <c r="E354" t="str">
        <f t="shared" si="5"/>
        <v>Midfielder</v>
      </c>
    </row>
    <row r="355" spans="1:8" x14ac:dyDescent="0.25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5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5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5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5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5">
      <c r="A360" t="s">
        <v>569</v>
      </c>
      <c r="E360" t="str">
        <f t="shared" si="5"/>
        <v>Forward</v>
      </c>
    </row>
    <row r="361" spans="1:8" x14ac:dyDescent="0.25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5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5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5">
      <c r="A364" t="s">
        <v>528</v>
      </c>
      <c r="E364" t="str">
        <f t="shared" si="5"/>
        <v>Goalkeeper</v>
      </c>
    </row>
    <row r="365" spans="1:8" x14ac:dyDescent="0.25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5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5">
      <c r="A367" t="s">
        <v>535</v>
      </c>
      <c r="E367" t="str">
        <f t="shared" si="5"/>
        <v>Defender</v>
      </c>
    </row>
    <row r="368" spans="1:8" x14ac:dyDescent="0.25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5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5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5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5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5">
      <c r="A373" t="s">
        <v>554</v>
      </c>
      <c r="E373" t="str">
        <f t="shared" si="5"/>
        <v>Midfielder</v>
      </c>
    </row>
    <row r="374" spans="1:8" x14ac:dyDescent="0.25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5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5">
      <c r="A376" t="s">
        <v>569</v>
      </c>
      <c r="E376" t="str">
        <f t="shared" si="5"/>
        <v>Forward</v>
      </c>
    </row>
    <row r="377" spans="1:8" x14ac:dyDescent="0.25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5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5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5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5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5">
      <c r="A382" t="s">
        <v>528</v>
      </c>
      <c r="E382" t="str">
        <f t="shared" si="5"/>
        <v>Goalkeeper</v>
      </c>
    </row>
    <row r="383" spans="1:8" x14ac:dyDescent="0.25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5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5">
      <c r="A385" t="s">
        <v>535</v>
      </c>
      <c r="E385" t="str">
        <f t="shared" si="5"/>
        <v>Defender</v>
      </c>
    </row>
    <row r="386" spans="1:8" x14ac:dyDescent="0.25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5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5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5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5">
      <c r="A390" t="s">
        <v>554</v>
      </c>
      <c r="E390" t="str">
        <f t="shared" si="6"/>
        <v>Midfielder</v>
      </c>
    </row>
    <row r="391" spans="1:8" x14ac:dyDescent="0.25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5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5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5">
      <c r="A394" t="s">
        <v>569</v>
      </c>
      <c r="E394" t="str">
        <f t="shared" si="6"/>
        <v>Forward</v>
      </c>
    </row>
    <row r="395" spans="1:8" x14ac:dyDescent="0.25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5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5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5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5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5">
      <c r="A400" t="s">
        <v>528</v>
      </c>
      <c r="E400" t="str">
        <f t="shared" si="6"/>
        <v>Goalkeeper</v>
      </c>
    </row>
    <row r="401" spans="1:8" x14ac:dyDescent="0.25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5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5">
      <c r="A403" t="s">
        <v>535</v>
      </c>
      <c r="E403" t="str">
        <f t="shared" si="6"/>
        <v>Defender</v>
      </c>
    </row>
    <row r="404" spans="1:8" x14ac:dyDescent="0.25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5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5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5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5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5">
      <c r="A409" t="s">
        <v>554</v>
      </c>
      <c r="E409" t="str">
        <f t="shared" si="6"/>
        <v>Midfielder</v>
      </c>
    </row>
    <row r="410" spans="1:8" x14ac:dyDescent="0.25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5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5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5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5">
      <c r="A414" t="s">
        <v>569</v>
      </c>
      <c r="E414" t="str">
        <f t="shared" si="6"/>
        <v>Forward</v>
      </c>
    </row>
    <row r="415" spans="1:8" x14ac:dyDescent="0.25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5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5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5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5">
      <c r="A419" t="s">
        <v>528</v>
      </c>
      <c r="E419" t="str">
        <f t="shared" si="6"/>
        <v>Goalkeeper</v>
      </c>
    </row>
    <row r="420" spans="1:8" x14ac:dyDescent="0.25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5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5">
      <c r="A422" t="s">
        <v>535</v>
      </c>
      <c r="E422" t="str">
        <f t="shared" si="6"/>
        <v>Defender</v>
      </c>
    </row>
    <row r="423" spans="1:8" x14ac:dyDescent="0.25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5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5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5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5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5">
      <c r="A428" t="s">
        <v>554</v>
      </c>
      <c r="E428" t="str">
        <f t="shared" si="6"/>
        <v>Midfielder</v>
      </c>
    </row>
    <row r="429" spans="1:8" x14ac:dyDescent="0.25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5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5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5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5">
      <c r="A433" t="s">
        <v>569</v>
      </c>
      <c r="E433" t="str">
        <f t="shared" si="6"/>
        <v>Forward</v>
      </c>
    </row>
    <row r="434" spans="1:8" x14ac:dyDescent="0.25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5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5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5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5">
      <c r="A438" t="s">
        <v>528</v>
      </c>
      <c r="E438" t="str">
        <f t="shared" si="6"/>
        <v>Goalkeeper</v>
      </c>
    </row>
    <row r="439" spans="1:8" x14ac:dyDescent="0.25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5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5">
      <c r="A441" t="s">
        <v>535</v>
      </c>
      <c r="E441" t="str">
        <f t="shared" si="6"/>
        <v>Defender</v>
      </c>
    </row>
    <row r="442" spans="1:8" x14ac:dyDescent="0.25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5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5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5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5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5">
      <c r="A447" t="s">
        <v>554</v>
      </c>
      <c r="E447" t="str">
        <f t="shared" si="6"/>
        <v>Midfielder</v>
      </c>
    </row>
    <row r="448" spans="1:8" x14ac:dyDescent="0.25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5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5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5">
      <c r="A451" t="s">
        <v>569</v>
      </c>
      <c r="E451" t="str">
        <f t="shared" ref="E451:E514" si="7">A451</f>
        <v>Forward</v>
      </c>
    </row>
    <row r="452" spans="1:8" x14ac:dyDescent="0.25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5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5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5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5">
      <c r="A456" t="s">
        <v>528</v>
      </c>
      <c r="E456" t="str">
        <f t="shared" si="7"/>
        <v>Goalkeeper</v>
      </c>
    </row>
    <row r="457" spans="1:8" x14ac:dyDescent="0.25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5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5">
      <c r="A459" t="s">
        <v>535</v>
      </c>
      <c r="E459" t="str">
        <f t="shared" si="7"/>
        <v>Defender</v>
      </c>
    </row>
    <row r="460" spans="1:8" x14ac:dyDescent="0.25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5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5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5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5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5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5">
      <c r="A466" t="s">
        <v>554</v>
      </c>
      <c r="E466" t="str">
        <f t="shared" si="7"/>
        <v>Midfielder</v>
      </c>
    </row>
    <row r="467" spans="1:8" x14ac:dyDescent="0.25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5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5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5">
      <c r="A470" t="s">
        <v>569</v>
      </c>
      <c r="E470" t="str">
        <f t="shared" si="7"/>
        <v>Forward</v>
      </c>
    </row>
    <row r="471" spans="1:8" x14ac:dyDescent="0.25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5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5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5">
      <c r="A474" t="s">
        <v>528</v>
      </c>
      <c r="E474" t="str">
        <f t="shared" si="7"/>
        <v>Goalkeeper</v>
      </c>
    </row>
    <row r="475" spans="1:8" x14ac:dyDescent="0.25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5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5">
      <c r="A477" t="s">
        <v>535</v>
      </c>
      <c r="E477" t="str">
        <f t="shared" si="7"/>
        <v>Defender</v>
      </c>
    </row>
    <row r="478" spans="1:8" x14ac:dyDescent="0.25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5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5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5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5">
      <c r="A482" t="s">
        <v>554</v>
      </c>
      <c r="E482" t="str">
        <f t="shared" si="7"/>
        <v>Midfielder</v>
      </c>
    </row>
    <row r="483" spans="1:8" x14ac:dyDescent="0.25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5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5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5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5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5">
      <c r="A488" t="s">
        <v>569</v>
      </c>
      <c r="E488" t="str">
        <f t="shared" si="7"/>
        <v>Forward</v>
      </c>
    </row>
    <row r="489" spans="1:8" x14ac:dyDescent="0.25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5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5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5">
      <c r="A492" t="s">
        <v>528</v>
      </c>
      <c r="E492" t="str">
        <f t="shared" si="7"/>
        <v>Goalkeeper</v>
      </c>
    </row>
    <row r="493" spans="1:8" x14ac:dyDescent="0.25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5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5">
      <c r="A495" t="s">
        <v>535</v>
      </c>
      <c r="E495" t="str">
        <f t="shared" si="7"/>
        <v>Defender</v>
      </c>
    </row>
    <row r="496" spans="1:8" x14ac:dyDescent="0.25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5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5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5">
      <c r="A499" t="s">
        <v>554</v>
      </c>
      <c r="E499" t="str">
        <f t="shared" si="7"/>
        <v>Midfielder</v>
      </c>
    </row>
    <row r="500" spans="1:8" x14ac:dyDescent="0.25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5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5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5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5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5">
      <c r="A505" t="s">
        <v>569</v>
      </c>
      <c r="E505" t="str">
        <f t="shared" si="7"/>
        <v>Forward</v>
      </c>
    </row>
    <row r="506" spans="1:8" x14ac:dyDescent="0.25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5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5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5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5">
      <c r="A510" t="s">
        <v>528</v>
      </c>
      <c r="E510" t="str">
        <f t="shared" si="7"/>
        <v>Goalkeeper</v>
      </c>
    </row>
    <row r="511" spans="1:8" x14ac:dyDescent="0.25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5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5">
      <c r="A513" t="s">
        <v>535</v>
      </c>
      <c r="E513" t="str">
        <f t="shared" si="7"/>
        <v>Defender</v>
      </c>
    </row>
    <row r="514" spans="1:8" x14ac:dyDescent="0.25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5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5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5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5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5">
      <c r="A519" t="s">
        <v>554</v>
      </c>
      <c r="E519" t="str">
        <f t="shared" si="8"/>
        <v>Midfielder</v>
      </c>
    </row>
    <row r="520" spans="1:8" x14ac:dyDescent="0.25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5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5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5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5">
      <c r="A524" t="s">
        <v>569</v>
      </c>
      <c r="E524" t="str">
        <f t="shared" si="8"/>
        <v>Forward</v>
      </c>
    </row>
    <row r="525" spans="1:8" x14ac:dyDescent="0.25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5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5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5">
      <c r="A528" t="s">
        <v>528</v>
      </c>
      <c r="E528" t="str">
        <f t="shared" si="8"/>
        <v>Goalkeeper</v>
      </c>
    </row>
    <row r="529" spans="1:8" x14ac:dyDescent="0.25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5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5">
      <c r="A531" t="s">
        <v>535</v>
      </c>
      <c r="E531" t="str">
        <f t="shared" si="8"/>
        <v>Defender</v>
      </c>
    </row>
    <row r="532" spans="1:8" x14ac:dyDescent="0.25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5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5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5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5">
      <c r="A536" t="s">
        <v>554</v>
      </c>
      <c r="E536" t="str">
        <f t="shared" si="8"/>
        <v>Midfielder</v>
      </c>
    </row>
    <row r="537" spans="1:8" x14ac:dyDescent="0.25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5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5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5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5">
      <c r="A541" t="s">
        <v>569</v>
      </c>
      <c r="E541" t="str">
        <f t="shared" si="8"/>
        <v>Forward</v>
      </c>
    </row>
    <row r="542" spans="1:8" x14ac:dyDescent="0.25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5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5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5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5">
      <c r="A546" t="s">
        <v>528</v>
      </c>
      <c r="E546" t="str">
        <f t="shared" si="8"/>
        <v>Goalkeeper</v>
      </c>
    </row>
    <row r="547" spans="1:8" x14ac:dyDescent="0.25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5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5">
      <c r="A549" t="s">
        <v>535</v>
      </c>
      <c r="E549" t="str">
        <f t="shared" si="8"/>
        <v>Defender</v>
      </c>
    </row>
    <row r="550" spans="1:8" x14ac:dyDescent="0.25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5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5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5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5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5">
      <c r="A555" t="s">
        <v>554</v>
      </c>
      <c r="E555" t="str">
        <f t="shared" si="8"/>
        <v>Midfielder</v>
      </c>
    </row>
    <row r="556" spans="1:8" x14ac:dyDescent="0.25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5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5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5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5">
      <c r="A560" t="s">
        <v>569</v>
      </c>
      <c r="E560" t="str">
        <f t="shared" si="8"/>
        <v>Forward</v>
      </c>
    </row>
    <row r="561" spans="1:8" x14ac:dyDescent="0.25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5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5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5">
      <c r="A564" t="s">
        <v>528</v>
      </c>
      <c r="E564" t="str">
        <f t="shared" si="8"/>
        <v>Goalkeeper</v>
      </c>
    </row>
    <row r="565" spans="1:8" x14ac:dyDescent="0.25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5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5">
      <c r="A567" t="s">
        <v>535</v>
      </c>
      <c r="E567" t="str">
        <f t="shared" si="8"/>
        <v>Defender</v>
      </c>
    </row>
    <row r="568" spans="1:8" x14ac:dyDescent="0.25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5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5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5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5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5">
      <c r="A573" t="s">
        <v>554</v>
      </c>
      <c r="E573" t="str">
        <f t="shared" si="8"/>
        <v>Midfielder</v>
      </c>
    </row>
    <row r="574" spans="1:8" x14ac:dyDescent="0.25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5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5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5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5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5">
      <c r="A579" t="s">
        <v>569</v>
      </c>
      <c r="E579" t="str">
        <f t="shared" ref="E579:E642" si="9">A579</f>
        <v>Forward</v>
      </c>
    </row>
    <row r="580" spans="1:8" x14ac:dyDescent="0.25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5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5">
      <c r="A582" t="s">
        <v>528</v>
      </c>
      <c r="E582" t="str">
        <f t="shared" si="9"/>
        <v>Goalkeeper</v>
      </c>
    </row>
    <row r="583" spans="1:8" x14ac:dyDescent="0.25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5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5">
      <c r="A585" t="s">
        <v>535</v>
      </c>
      <c r="E585" t="str">
        <f t="shared" si="9"/>
        <v>Defender</v>
      </c>
    </row>
    <row r="586" spans="1:8" x14ac:dyDescent="0.25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5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5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5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5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5">
      <c r="A591" t="s">
        <v>554</v>
      </c>
      <c r="E591" t="str">
        <f t="shared" si="9"/>
        <v>Midfielder</v>
      </c>
    </row>
    <row r="592" spans="1:8" x14ac:dyDescent="0.25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5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5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5">
      <c r="A595" t="s">
        <v>569</v>
      </c>
      <c r="E595" t="str">
        <f t="shared" si="9"/>
        <v>Forward</v>
      </c>
    </row>
    <row r="596" spans="1:8" x14ac:dyDescent="0.25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5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5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5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5">
      <c r="A600" t="s">
        <v>528</v>
      </c>
      <c r="E600" t="str">
        <f t="shared" si="9"/>
        <v>Goalkeeper</v>
      </c>
    </row>
    <row r="601" spans="1:8" x14ac:dyDescent="0.25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5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5">
      <c r="A603" t="s">
        <v>535</v>
      </c>
      <c r="E603" t="str">
        <f t="shared" si="9"/>
        <v>Defender</v>
      </c>
    </row>
    <row r="604" spans="1:8" x14ac:dyDescent="0.25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5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5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5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5">
      <c r="A608" t="s">
        <v>554</v>
      </c>
      <c r="E608" t="str">
        <f t="shared" si="9"/>
        <v>Midfielder</v>
      </c>
    </row>
    <row r="609" spans="1:8" x14ac:dyDescent="0.25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5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5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5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5">
      <c r="A613" t="s">
        <v>569</v>
      </c>
      <c r="E613" t="str">
        <f t="shared" si="9"/>
        <v>Forward</v>
      </c>
    </row>
    <row r="614" spans="1:8" x14ac:dyDescent="0.25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5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5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5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5">
      <c r="A618" t="s">
        <v>528</v>
      </c>
      <c r="E618" t="str">
        <f t="shared" si="9"/>
        <v>Goalkeeper</v>
      </c>
    </row>
    <row r="619" spans="1:8" x14ac:dyDescent="0.25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5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5">
      <c r="A621" t="s">
        <v>535</v>
      </c>
      <c r="E621" t="str">
        <f t="shared" si="9"/>
        <v>Defender</v>
      </c>
    </row>
    <row r="622" spans="1:8" x14ac:dyDescent="0.25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5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5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554</v>
      </c>
      <c r="E626" t="str">
        <f t="shared" si="9"/>
        <v>Midfielder</v>
      </c>
    </row>
    <row r="627" spans="1:8" x14ac:dyDescent="0.25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5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5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5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569</v>
      </c>
      <c r="E631" t="str">
        <f t="shared" si="9"/>
        <v>Forward</v>
      </c>
    </row>
    <row r="632" spans="1:8" x14ac:dyDescent="0.25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5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5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5">
      <c r="A636" t="s">
        <v>528</v>
      </c>
      <c r="E636" t="str">
        <f t="shared" si="9"/>
        <v>Goalkeeper</v>
      </c>
    </row>
    <row r="637" spans="1:8" x14ac:dyDescent="0.25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5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5">
      <c r="A639" t="s">
        <v>535</v>
      </c>
      <c r="E639" t="str">
        <f t="shared" si="9"/>
        <v>Defender</v>
      </c>
    </row>
    <row r="640" spans="1:8" x14ac:dyDescent="0.25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5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5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5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5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5">
      <c r="A645" t="s">
        <v>554</v>
      </c>
      <c r="E645" t="str">
        <f t="shared" si="10"/>
        <v>Midfielder</v>
      </c>
    </row>
    <row r="646" spans="1:8" x14ac:dyDescent="0.25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5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5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5">
      <c r="A649" t="s">
        <v>569</v>
      </c>
      <c r="E649" t="str">
        <f t="shared" si="10"/>
        <v>Forward</v>
      </c>
    </row>
    <row r="650" spans="1:8" x14ac:dyDescent="0.25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5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5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5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5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5">
      <c r="A655" t="s">
        <v>528</v>
      </c>
      <c r="E655" t="str">
        <f t="shared" si="10"/>
        <v>Goalkeeper</v>
      </c>
    </row>
    <row r="656" spans="1:8" x14ac:dyDescent="0.25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5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5">
      <c r="A658" t="s">
        <v>535</v>
      </c>
      <c r="E658" t="str">
        <f t="shared" si="10"/>
        <v>Defender</v>
      </c>
    </row>
    <row r="659" spans="1:8" x14ac:dyDescent="0.25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5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5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5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5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5">
      <c r="A664" t="s">
        <v>554</v>
      </c>
      <c r="E664" t="str">
        <f t="shared" si="10"/>
        <v>Midfielder</v>
      </c>
    </row>
    <row r="665" spans="1:8" x14ac:dyDescent="0.25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5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5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5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5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5">
      <c r="A670" t="s">
        <v>569</v>
      </c>
      <c r="E670" t="str">
        <f t="shared" si="10"/>
        <v>Forward</v>
      </c>
    </row>
    <row r="671" spans="1:8" x14ac:dyDescent="0.25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5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5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5">
      <c r="A674" t="s">
        <v>528</v>
      </c>
      <c r="E674" t="str">
        <f t="shared" si="10"/>
        <v>Goalkeeper</v>
      </c>
    </row>
    <row r="675" spans="1:8" x14ac:dyDescent="0.25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5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5">
      <c r="A677" t="s">
        <v>535</v>
      </c>
      <c r="E677" t="str">
        <f t="shared" si="10"/>
        <v>Defender</v>
      </c>
    </row>
    <row r="678" spans="1:8" x14ac:dyDescent="0.25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5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5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5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5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5">
      <c r="A683" t="s">
        <v>554</v>
      </c>
      <c r="E683" t="str">
        <f t="shared" si="10"/>
        <v>Midfielder</v>
      </c>
    </row>
    <row r="684" spans="1:8" x14ac:dyDescent="0.25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5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5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5">
      <c r="A687" t="s">
        <v>569</v>
      </c>
      <c r="E687" t="str">
        <f t="shared" si="10"/>
        <v>Forward</v>
      </c>
    </row>
    <row r="688" spans="1:8" x14ac:dyDescent="0.25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5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5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5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5">
      <c r="A692" t="s">
        <v>528</v>
      </c>
      <c r="E692" t="str">
        <f t="shared" si="10"/>
        <v>Goalkeeper</v>
      </c>
    </row>
    <row r="693" spans="1:8" x14ac:dyDescent="0.25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5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5">
      <c r="A695" t="s">
        <v>535</v>
      </c>
      <c r="E695" t="str">
        <f t="shared" si="10"/>
        <v>Defender</v>
      </c>
    </row>
    <row r="696" spans="1:8" x14ac:dyDescent="0.25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5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5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5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5">
      <c r="A700" t="s">
        <v>554</v>
      </c>
      <c r="E700" t="str">
        <f t="shared" si="10"/>
        <v>Midfielder</v>
      </c>
    </row>
    <row r="701" spans="1:8" x14ac:dyDescent="0.25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5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5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5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5">
      <c r="A705" t="s">
        <v>569</v>
      </c>
      <c r="E705" t="str">
        <f t="shared" si="10"/>
        <v>Forward</v>
      </c>
    </row>
    <row r="706" spans="1:8" x14ac:dyDescent="0.25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5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5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5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5">
      <c r="A710" t="s">
        <v>528</v>
      </c>
      <c r="E710" t="str">
        <f t="shared" si="11"/>
        <v>Goalkeeper</v>
      </c>
    </row>
    <row r="711" spans="1:8" x14ac:dyDescent="0.25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5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5">
      <c r="A713" t="s">
        <v>535</v>
      </c>
      <c r="E713" t="str">
        <f t="shared" si="11"/>
        <v>Defender</v>
      </c>
    </row>
    <row r="714" spans="1:8" x14ac:dyDescent="0.25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5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5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5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5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5">
      <c r="A719" t="s">
        <v>554</v>
      </c>
      <c r="E719" t="str">
        <f t="shared" si="11"/>
        <v>Midfielder</v>
      </c>
    </row>
    <row r="720" spans="1:8" x14ac:dyDescent="0.25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5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5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5">
      <c r="A723" t="s">
        <v>569</v>
      </c>
      <c r="E723" t="str">
        <f t="shared" si="11"/>
        <v>Forward</v>
      </c>
    </row>
    <row r="724" spans="1:8" x14ac:dyDescent="0.25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5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5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5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5">
      <c r="A728" t="s">
        <v>528</v>
      </c>
      <c r="E728" t="str">
        <f t="shared" si="11"/>
        <v>Goalkeeper</v>
      </c>
    </row>
    <row r="729" spans="1:8" x14ac:dyDescent="0.25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5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5">
      <c r="A731" t="s">
        <v>535</v>
      </c>
      <c r="E731" t="str">
        <f t="shared" si="11"/>
        <v>Defender</v>
      </c>
    </row>
    <row r="732" spans="1:8" x14ac:dyDescent="0.25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5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5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5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554</v>
      </c>
      <c r="E736" t="str">
        <f t="shared" si="11"/>
        <v>Midfielder</v>
      </c>
    </row>
    <row r="737" spans="1:8" x14ac:dyDescent="0.25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5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5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5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569</v>
      </c>
      <c r="E742" t="str">
        <f t="shared" si="11"/>
        <v>Forward</v>
      </c>
    </row>
    <row r="743" spans="1:8" x14ac:dyDescent="0.25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5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5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5">
      <c r="A746" t="s">
        <v>528</v>
      </c>
      <c r="E746" t="str">
        <f t="shared" si="11"/>
        <v>Goalkeeper</v>
      </c>
    </row>
    <row r="747" spans="1:8" x14ac:dyDescent="0.25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5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5">
      <c r="A749" t="s">
        <v>535</v>
      </c>
      <c r="E749" t="str">
        <f t="shared" si="11"/>
        <v>Defender</v>
      </c>
    </row>
    <row r="750" spans="1:8" x14ac:dyDescent="0.25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5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5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5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5">
      <c r="A754" t="s">
        <v>554</v>
      </c>
      <c r="E754" t="str">
        <f t="shared" si="11"/>
        <v>Midfielder</v>
      </c>
    </row>
    <row r="755" spans="1:8" x14ac:dyDescent="0.25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5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5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5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5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5">
      <c r="A760" t="s">
        <v>569</v>
      </c>
      <c r="E760" t="str">
        <f t="shared" si="11"/>
        <v>Forward</v>
      </c>
    </row>
    <row r="761" spans="1:8" x14ac:dyDescent="0.25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5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5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5">
      <c r="A764" t="s">
        <v>528</v>
      </c>
      <c r="E764" t="str">
        <f t="shared" si="11"/>
        <v>Goalkeeper</v>
      </c>
    </row>
    <row r="765" spans="1:8" x14ac:dyDescent="0.25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5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5">
      <c r="A767" t="s">
        <v>535</v>
      </c>
      <c r="E767" t="str">
        <f t="shared" si="11"/>
        <v>Defender</v>
      </c>
    </row>
    <row r="768" spans="1:8" x14ac:dyDescent="0.25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5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5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5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5">
      <c r="A772" t="s">
        <v>554</v>
      </c>
      <c r="E772" t="str">
        <f t="shared" si="12"/>
        <v>Midfielder</v>
      </c>
    </row>
    <row r="773" spans="1:8" x14ac:dyDescent="0.25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5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5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5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5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5">
      <c r="A778" t="s">
        <v>569</v>
      </c>
      <c r="E778" t="str">
        <f t="shared" si="12"/>
        <v>Forward</v>
      </c>
    </row>
    <row r="779" spans="1:8" x14ac:dyDescent="0.25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5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5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5">
      <c r="A782" t="s">
        <v>528</v>
      </c>
      <c r="E782" t="str">
        <f t="shared" si="12"/>
        <v>Goalkeeper</v>
      </c>
    </row>
    <row r="783" spans="1:8" x14ac:dyDescent="0.25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5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5">
      <c r="A785" t="s">
        <v>535</v>
      </c>
      <c r="E785" t="str">
        <f t="shared" si="12"/>
        <v>Defender</v>
      </c>
    </row>
    <row r="786" spans="1:8" x14ac:dyDescent="0.25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5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5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5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5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5">
      <c r="A791" t="s">
        <v>554</v>
      </c>
      <c r="E791" t="str">
        <f t="shared" si="12"/>
        <v>Midfielder</v>
      </c>
    </row>
    <row r="792" spans="1:8" x14ac:dyDescent="0.25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5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5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5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5">
      <c r="A796" t="s">
        <v>569</v>
      </c>
      <c r="E796" t="str">
        <f t="shared" si="12"/>
        <v>Forward</v>
      </c>
    </row>
    <row r="797" spans="1:8" x14ac:dyDescent="0.25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5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5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5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5">
      <c r="A801" t="s">
        <v>528</v>
      </c>
      <c r="E801" t="str">
        <f t="shared" si="12"/>
        <v>Goalkeeper</v>
      </c>
    </row>
    <row r="802" spans="1:8" x14ac:dyDescent="0.25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5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5">
      <c r="A804" t="s">
        <v>535</v>
      </c>
      <c r="E804" t="str">
        <f t="shared" si="12"/>
        <v>Defender</v>
      </c>
    </row>
    <row r="805" spans="1:8" x14ac:dyDescent="0.25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5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5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5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5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5">
      <c r="A810" t="s">
        <v>554</v>
      </c>
      <c r="E810" t="str">
        <f t="shared" si="12"/>
        <v>Midfielder</v>
      </c>
    </row>
    <row r="811" spans="1:8" x14ac:dyDescent="0.25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5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5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5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5">
      <c r="A815" t="s">
        <v>569</v>
      </c>
      <c r="E815" t="str">
        <f t="shared" si="12"/>
        <v>Forward</v>
      </c>
    </row>
    <row r="816" spans="1:8" x14ac:dyDescent="0.25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5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5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5">
      <c r="A819" t="s">
        <v>528</v>
      </c>
      <c r="E819" t="str">
        <f t="shared" si="12"/>
        <v>Goalkeeper</v>
      </c>
    </row>
    <row r="820" spans="1:8" x14ac:dyDescent="0.25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5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5">
      <c r="A822" t="s">
        <v>535</v>
      </c>
      <c r="E822" t="str">
        <f t="shared" si="12"/>
        <v>Defender</v>
      </c>
    </row>
    <row r="823" spans="1:8" x14ac:dyDescent="0.25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5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5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5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5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5">
      <c r="A828" t="s">
        <v>554</v>
      </c>
      <c r="E828" t="str">
        <f t="shared" si="12"/>
        <v>Midfielder</v>
      </c>
    </row>
    <row r="829" spans="1:8" x14ac:dyDescent="0.25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5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5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5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5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5">
      <c r="A834" t="s">
        <v>569</v>
      </c>
      <c r="E834" t="str">
        <f t="shared" si="12"/>
        <v>Forward</v>
      </c>
    </row>
    <row r="835" spans="1:8" x14ac:dyDescent="0.25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5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5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5">
      <c r="A838" t="s">
        <v>528</v>
      </c>
      <c r="E838" t="str">
        <f t="shared" si="13"/>
        <v>Goalkeeper</v>
      </c>
    </row>
    <row r="839" spans="1:8" x14ac:dyDescent="0.25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5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5">
      <c r="A841" t="s">
        <v>535</v>
      </c>
      <c r="E841" t="str">
        <f t="shared" si="13"/>
        <v>Defender</v>
      </c>
    </row>
    <row r="842" spans="1:8" x14ac:dyDescent="0.25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5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5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5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5">
      <c r="A846" t="s">
        <v>554</v>
      </c>
      <c r="E846" t="str">
        <f t="shared" si="13"/>
        <v>Midfielder</v>
      </c>
    </row>
    <row r="847" spans="1:8" x14ac:dyDescent="0.25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5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5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5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5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5">
      <c r="A852" t="s">
        <v>569</v>
      </c>
      <c r="E852" t="str">
        <f t="shared" si="13"/>
        <v>Forward</v>
      </c>
    </row>
    <row r="853" spans="1:8" x14ac:dyDescent="0.25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5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5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5">
      <c r="A856" t="s">
        <v>528</v>
      </c>
      <c r="E856" t="str">
        <f t="shared" si="13"/>
        <v>Goalkeeper</v>
      </c>
    </row>
    <row r="857" spans="1:8" x14ac:dyDescent="0.25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5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5">
      <c r="A859" t="s">
        <v>535</v>
      </c>
      <c r="E859" t="str">
        <f t="shared" si="13"/>
        <v>Defender</v>
      </c>
    </row>
    <row r="860" spans="1:8" x14ac:dyDescent="0.25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5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5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5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5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5">
      <c r="A865" t="s">
        <v>554</v>
      </c>
      <c r="E865" t="str">
        <f t="shared" si="13"/>
        <v>Midfielder</v>
      </c>
    </row>
    <row r="866" spans="1:8" x14ac:dyDescent="0.25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5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5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5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5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5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5">
      <c r="A872" t="s">
        <v>569</v>
      </c>
      <c r="E872" t="str">
        <f t="shared" si="13"/>
        <v>Forward</v>
      </c>
    </row>
    <row r="873" spans="1:8" x14ac:dyDescent="0.25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5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53" t="s">
        <v>264</v>
      </c>
      <c r="C2" s="54"/>
      <c r="D2" s="55"/>
      <c r="F2" s="53" t="s">
        <v>267</v>
      </c>
      <c r="G2" s="54"/>
      <c r="H2" s="55"/>
      <c r="J2" s="53" t="s">
        <v>270</v>
      </c>
      <c r="K2" s="54"/>
      <c r="L2" s="55"/>
      <c r="N2" s="53" t="s">
        <v>273</v>
      </c>
      <c r="O2" s="54"/>
      <c r="P2" s="55"/>
    </row>
    <row r="3" spans="2:16" ht="13.5" customHeight="1" thickBot="1" x14ac:dyDescent="0.3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 x14ac:dyDescent="0.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 x14ac:dyDescent="0.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3"/>
    <row r="27" spans="2:16" s="15" customFormat="1" ht="12.75" thickBot="1" x14ac:dyDescent="0.25">
      <c r="B27" s="50" t="s">
        <v>276</v>
      </c>
      <c r="C27" s="51"/>
      <c r="D27" s="52"/>
      <c r="E27" s="17"/>
      <c r="F27" s="50" t="s">
        <v>279</v>
      </c>
      <c r="G27" s="51"/>
      <c r="H27" s="52"/>
      <c r="I27" s="17"/>
      <c r="J27" s="50" t="s">
        <v>282</v>
      </c>
      <c r="K27" s="51"/>
      <c r="L27" s="52"/>
      <c r="M27" s="17"/>
      <c r="N27" s="50" t="s">
        <v>285</v>
      </c>
      <c r="O27" s="51"/>
      <c r="P27" s="52"/>
    </row>
    <row r="28" spans="2:16" ht="11.25" customHeight="1" thickBot="1" x14ac:dyDescent="0.3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5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5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5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5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7.140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2671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2673</v>
      </c>
      <c r="F4" s="31">
        <f>VLOOKUP($B4,PickedPlayers!D:Q,7,FALSE)</f>
        <v>0</v>
      </c>
      <c r="G4" s="30" t="str">
        <f>VLOOKUP($C4,Fixtures!A:I,3,FALSE)</f>
        <v>SCO</v>
      </c>
      <c r="H4" s="20" t="s">
        <v>2673</v>
      </c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2671</v>
      </c>
      <c r="F7" s="31">
        <f>VLOOKUP($B7,PickedPlayers!D:Q,7,FALSE)</f>
        <v>0</v>
      </c>
      <c r="G7" s="30" t="str">
        <f>VLOOKUP($C7,Fixtures!A:I,3,FALSE)</f>
        <v>SAU</v>
      </c>
      <c r="H7" s="20" t="s">
        <v>2674</v>
      </c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2673</v>
      </c>
      <c r="F8" s="31">
        <f>VLOOKUP($B8,PickedPlayers!D:Q,7,FALSE)</f>
        <v>0</v>
      </c>
      <c r="G8" s="30" t="str">
        <f>VLOOKUP($C8,Fixtures!A:I,3,FALSE)</f>
        <v>IVO</v>
      </c>
      <c r="H8" s="20" t="s">
        <v>2673</v>
      </c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2675</v>
      </c>
      <c r="F9" s="31">
        <f>VLOOKUP($B9,PickedPlayers!D:Q,7,FALSE)</f>
        <v>0</v>
      </c>
      <c r="G9" s="30" t="str">
        <f>VLOOKUP($C9,Fixtures!A:I,3,FALSE)</f>
        <v>GHA</v>
      </c>
      <c r="H9" s="20" t="s">
        <v>2675</v>
      </c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2673</v>
      </c>
      <c r="F3" s="31">
        <f>VLOOKUP($B3,PickedPlayers!D:Q,7,FALSE)</f>
        <v>0</v>
      </c>
      <c r="G3" s="30" t="str">
        <f>VLOOKUP($C3,Fixtures!A:I,3,FALSE)</f>
        <v>GHA</v>
      </c>
      <c r="H3" s="20" t="s">
        <v>2673</v>
      </c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2672</v>
      </c>
      <c r="F4" s="31">
        <f>VLOOKUP($B4,PickedPlayers!D:Q,7,FALSE)</f>
        <v>0</v>
      </c>
      <c r="G4" s="30" t="str">
        <f>VLOOKUP($C4,Fixtures!A:I,3,FALSE)</f>
        <v>TUN</v>
      </c>
      <c r="H4" s="20" t="s">
        <v>2672</v>
      </c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2679</v>
      </c>
      <c r="F6" s="31">
        <f>VLOOKUP($B6,PickedPlayers!D:Q,7,FALSE)</f>
        <v>0</v>
      </c>
      <c r="G6" s="30" t="str">
        <f>VLOOKUP($C6,Fixtures!A:I,3,FALSE)</f>
        <v>AUS</v>
      </c>
      <c r="H6" s="20" t="s">
        <v>2673</v>
      </c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2675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2673</v>
      </c>
      <c r="F9" s="31">
        <f>VLOOKUP($B9,PickedPlayers!D:Q,7,FALSE)</f>
        <v>0</v>
      </c>
      <c r="G9" s="30" t="str">
        <f>VLOOKUP($C9,Fixtures!A:I,3,FALSE)</f>
        <v>CON</v>
      </c>
      <c r="H9" s="20" t="s">
        <v>2673</v>
      </c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424</v>
      </c>
      <c r="C13" s="29" t="s">
        <v>2680</v>
      </c>
      <c r="D13" s="30" t="str">
        <f>VLOOKUP($C13,Fixtures!A:I,2,FALSE)</f>
        <v>AUS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2678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4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2673</v>
      </c>
      <c r="F3" s="31">
        <f>VLOOKUP($B3,PickedPlayers!D:Q,7,FALSE)</f>
        <v>0</v>
      </c>
      <c r="G3" s="30" t="str">
        <f>VLOOKUP($C3,Fixtures!A:I,3,FALSE)</f>
        <v>SAU</v>
      </c>
      <c r="H3" s="20" t="s">
        <v>2673</v>
      </c>
      <c r="I3" s="31">
        <f>VLOOKUP($B3,PickedPlayers!D:Q,8,FALSE)</f>
        <v>0</v>
      </c>
      <c r="J3" s="30" t="str">
        <f>VLOOKUP($C3,Fixtures!A:I,4,FALSE)</f>
        <v>URU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2672</v>
      </c>
      <c r="F4" s="31">
        <f>VLOOKUP($B4,PickedPlayers!D:Q,7,FALSE)</f>
        <v>0</v>
      </c>
      <c r="G4" s="30" t="str">
        <f>VLOOKUP($C4,Fixtures!A:I,3,FALSE)</f>
        <v>PAN</v>
      </c>
      <c r="H4" s="20" t="s">
        <v>2672</v>
      </c>
      <c r="I4" s="31">
        <f>VLOOKUP($B4,PickedPlayers!D:Q,8,FALSE)</f>
        <v>0</v>
      </c>
      <c r="J4" s="30" t="str">
        <f>VLOOKUP($C4,Fixtures!A:I,4,FALSE)</f>
        <v>GHA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2673</v>
      </c>
      <c r="F5" s="31">
        <f>VLOOKUP($B5,PickedPlayers!D:Q,7,FALSE)</f>
        <v>0</v>
      </c>
      <c r="G5" s="30" t="str">
        <f>VLOOKUP($C5,Fixtures!A:I,3,FALSE)</f>
        <v>SCO</v>
      </c>
      <c r="H5" s="20" t="s">
        <v>2673</v>
      </c>
      <c r="I5" s="31">
        <f>VLOOKUP($B5,PickedPlayers!D:Q,8,FALSE)</f>
        <v>0</v>
      </c>
      <c r="J5" s="30" t="str">
        <f>VLOOKUP($C5,Fixtures!A:I,4,FALSE)</f>
        <v>HAI</v>
      </c>
      <c r="K5" s="20" t="s">
        <v>2677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2673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2679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2673</v>
      </c>
      <c r="F9" s="31">
        <f>VLOOKUP($B9,PickedPlayers!D:Q,7,FALSE)</f>
        <v>0</v>
      </c>
      <c r="G9" s="30" t="str">
        <f>VLOOKUP($C9,Fixtures!A:I,3,FALSE)</f>
        <v>SWE</v>
      </c>
      <c r="H9" s="20" t="s">
        <v>2679</v>
      </c>
      <c r="I9" s="31">
        <f>VLOOKUP($B9,PickedPlayers!D:Q,8,FALSE)</f>
        <v>0</v>
      </c>
      <c r="J9" s="30" t="str">
        <f>VLOOKUP($C9,Fixtures!A:I,4,FALSE)</f>
        <v>TUN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2677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2675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2674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2679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430</v>
      </c>
      <c r="C17" s="29" t="s">
        <v>2681</v>
      </c>
      <c r="D17" s="30" t="str">
        <f>VLOOKUP($C17,Fixtures!A:I,2,FALSE)</f>
        <v>CZE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L9" sqref="L9"/>
    </sheetView>
  </sheetViews>
  <sheetFormatPr defaultColWidth="9.140625" defaultRowHeight="15" zeroHeight="1" x14ac:dyDescent="0.25"/>
  <cols>
    <col min="1" max="1" width="9.140625" style="75"/>
    <col min="2" max="2" width="14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2673</v>
      </c>
      <c r="F3" s="31">
        <f>VLOOKUP($B3,PickedPlayers!D:Q,7,FALSE)</f>
        <v>0</v>
      </c>
      <c r="G3" s="30" t="str">
        <f>VLOOKUP($C3,Fixtures!A:I,3,FALSE)</f>
        <v>HAI</v>
      </c>
      <c r="H3" s="20" t="s">
        <v>2673</v>
      </c>
      <c r="I3" s="31">
        <f>VLOOKUP($B3,PickedPlayers!D:Q,8,FALSE)</f>
        <v>0</v>
      </c>
      <c r="J3" s="30" t="str">
        <f>VLOOKUP($C3,Fixtures!A:I,4,FALSE)</f>
        <v>SCO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2672</v>
      </c>
      <c r="F4" s="31">
        <f>VLOOKUP($B4,PickedPlayers!D:Q,7,FALSE)</f>
        <v>0</v>
      </c>
      <c r="G4" s="30" t="str">
        <f>VLOOKUP($C4,Fixtures!A:I,3,FALSE)</f>
        <v>AUS</v>
      </c>
      <c r="H4" s="20" t="s">
        <v>2672</v>
      </c>
      <c r="I4" s="31">
        <f>VLOOKUP($B4,PickedPlayers!D:Q,8,FALSE)</f>
        <v>0</v>
      </c>
      <c r="J4" s="30" t="str">
        <f>VLOOKUP($C4,Fixtures!A:I,4,FALSE)</f>
        <v>TUR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2673</v>
      </c>
      <c r="F5" s="31">
        <f>VLOOKUP($B5,PickedPlayers!D:Q,7,FALSE)</f>
        <v>0</v>
      </c>
      <c r="G5" s="30" t="str">
        <f>VLOOKUP($C5,Fixtures!A:I,3,FALSE)</f>
        <v>GHA</v>
      </c>
      <c r="H5" s="20" t="s">
        <v>2673</v>
      </c>
      <c r="I5" s="31">
        <f>VLOOKUP($B5,PickedPlayers!D:Q,8,FALSE)</f>
        <v>0</v>
      </c>
      <c r="J5" s="30" t="str">
        <f>VLOOKUP($C5,Fixtures!A:I,4,FALSE)</f>
        <v>PAN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2676</v>
      </c>
      <c r="F6" s="31">
        <f>VLOOKUP($B6,PickedPlayers!D:Q,7,FALSE)</f>
        <v>0</v>
      </c>
      <c r="G6" s="30" t="str">
        <f>VLOOKUP($C6,Fixtures!A:I,3,FALSE)</f>
        <v>IVO</v>
      </c>
      <c r="H6" s="20" t="s">
        <v>2675</v>
      </c>
      <c r="I6" s="31">
        <f>VLOOKUP($B6,PickedPlayers!D:Q,8,FALSE)</f>
        <v>0</v>
      </c>
      <c r="J6" s="30" t="str">
        <f>VLOOKUP($C6,Fixtures!A:I,4,FALSE)</f>
        <v>ECU</v>
      </c>
      <c r="K6" s="20" t="s">
        <v>2675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2673</v>
      </c>
      <c r="F7" s="31">
        <f>VLOOKUP($B7,PickedPlayers!D:Q,7,FALSE)</f>
        <v>0</v>
      </c>
      <c r="G7" s="30" t="str">
        <f>VLOOKUP($C7,Fixtures!A:I,3,FALSE)</f>
        <v>HAI</v>
      </c>
      <c r="H7" s="20" t="s">
        <v>2677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2671</v>
      </c>
      <c r="F8" s="31">
        <f>VLOOKUP($B8,PickedPlayers!D:Q,7,FALSE)</f>
        <v>0</v>
      </c>
      <c r="G8" s="30" t="str">
        <f>VLOOKUP($C8,Fixtures!A:I,3,FALSE)</f>
        <v>UZB</v>
      </c>
      <c r="H8" s="20" t="s">
        <v>2673</v>
      </c>
      <c r="I8" s="31">
        <f>VLOOKUP($B8,PickedPlayers!D:Q,8,FALSE)</f>
        <v>0</v>
      </c>
      <c r="J8" s="30" t="str">
        <f>VLOOKUP($C8,Fixtures!A:I,4,FALSE)</f>
        <v>COL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464</v>
      </c>
      <c r="C9" s="29" t="s">
        <v>2681</v>
      </c>
      <c r="D9" s="30" t="str">
        <f>VLOOKUP($C9,Fixtures!A:I,2,FALSE)</f>
        <v>CZE</v>
      </c>
      <c r="E9" s="20" t="s">
        <v>2675</v>
      </c>
      <c r="F9" s="31">
        <f>VLOOKUP($B9,PickedPlayers!D:Q,7,FALSE)</f>
        <v>0</v>
      </c>
      <c r="G9" s="30" t="str">
        <f>VLOOKUP($C9,Fixtures!A:I,3,FALSE)</f>
        <v>MEX</v>
      </c>
      <c r="H9" s="20" t="s">
        <v>2674</v>
      </c>
      <c r="I9" s="31">
        <f>VLOOKUP($B9,PickedPlayers!D:Q,8,FALSE)</f>
        <v>0</v>
      </c>
      <c r="J9" s="30" t="str">
        <f>VLOOKUP($C9,Fixtures!A:I,4,FALSE)</f>
        <v>SOU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2678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2679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2679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idden="1" x14ac:dyDescent="0.25">
      <c r="D21" s="21"/>
      <c r="E21" s="21"/>
      <c r="F21" s="21"/>
    </row>
  </sheetData>
  <mergeCells count="18">
    <mergeCell ref="S19:U20"/>
    <mergeCell ref="V19:X20"/>
    <mergeCell ref="Y19:AA20"/>
    <mergeCell ref="S1:U1"/>
    <mergeCell ref="V1:X1"/>
    <mergeCell ref="Y1:AA1"/>
    <mergeCell ref="A19:C1048576"/>
    <mergeCell ref="A1:C1"/>
    <mergeCell ref="D19:F20"/>
    <mergeCell ref="G19:I20"/>
    <mergeCell ref="J19:L20"/>
    <mergeCell ref="M19:O20"/>
    <mergeCell ref="P19:R20"/>
    <mergeCell ref="D1:F1"/>
    <mergeCell ref="G1:I1"/>
    <mergeCell ref="J1:L1"/>
    <mergeCell ref="M1:O1"/>
    <mergeCell ref="P1:R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K3" sqref="K3"/>
    </sheetView>
  </sheetViews>
  <sheetFormatPr defaultColWidth="9.140625" defaultRowHeight="15" customHeight="1" zeroHeight="1" x14ac:dyDescent="0.25"/>
  <cols>
    <col min="1" max="1" width="9.140625" style="75"/>
    <col min="2" max="2" width="16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2673</v>
      </c>
      <c r="F3" s="31">
        <f>VLOOKUP($B3,PickedPlayers!D:Q,7,FALSE)</f>
        <v>0</v>
      </c>
      <c r="G3" s="30" t="str">
        <f>VLOOKUP($C3,Fixtures!A:I,3,FALSE)</f>
        <v>IRA</v>
      </c>
      <c r="H3" s="20" t="s">
        <v>2673</v>
      </c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2671</v>
      </c>
      <c r="F4" s="31">
        <f>VLOOKUP($B4,PickedPlayers!D:Q,7,FALSE)</f>
        <v>0</v>
      </c>
      <c r="G4" s="30" t="str">
        <f>VLOOKUP($C4,Fixtures!A:I,3,FALSE)</f>
        <v>SAU</v>
      </c>
      <c r="H4" s="20" t="s">
        <v>2672</v>
      </c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2673</v>
      </c>
      <c r="F5" s="31">
        <f>VLOOKUP($B5,PickedPlayers!D:Q,7,FALSE)</f>
        <v>0</v>
      </c>
      <c r="G5" s="30" t="str">
        <f>VLOOKUP($C5,Fixtures!A:I,3,FALSE)</f>
        <v>HAI</v>
      </c>
      <c r="H5" s="20" t="s">
        <v>2673</v>
      </c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2677</v>
      </c>
      <c r="F6" s="31">
        <f>VLOOKUP($B6,PickedPlayers!D:Q,7,FALSE)</f>
        <v>0</v>
      </c>
      <c r="G6" s="30" t="str">
        <f>VLOOKUP($C6,Fixtures!A:I,3,FALSE)</f>
        <v>GHA</v>
      </c>
      <c r="H6" s="20" t="s">
        <v>2674</v>
      </c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2671</v>
      </c>
      <c r="F7" s="31">
        <f>VLOOKUP($B7,PickedPlayers!D:Q,7,FALSE)</f>
        <v>0</v>
      </c>
      <c r="G7" s="30" t="str">
        <f>VLOOKUP($C7,Fixtures!A:I,3,FALSE)</f>
        <v>HAI</v>
      </c>
      <c r="H7" s="20" t="s">
        <v>2673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2673</v>
      </c>
      <c r="F8" s="31">
        <f>VLOOKUP($B8,PickedPlayers!D:Q,7,FALSE)</f>
        <v>0</v>
      </c>
      <c r="G8" s="30" t="str">
        <f>VLOOKUP($C8,Fixtures!A:I,3,FALSE)</f>
        <v>IRQ</v>
      </c>
      <c r="H8" s="20" t="s">
        <v>2673</v>
      </c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2671</v>
      </c>
      <c r="F9" s="31">
        <f>VLOOKUP($B9,PickedPlayers!D:Q,7,FALSE)</f>
        <v>0</v>
      </c>
      <c r="G9" s="30" t="str">
        <f>VLOOKUP($C9,Fixtures!A:I,3,FALSE)</f>
        <v>QAT</v>
      </c>
      <c r="H9" s="20" t="s">
        <v>2673</v>
      </c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2679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 x14ac:dyDescent="0.25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2682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2672</v>
      </c>
      <c r="F3" s="31">
        <f>VLOOKUP($B3,PickedPlayers!D:Q,7,FALSE)</f>
        <v>0</v>
      </c>
      <c r="G3" s="30" t="str">
        <f>VLOOKUP($C3,Fixtures!A:I,3,FALSE)</f>
        <v>IRQ</v>
      </c>
      <c r="H3" s="20" t="s">
        <v>2673</v>
      </c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2673</v>
      </c>
      <c r="F4" s="31">
        <f>VLOOKUP($B4,PickedPlayers!D:Q,7,FALSE)</f>
        <v>0</v>
      </c>
      <c r="G4" s="30" t="str">
        <f>VLOOKUP($C4,Fixtures!A:I,3,FALSE)</f>
        <v>UZB</v>
      </c>
      <c r="H4" s="20" t="s">
        <v>2672</v>
      </c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2673</v>
      </c>
      <c r="F5" s="31">
        <f>VLOOKUP($B5,PickedPlayers!D:Q,7,FALSE)</f>
        <v>0</v>
      </c>
      <c r="G5" s="30" t="str">
        <f>VLOOKUP($C5,Fixtures!A:I,3,FALSE)</f>
        <v>SAU</v>
      </c>
      <c r="H5" s="20" t="s">
        <v>2673</v>
      </c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2671</v>
      </c>
      <c r="F6" s="31">
        <f>VLOOKUP($B6,PickedPlayers!D:Q,7,FALSE)</f>
        <v>0</v>
      </c>
      <c r="G6" s="30" t="str">
        <f>VLOOKUP($C6,Fixtures!A:I,3,FALSE)</f>
        <v>AUT</v>
      </c>
      <c r="H6" s="20" t="s">
        <v>2675</v>
      </c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2673</v>
      </c>
      <c r="F7" s="31">
        <f>VLOOKUP($B7,PickedPlayers!D:Q,7,FALSE)</f>
        <v>0</v>
      </c>
      <c r="G7" s="30" t="str">
        <f>VLOOKUP($C7,Fixtures!A:I,3,FALSE)</f>
        <v>IVO</v>
      </c>
      <c r="H7" s="20" t="s">
        <v>2679</v>
      </c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2675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2673</v>
      </c>
      <c r="F9" s="31">
        <f>VLOOKUP($B9,PickedPlayers!D:Q,7,FALSE)</f>
        <v>0</v>
      </c>
      <c r="G9" s="30" t="str">
        <f>VLOOKUP($C9,Fixtures!A:I,3,FALSE)</f>
        <v>HAI</v>
      </c>
      <c r="H9" s="20" t="s">
        <v>2673</v>
      </c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2677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2678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2673</v>
      </c>
      <c r="F3" s="31">
        <f>VLOOKUP($B3,PickedPlayers!D:Q,7,FALSE)</f>
        <v>0</v>
      </c>
      <c r="G3" s="30" t="str">
        <f>VLOOKUP($C3,Fixtures!A:I,3,FALSE)</f>
        <v>AUT</v>
      </c>
      <c r="H3" s="20" t="s">
        <v>2673</v>
      </c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2672</v>
      </c>
      <c r="F4" s="31">
        <f>VLOOKUP($B4,PickedPlayers!D:Q,7,FALSE)</f>
        <v>0</v>
      </c>
      <c r="G4" s="30" t="str">
        <f>VLOOKUP($C4,Fixtures!A:I,3,FALSE)</f>
        <v>BOS</v>
      </c>
      <c r="H4" s="20" t="s">
        <v>2672</v>
      </c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2673</v>
      </c>
      <c r="F5" s="31">
        <f>VLOOKUP($B5,PickedPlayers!D:Q,7,FALSE)</f>
        <v>0</v>
      </c>
      <c r="G5" s="30" t="str">
        <f>VLOOKUP($C5,Fixtures!A:I,3,FALSE)</f>
        <v>SWE</v>
      </c>
      <c r="H5" s="20" t="s">
        <v>2675</v>
      </c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2671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2673</v>
      </c>
      <c r="F7" s="31">
        <f>VLOOKUP($B7,PickedPlayers!D:Q,7,FALSE)</f>
        <v>0</v>
      </c>
      <c r="G7" s="30" t="str">
        <f>VLOOKUP($C7,Fixtures!A:I,3,FALSE)</f>
        <v>IRA</v>
      </c>
      <c r="H7" s="20" t="s">
        <v>2673</v>
      </c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2675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2677</v>
      </c>
      <c r="F9" s="31">
        <f>VLOOKUP($B9,PickedPlayers!D:Q,7,FALSE)</f>
        <v>0</v>
      </c>
      <c r="G9" s="30" t="str">
        <f>VLOOKUP($C9,Fixtures!A:I,3,FALSE)</f>
        <v>IVO</v>
      </c>
      <c r="H9" s="20" t="s">
        <v>2673</v>
      </c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524</v>
      </c>
      <c r="C13" s="29" t="s">
        <v>2683</v>
      </c>
      <c r="D13" s="30" t="str">
        <f>VLOOKUP($C13,Fixtures!A:I,2,FALSE)</f>
        <v>ECU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2678</v>
      </c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2677</v>
      </c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.57031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2673</v>
      </c>
      <c r="F3" s="31">
        <f>VLOOKUP($B3,PickedPlayers!D:Q,7,FALSE)</f>
        <v>0</v>
      </c>
      <c r="G3" s="30" t="str">
        <f>VLOOKUP($C3,Fixtures!A:I,3,FALSE)</f>
        <v>IVO</v>
      </c>
      <c r="H3" s="20" t="s">
        <v>2673</v>
      </c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2672</v>
      </c>
      <c r="F4" s="31">
        <f>VLOOKUP($B4,PickedPlayers!D:Q,7,FALSE)</f>
        <v>0</v>
      </c>
      <c r="G4" s="30" t="str">
        <f>VLOOKUP($C4,Fixtures!A:I,3,FALSE)</f>
        <v>SWE</v>
      </c>
      <c r="H4" s="20" t="s">
        <v>2672</v>
      </c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2673</v>
      </c>
      <c r="F7" s="31">
        <f>VLOOKUP($B7,PickedPlayers!D:Q,7,FALSE)</f>
        <v>0</v>
      </c>
      <c r="G7" s="30" t="str">
        <f>VLOOKUP($C7,Fixtures!A:I,3,FALSE)</f>
        <v>SWE</v>
      </c>
      <c r="H7" s="20" t="s">
        <v>2673</v>
      </c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2679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2673</v>
      </c>
      <c r="F9" s="31">
        <f>VLOOKUP($B9,PickedPlayers!D:Q,7,FALSE)</f>
        <v>0</v>
      </c>
      <c r="G9" s="30" t="str">
        <f>VLOOKUP($C9,Fixtures!A:I,3,FALSE)</f>
        <v>SAU</v>
      </c>
      <c r="H9" s="20" t="s">
        <v>2673</v>
      </c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2674</v>
      </c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2674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2675</v>
      </c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47" activePane="bottomLeft" state="frozen"/>
      <selection activeCell="C1" sqref="C1"/>
      <selection pane="bottomLeft" activeCell="K53" sqref="K53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2685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2686</v>
      </c>
      <c r="AA1" s="4" t="s">
        <v>2687</v>
      </c>
      <c r="AB1" s="4" t="s">
        <v>2688</v>
      </c>
      <c r="AC1" s="4" t="s">
        <v>2689</v>
      </c>
      <c r="AD1" s="4" t="s">
        <v>2690</v>
      </c>
      <c r="AE1" s="4" t="s">
        <v>2691</v>
      </c>
      <c r="AF1" s="4" t="s">
        <v>2692</v>
      </c>
      <c r="AG1" s="4" t="s">
        <v>2693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2694</v>
      </c>
      <c r="I2" s="39" t="s">
        <v>2695</v>
      </c>
      <c r="J2" s="39" t="s">
        <v>2696</v>
      </c>
      <c r="K2" s="39" t="s">
        <v>2694</v>
      </c>
      <c r="L2" s="39" t="s">
        <v>2696</v>
      </c>
      <c r="M2" s="39" t="s">
        <v>2694</v>
      </c>
      <c r="N2" s="39" t="s">
        <v>2694</v>
      </c>
      <c r="O2" s="39" t="s">
        <v>2694</v>
      </c>
      <c r="P2" s="39" t="s">
        <v>2697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2698</v>
      </c>
      <c r="C3" s="36">
        <v>46185</v>
      </c>
      <c r="D3" s="37">
        <v>0.125</v>
      </c>
      <c r="E3" s="19" t="s">
        <v>2681</v>
      </c>
      <c r="F3" s="19" t="s">
        <v>138</v>
      </c>
      <c r="G3" s="19" t="s">
        <v>209</v>
      </c>
      <c r="H3" s="38" t="s">
        <v>2695</v>
      </c>
      <c r="I3" s="39" t="s">
        <v>2695</v>
      </c>
      <c r="J3" s="39" t="s">
        <v>2694</v>
      </c>
      <c r="K3" s="39" t="s">
        <v>2697</v>
      </c>
      <c r="L3" s="39" t="s">
        <v>2697</v>
      </c>
      <c r="M3" s="39" t="s">
        <v>2699</v>
      </c>
      <c r="N3" s="39" t="s">
        <v>2699</v>
      </c>
      <c r="O3" s="39" t="s">
        <v>2699</v>
      </c>
      <c r="P3" s="39" t="s">
        <v>2699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2700</v>
      </c>
      <c r="C4" s="36">
        <v>46185</v>
      </c>
      <c r="D4" s="37">
        <v>0.83333333333333337</v>
      </c>
      <c r="E4" s="19" t="s">
        <v>155</v>
      </c>
      <c r="F4" s="19" t="s">
        <v>2701</v>
      </c>
      <c r="G4" s="19" t="s">
        <v>209</v>
      </c>
      <c r="H4" s="38" t="s">
        <v>2699</v>
      </c>
      <c r="I4" s="39" t="s">
        <v>2699</v>
      </c>
      <c r="J4" s="39" t="s">
        <v>2702</v>
      </c>
      <c r="K4" s="39" t="s">
        <v>2695</v>
      </c>
      <c r="L4" s="39" t="s">
        <v>2695</v>
      </c>
      <c r="M4" s="39" t="s">
        <v>2697</v>
      </c>
      <c r="N4" s="39" t="s">
        <v>2695</v>
      </c>
      <c r="O4" s="39" t="s">
        <v>2695</v>
      </c>
      <c r="P4" s="39" t="s">
        <v>2697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2703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2704</v>
      </c>
      <c r="I5" s="39" t="s">
        <v>2695</v>
      </c>
      <c r="J5" s="39" t="s">
        <v>2705</v>
      </c>
      <c r="K5" s="39" t="s">
        <v>2695</v>
      </c>
      <c r="L5" s="39" t="s">
        <v>2694</v>
      </c>
      <c r="M5" s="39" t="s">
        <v>2699</v>
      </c>
      <c r="N5" s="39" t="s">
        <v>2695</v>
      </c>
      <c r="O5" s="39" t="s">
        <v>2695</v>
      </c>
      <c r="P5" s="39" t="s">
        <v>2697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2699</v>
      </c>
      <c r="I6" s="39" t="s">
        <v>2706</v>
      </c>
      <c r="J6" s="39" t="s">
        <v>2707</v>
      </c>
      <c r="K6" s="39" t="s">
        <v>2707</v>
      </c>
      <c r="L6" s="39" t="s">
        <v>2708</v>
      </c>
      <c r="M6" s="39" t="s">
        <v>2709</v>
      </c>
      <c r="N6" s="39" t="s">
        <v>2706</v>
      </c>
      <c r="O6" s="39" t="s">
        <v>2706</v>
      </c>
      <c r="P6" s="39" t="s">
        <v>2706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2699</v>
      </c>
      <c r="I7" s="39" t="s">
        <v>2694</v>
      </c>
      <c r="J7" s="39" t="s">
        <v>2704</v>
      </c>
      <c r="K7" s="39" t="s">
        <v>2695</v>
      </c>
      <c r="L7" s="39" t="s">
        <v>2696</v>
      </c>
      <c r="M7" s="39" t="s">
        <v>2697</v>
      </c>
      <c r="N7" s="39" t="s">
        <v>2695</v>
      </c>
      <c r="O7" s="39" t="s">
        <v>2694</v>
      </c>
      <c r="P7" s="39" t="s">
        <v>2697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2702</v>
      </c>
      <c r="I8" s="39" t="s">
        <v>2709</v>
      </c>
      <c r="J8" s="39" t="s">
        <v>2710</v>
      </c>
      <c r="K8" s="39" t="s">
        <v>2707</v>
      </c>
      <c r="L8" s="39" t="s">
        <v>2707</v>
      </c>
      <c r="M8" s="39" t="s">
        <v>2706</v>
      </c>
      <c r="N8" s="39" t="s">
        <v>2706</v>
      </c>
      <c r="O8" s="39" t="s">
        <v>2706</v>
      </c>
      <c r="P8" s="39" t="s">
        <v>2702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2711</v>
      </c>
      <c r="C9" s="36">
        <v>46187</v>
      </c>
      <c r="D9" s="37">
        <v>0.20833333333333334</v>
      </c>
      <c r="E9" s="19" t="s">
        <v>111</v>
      </c>
      <c r="F9" s="19" t="s">
        <v>2680</v>
      </c>
      <c r="G9" s="19" t="s">
        <v>209</v>
      </c>
      <c r="H9" s="38" t="s">
        <v>2694</v>
      </c>
      <c r="I9" s="39" t="s">
        <v>2709</v>
      </c>
      <c r="J9" s="39" t="s">
        <v>2706</v>
      </c>
      <c r="K9" s="39" t="s">
        <v>2699</v>
      </c>
      <c r="L9" s="39" t="s">
        <v>2712</v>
      </c>
      <c r="M9" s="39" t="s">
        <v>2702</v>
      </c>
      <c r="N9" s="39" t="s">
        <v>2709</v>
      </c>
      <c r="O9" s="39" t="s">
        <v>2709</v>
      </c>
      <c r="P9" s="39" t="s">
        <v>2702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2713</v>
      </c>
      <c r="C10" s="36">
        <v>46187</v>
      </c>
      <c r="D10" s="37">
        <v>0.75</v>
      </c>
      <c r="E10" s="19" t="s">
        <v>131</v>
      </c>
      <c r="F10" s="19" t="s">
        <v>2714</v>
      </c>
      <c r="G10" s="19" t="s">
        <v>209</v>
      </c>
      <c r="H10" s="38" t="s">
        <v>2715</v>
      </c>
      <c r="I10" s="39" t="s">
        <v>2716</v>
      </c>
      <c r="J10" s="39" t="s">
        <v>2717</v>
      </c>
      <c r="K10" s="39" t="s">
        <v>2718</v>
      </c>
      <c r="L10" s="39" t="s">
        <v>2718</v>
      </c>
      <c r="M10" s="39" t="s">
        <v>2719</v>
      </c>
      <c r="N10" s="39" t="s">
        <v>2718</v>
      </c>
      <c r="O10" s="39" t="s">
        <v>2720</v>
      </c>
      <c r="P10" s="39" t="s">
        <v>2720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2712</v>
      </c>
      <c r="I11" s="39" t="s">
        <v>2695</v>
      </c>
      <c r="J11" s="39" t="s">
        <v>2702</v>
      </c>
      <c r="K11" s="39" t="s">
        <v>2699</v>
      </c>
      <c r="L11" s="39" t="s">
        <v>2712</v>
      </c>
      <c r="M11" s="39" t="s">
        <v>2712</v>
      </c>
      <c r="N11" s="39" t="s">
        <v>2695</v>
      </c>
      <c r="O11" s="39" t="s">
        <v>2697</v>
      </c>
      <c r="P11" s="39" t="s">
        <v>2699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234</v>
      </c>
      <c r="B12" s="19" t="s">
        <v>2721</v>
      </c>
      <c r="C12" s="36">
        <v>46187</v>
      </c>
      <c r="D12" s="37">
        <v>0</v>
      </c>
      <c r="E12" s="19" t="s">
        <v>2683</v>
      </c>
      <c r="F12" s="19" t="s">
        <v>130</v>
      </c>
      <c r="G12" s="19" t="s">
        <v>209</v>
      </c>
      <c r="H12" s="38" t="s">
        <v>2697</v>
      </c>
      <c r="I12" s="39" t="s">
        <v>2699</v>
      </c>
      <c r="J12" s="39" t="s">
        <v>2708</v>
      </c>
      <c r="K12" s="39" t="s">
        <v>2709</v>
      </c>
      <c r="L12" s="39" t="s">
        <v>2695</v>
      </c>
      <c r="M12" s="39" t="s">
        <v>2695</v>
      </c>
      <c r="N12" s="39" t="s">
        <v>2709</v>
      </c>
      <c r="O12" s="39" t="s">
        <v>2699</v>
      </c>
      <c r="P12" s="39" t="s">
        <v>2722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2723</v>
      </c>
      <c r="I13" s="39" t="s">
        <v>2694</v>
      </c>
      <c r="J13" s="39" t="s">
        <v>2702</v>
      </c>
      <c r="K13" s="39" t="s">
        <v>2695</v>
      </c>
      <c r="L13" s="39" t="s">
        <v>2712</v>
      </c>
      <c r="M13" s="39" t="s">
        <v>2722</v>
      </c>
      <c r="N13" s="39" t="s">
        <v>2695</v>
      </c>
      <c r="O13" s="39" t="s">
        <v>2695</v>
      </c>
      <c r="P13" s="39" t="s">
        <v>2697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230</v>
      </c>
      <c r="B14" s="19" t="s">
        <v>2724</v>
      </c>
      <c r="C14" s="36">
        <v>46188</v>
      </c>
      <c r="D14" s="37">
        <v>0.70833333333333337</v>
      </c>
      <c r="E14" s="19" t="s">
        <v>99</v>
      </c>
      <c r="F14" s="19" t="s">
        <v>2725</v>
      </c>
      <c r="G14" s="19" t="s">
        <v>209</v>
      </c>
      <c r="H14" s="38" t="s">
        <v>2722</v>
      </c>
      <c r="I14" s="39" t="s">
        <v>2716</v>
      </c>
      <c r="J14" s="39" t="s">
        <v>2726</v>
      </c>
      <c r="K14" s="39" t="s">
        <v>2716</v>
      </c>
      <c r="L14" s="39" t="s">
        <v>2719</v>
      </c>
      <c r="M14" s="39" t="s">
        <v>2716</v>
      </c>
      <c r="N14" s="39" t="s">
        <v>2718</v>
      </c>
      <c r="O14" s="39" t="s">
        <v>2716</v>
      </c>
      <c r="P14" s="39" t="s">
        <v>2716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2699</v>
      </c>
      <c r="I15" s="39" t="s">
        <v>2694</v>
      </c>
      <c r="J15" s="39" t="s">
        <v>2694</v>
      </c>
      <c r="K15" s="39" t="s">
        <v>2695</v>
      </c>
      <c r="L15" s="39" t="s">
        <v>2695</v>
      </c>
      <c r="M15" s="39" t="s">
        <v>2694</v>
      </c>
      <c r="N15" s="39" t="s">
        <v>2695</v>
      </c>
      <c r="O15" s="39" t="s">
        <v>2695</v>
      </c>
      <c r="P15" s="39" t="s">
        <v>2697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2699</v>
      </c>
      <c r="I16" s="39" t="s">
        <v>2706</v>
      </c>
      <c r="J16" s="39" t="s">
        <v>2697</v>
      </c>
      <c r="K16" s="39" t="s">
        <v>2709</v>
      </c>
      <c r="L16" s="39" t="s">
        <v>2699</v>
      </c>
      <c r="M16" s="39" t="s">
        <v>2709</v>
      </c>
      <c r="N16" s="39" t="s">
        <v>2702</v>
      </c>
      <c r="O16" s="39" t="s">
        <v>2709</v>
      </c>
      <c r="P16" s="39" t="s">
        <v>2702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224</v>
      </c>
      <c r="B17" s="19" t="s">
        <v>2727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2712</v>
      </c>
      <c r="I17" s="39" t="s">
        <v>2697</v>
      </c>
      <c r="J17" s="39" t="s">
        <v>2722</v>
      </c>
      <c r="K17" s="39" t="s">
        <v>2694</v>
      </c>
      <c r="L17" s="39" t="s">
        <v>2694</v>
      </c>
      <c r="M17" s="39" t="s">
        <v>2702</v>
      </c>
      <c r="N17" s="39" t="s">
        <v>2695</v>
      </c>
      <c r="O17" s="39" t="s">
        <v>2695</v>
      </c>
      <c r="P17" s="39" t="s">
        <v>2697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2696</v>
      </c>
      <c r="I18" s="39" t="s">
        <v>2694</v>
      </c>
      <c r="J18" s="39" t="s">
        <v>2720</v>
      </c>
      <c r="K18" s="39" t="s">
        <v>2695</v>
      </c>
      <c r="L18" s="39" t="s">
        <v>2696</v>
      </c>
      <c r="M18" s="39" t="s">
        <v>2699</v>
      </c>
      <c r="N18" s="39" t="s">
        <v>2696</v>
      </c>
      <c r="O18" s="39" t="s">
        <v>2694</v>
      </c>
      <c r="P18" s="39" t="s">
        <v>2697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2728</v>
      </c>
      <c r="I19" s="39" t="s">
        <v>2709</v>
      </c>
      <c r="J19" s="39" t="s">
        <v>2729</v>
      </c>
      <c r="K19" s="39" t="s">
        <v>2707</v>
      </c>
      <c r="L19" s="39" t="s">
        <v>2729</v>
      </c>
      <c r="M19" s="39" t="s">
        <v>2729</v>
      </c>
      <c r="N19" s="39" t="s">
        <v>2707</v>
      </c>
      <c r="O19" s="39" t="s">
        <v>2706</v>
      </c>
      <c r="P19" s="39" t="s">
        <v>2709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2716</v>
      </c>
      <c r="I20" s="39" t="s">
        <v>2716</v>
      </c>
      <c r="J20" s="39" t="s">
        <v>2694</v>
      </c>
      <c r="K20" s="39" t="s">
        <v>2716</v>
      </c>
      <c r="L20" s="39" t="s">
        <v>2716</v>
      </c>
      <c r="M20" s="39" t="s">
        <v>2694</v>
      </c>
      <c r="N20" s="39" t="s">
        <v>2694</v>
      </c>
      <c r="O20" s="39" t="s">
        <v>2694</v>
      </c>
      <c r="P20" s="39" t="s">
        <v>2697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2696</v>
      </c>
      <c r="I21" s="39" t="s">
        <v>2694</v>
      </c>
      <c r="J21" s="39" t="s">
        <v>2697</v>
      </c>
      <c r="K21" s="39" t="s">
        <v>2694</v>
      </c>
      <c r="L21" s="39" t="s">
        <v>2694</v>
      </c>
      <c r="M21" s="39" t="s">
        <v>2694</v>
      </c>
      <c r="N21" s="39" t="s">
        <v>2694</v>
      </c>
      <c r="O21" s="39" t="s">
        <v>2694</v>
      </c>
      <c r="P21" s="39" t="s">
        <v>2697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2699</v>
      </c>
      <c r="I22" s="39" t="s">
        <v>2716</v>
      </c>
      <c r="J22" s="39" t="s">
        <v>2696</v>
      </c>
      <c r="K22" s="39" t="s">
        <v>2695</v>
      </c>
      <c r="L22" s="39" t="s">
        <v>2696</v>
      </c>
      <c r="M22" s="39" t="s">
        <v>2720</v>
      </c>
      <c r="N22" s="39" t="s">
        <v>2716</v>
      </c>
      <c r="O22" s="39" t="s">
        <v>2694</v>
      </c>
      <c r="P22" s="39" t="s">
        <v>2694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2705</v>
      </c>
      <c r="I23" s="39" t="s">
        <v>2695</v>
      </c>
      <c r="J23" s="39" t="s">
        <v>2694</v>
      </c>
      <c r="K23" s="39" t="s">
        <v>2695</v>
      </c>
      <c r="L23" s="39" t="s">
        <v>2696</v>
      </c>
      <c r="M23" s="39" t="s">
        <v>2694</v>
      </c>
      <c r="N23" s="39" t="s">
        <v>2694</v>
      </c>
      <c r="O23" s="39" t="s">
        <v>2695</v>
      </c>
      <c r="P23" s="39" t="s">
        <v>2697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2697</v>
      </c>
      <c r="I24" s="39" t="s">
        <v>2699</v>
      </c>
      <c r="J24" s="39" t="s">
        <v>2716</v>
      </c>
      <c r="K24" s="39" t="s">
        <v>2694</v>
      </c>
      <c r="L24" s="39" t="s">
        <v>2694</v>
      </c>
      <c r="M24" s="39" t="s">
        <v>2716</v>
      </c>
      <c r="N24" s="39" t="s">
        <v>2695</v>
      </c>
      <c r="O24" s="39" t="s">
        <v>2697</v>
      </c>
      <c r="P24" s="39" t="s">
        <v>2697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2708</v>
      </c>
      <c r="I25" s="39" t="s">
        <v>2709</v>
      </c>
      <c r="J25" s="39" t="s">
        <v>2729</v>
      </c>
      <c r="K25" s="39" t="s">
        <v>2706</v>
      </c>
      <c r="L25" s="39" t="s">
        <v>2709</v>
      </c>
      <c r="M25" s="39" t="s">
        <v>2706</v>
      </c>
      <c r="N25" s="39" t="s">
        <v>2706</v>
      </c>
      <c r="O25" s="39" t="s">
        <v>2702</v>
      </c>
      <c r="P25" s="39" t="s">
        <v>2702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2697</v>
      </c>
      <c r="J26" s="39" t="s">
        <v>2696</v>
      </c>
      <c r="K26" s="39" t="s">
        <v>2695</v>
      </c>
      <c r="L26" s="39" t="s">
        <v>2709</v>
      </c>
      <c r="M26" s="39" t="s">
        <v>2694</v>
      </c>
      <c r="N26" s="39" t="s">
        <v>2694</v>
      </c>
      <c r="O26" s="39" t="s">
        <v>2697</v>
      </c>
      <c r="P26" s="39" t="s">
        <v>2697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203</v>
      </c>
      <c r="B27" s="19" t="s">
        <v>2730</v>
      </c>
      <c r="C27" s="36">
        <v>46191</v>
      </c>
      <c r="D27" s="37">
        <v>0.83333333333333337</v>
      </c>
      <c r="E27" s="19" t="s">
        <v>154</v>
      </c>
      <c r="F27" s="19" t="s">
        <v>2701</v>
      </c>
      <c r="G27" s="19" t="s">
        <v>158</v>
      </c>
      <c r="H27" s="38"/>
      <c r="I27" s="39" t="s">
        <v>2699</v>
      </c>
      <c r="J27" s="39" t="s">
        <v>2709</v>
      </c>
      <c r="K27" s="39" t="s">
        <v>2695</v>
      </c>
      <c r="L27" s="39" t="s">
        <v>2716</v>
      </c>
      <c r="M27" s="39" t="s">
        <v>2697</v>
      </c>
      <c r="N27" s="39" t="s">
        <v>2695</v>
      </c>
      <c r="O27" s="39" t="s">
        <v>2695</v>
      </c>
      <c r="P27" s="39" t="s">
        <v>2697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2694</v>
      </c>
      <c r="J28" s="39" t="s">
        <v>2702</v>
      </c>
      <c r="K28" s="39" t="s">
        <v>2699</v>
      </c>
      <c r="L28" s="39" t="s">
        <v>2694</v>
      </c>
      <c r="M28" s="39" t="s">
        <v>2694</v>
      </c>
      <c r="N28" s="39" t="s">
        <v>2699</v>
      </c>
      <c r="O28" s="39" t="s">
        <v>2697</v>
      </c>
      <c r="P28" s="39" t="s">
        <v>2694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199</v>
      </c>
      <c r="B29" s="19" t="s">
        <v>2731</v>
      </c>
      <c r="C29" s="36">
        <v>46192</v>
      </c>
      <c r="D29" s="37">
        <v>8.3333333333333329E-2</v>
      </c>
      <c r="E29" s="19" t="s">
        <v>139</v>
      </c>
      <c r="F29" s="19" t="s">
        <v>2681</v>
      </c>
      <c r="G29" s="19" t="s">
        <v>158</v>
      </c>
      <c r="H29" s="38"/>
      <c r="I29" s="39" t="s">
        <v>2695</v>
      </c>
      <c r="J29" s="39" t="s">
        <v>2712</v>
      </c>
      <c r="K29" s="39" t="s">
        <v>2699</v>
      </c>
      <c r="L29" s="39" t="s">
        <v>2732</v>
      </c>
      <c r="M29" s="39" t="s">
        <v>2709</v>
      </c>
      <c r="N29" s="39" t="s">
        <v>2695</v>
      </c>
      <c r="O29" s="39" t="s">
        <v>2694</v>
      </c>
      <c r="P29" s="39" t="s">
        <v>2699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197</v>
      </c>
      <c r="B30" s="19" t="s">
        <v>2733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2695</v>
      </c>
      <c r="J30" s="39" t="s">
        <v>2696</v>
      </c>
      <c r="K30" s="39" t="s">
        <v>2694</v>
      </c>
      <c r="L30" s="39" t="s">
        <v>2716</v>
      </c>
      <c r="M30" s="39" t="s">
        <v>2694</v>
      </c>
      <c r="N30" s="39" t="s">
        <v>2695</v>
      </c>
      <c r="O30" s="39" t="s">
        <v>2695</v>
      </c>
      <c r="P30" s="39" t="s">
        <v>2697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2699</v>
      </c>
      <c r="J31" s="39" t="s">
        <v>2699</v>
      </c>
      <c r="K31" s="39" t="s">
        <v>2706</v>
      </c>
      <c r="L31" s="39" t="s">
        <v>2709</v>
      </c>
      <c r="M31" s="39" t="s">
        <v>2702</v>
      </c>
      <c r="N31" s="39" t="s">
        <v>2709</v>
      </c>
      <c r="O31" s="39" t="s">
        <v>2709</v>
      </c>
      <c r="P31" s="39" t="s">
        <v>2702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2720</v>
      </c>
      <c r="J32" s="39" t="s">
        <v>2719</v>
      </c>
      <c r="K32" s="39" t="s">
        <v>2718</v>
      </c>
      <c r="L32" s="39" t="s">
        <v>2718</v>
      </c>
      <c r="M32" s="39" t="s">
        <v>2719</v>
      </c>
      <c r="N32" s="39" t="s">
        <v>2720</v>
      </c>
      <c r="O32" s="39" t="s">
        <v>2716</v>
      </c>
      <c r="P32" s="39" t="s">
        <v>2716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190</v>
      </c>
      <c r="B33" s="19" t="s">
        <v>2734</v>
      </c>
      <c r="C33" s="36">
        <v>46193</v>
      </c>
      <c r="D33" s="37">
        <v>0.16666666666666666</v>
      </c>
      <c r="E33" s="19" t="s">
        <v>2680</v>
      </c>
      <c r="F33" s="19" t="s">
        <v>110</v>
      </c>
      <c r="G33" s="19" t="s">
        <v>158</v>
      </c>
      <c r="H33" s="38"/>
      <c r="I33" s="39" t="s">
        <v>2695</v>
      </c>
      <c r="J33" s="39" t="s">
        <v>2695</v>
      </c>
      <c r="K33" s="39" t="s">
        <v>2696</v>
      </c>
      <c r="L33" s="39" t="s">
        <v>2695</v>
      </c>
      <c r="M33" s="39" t="s">
        <v>2699</v>
      </c>
      <c r="N33" s="39" t="s">
        <v>2695</v>
      </c>
      <c r="O33" s="49"/>
      <c r="P33" s="39" t="s">
        <v>2699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2695</v>
      </c>
      <c r="J34" s="39" t="s">
        <v>2709</v>
      </c>
      <c r="K34" s="39" t="s">
        <v>2699</v>
      </c>
      <c r="L34" s="39" t="s">
        <v>2712</v>
      </c>
      <c r="M34" s="39" t="s">
        <v>2699</v>
      </c>
      <c r="N34" s="39" t="s">
        <v>2699</v>
      </c>
      <c r="O34" s="49"/>
      <c r="P34" s="39" t="s">
        <v>2699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186</v>
      </c>
      <c r="B35" s="19" t="s">
        <v>2735</v>
      </c>
      <c r="C35" s="36">
        <v>46193</v>
      </c>
      <c r="D35" s="37">
        <v>0.875</v>
      </c>
      <c r="E35" s="19" t="s">
        <v>131</v>
      </c>
      <c r="F35" s="19" t="s">
        <v>2683</v>
      </c>
      <c r="G35" s="19" t="s">
        <v>158</v>
      </c>
      <c r="H35" s="38"/>
      <c r="I35" s="39" t="s">
        <v>2694</v>
      </c>
      <c r="J35" s="39" t="s">
        <v>2723</v>
      </c>
      <c r="K35" s="39" t="s">
        <v>2696</v>
      </c>
      <c r="L35" s="39" t="s">
        <v>2696</v>
      </c>
      <c r="M35" s="39" t="s">
        <v>2716</v>
      </c>
      <c r="N35" s="39" t="s">
        <v>2695</v>
      </c>
      <c r="O35" s="39" t="s">
        <v>2694</v>
      </c>
      <c r="P35" s="39" t="s">
        <v>2697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184</v>
      </c>
      <c r="B36" s="19" t="s">
        <v>2736</v>
      </c>
      <c r="C36" s="36">
        <v>46194</v>
      </c>
      <c r="D36" s="37">
        <v>4.1666666666666664E-2</v>
      </c>
      <c r="E36" s="19" t="s">
        <v>130</v>
      </c>
      <c r="F36" s="19" t="s">
        <v>2714</v>
      </c>
      <c r="G36" s="19" t="s">
        <v>158</v>
      </c>
      <c r="H36" s="38"/>
      <c r="I36" s="39" t="s">
        <v>2694</v>
      </c>
      <c r="J36" s="39" t="s">
        <v>2716</v>
      </c>
      <c r="K36" s="39" t="s">
        <v>2716</v>
      </c>
      <c r="L36" s="39" t="s">
        <v>2704</v>
      </c>
      <c r="M36" s="39" t="s">
        <v>2694</v>
      </c>
      <c r="N36" s="39" t="s">
        <v>2716</v>
      </c>
      <c r="O36" s="39" t="s">
        <v>2716</v>
      </c>
      <c r="P36" s="39" t="s">
        <v>2694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2709</v>
      </c>
      <c r="J37" s="39" t="s">
        <v>2706</v>
      </c>
      <c r="K37" s="39" t="s">
        <v>2708</v>
      </c>
      <c r="L37" s="39" t="s">
        <v>2709</v>
      </c>
      <c r="M37" s="39" t="s">
        <v>2709</v>
      </c>
      <c r="N37" s="39" t="s">
        <v>2709</v>
      </c>
      <c r="O37" s="39" t="s">
        <v>2702</v>
      </c>
      <c r="P37" s="39" t="s">
        <v>2702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2716</v>
      </c>
      <c r="J38" s="39" t="s">
        <v>2704</v>
      </c>
      <c r="K38" s="39" t="s">
        <v>2716</v>
      </c>
      <c r="L38" s="39" t="s">
        <v>2716</v>
      </c>
      <c r="M38" s="39" t="s">
        <v>2694</v>
      </c>
      <c r="N38" s="39" t="s">
        <v>2716</v>
      </c>
      <c r="O38" s="39" t="s">
        <v>2694</v>
      </c>
      <c r="P38" s="39" t="s">
        <v>2716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177</v>
      </c>
      <c r="B39" s="19" t="s">
        <v>2737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2716</v>
      </c>
      <c r="J39" s="39" t="s">
        <v>2696</v>
      </c>
      <c r="K39" s="39" t="s">
        <v>2696</v>
      </c>
      <c r="L39" s="39" t="s">
        <v>2696</v>
      </c>
      <c r="M39" s="39" t="s">
        <v>2695</v>
      </c>
      <c r="N39" s="39" t="s">
        <v>2694</v>
      </c>
      <c r="O39" s="39" t="s">
        <v>2694</v>
      </c>
      <c r="P39" s="39" t="s">
        <v>2694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175</v>
      </c>
      <c r="B40" s="19" t="s">
        <v>2738</v>
      </c>
      <c r="C40" s="36">
        <v>46194</v>
      </c>
      <c r="D40" s="37">
        <v>0.95833333333333337</v>
      </c>
      <c r="E40" s="19" t="s">
        <v>98</v>
      </c>
      <c r="F40" s="19" t="s">
        <v>2725</v>
      </c>
      <c r="G40" s="19" t="s">
        <v>158</v>
      </c>
      <c r="H40" s="38"/>
      <c r="I40" s="39" t="s">
        <v>2716</v>
      </c>
      <c r="J40" s="39" t="s">
        <v>2694</v>
      </c>
      <c r="K40" s="39" t="s">
        <v>2694</v>
      </c>
      <c r="L40" s="39" t="s">
        <v>2696</v>
      </c>
      <c r="M40" s="39" t="s">
        <v>2694</v>
      </c>
      <c r="N40" s="39" t="s">
        <v>2696</v>
      </c>
      <c r="O40" s="39" t="s">
        <v>2697</v>
      </c>
      <c r="P40" s="39" t="s">
        <v>2697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2706</v>
      </c>
      <c r="J41" s="39" t="s">
        <v>2709</v>
      </c>
      <c r="K41" s="39" t="s">
        <v>2699</v>
      </c>
      <c r="L41" s="39" t="s">
        <v>2695</v>
      </c>
      <c r="M41" s="39" t="s">
        <v>2709</v>
      </c>
      <c r="N41" s="39" t="s">
        <v>2706</v>
      </c>
      <c r="O41" s="39" t="s">
        <v>2702</v>
      </c>
      <c r="P41" s="39" t="s">
        <v>2702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2716</v>
      </c>
      <c r="J42" s="39" t="s">
        <v>2704</v>
      </c>
      <c r="K42" s="39" t="s">
        <v>2695</v>
      </c>
      <c r="L42" s="39" t="s">
        <v>2716</v>
      </c>
      <c r="M42" s="39" t="s">
        <v>2712</v>
      </c>
      <c r="N42" s="39" t="s">
        <v>2694</v>
      </c>
      <c r="O42" s="39" t="s">
        <v>2694</v>
      </c>
      <c r="P42" s="39" t="s">
        <v>2697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2720</v>
      </c>
      <c r="J43" s="39" t="s">
        <v>2716</v>
      </c>
      <c r="K43" s="39" t="s">
        <v>2720</v>
      </c>
      <c r="L43" s="39" t="s">
        <v>2718</v>
      </c>
      <c r="M43" s="39" t="s">
        <v>2739</v>
      </c>
      <c r="N43" s="39" t="s">
        <v>2720</v>
      </c>
      <c r="O43" s="39" t="s">
        <v>2716</v>
      </c>
      <c r="P43" s="39" t="s">
        <v>2716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2695</v>
      </c>
      <c r="J44" s="39" t="s">
        <v>2712</v>
      </c>
      <c r="K44" s="39" t="s">
        <v>2699</v>
      </c>
      <c r="L44" s="39" t="s">
        <v>2696</v>
      </c>
      <c r="M44" s="39" t="s">
        <v>2712</v>
      </c>
      <c r="N44" s="39" t="s">
        <v>2699</v>
      </c>
      <c r="O44" s="39" t="s">
        <v>2695</v>
      </c>
      <c r="P44" s="39" t="s">
        <v>2699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2709</v>
      </c>
      <c r="J45" s="39" t="s">
        <v>2706</v>
      </c>
      <c r="K45" s="39" t="s">
        <v>2706</v>
      </c>
      <c r="L45" s="39" t="s">
        <v>2712</v>
      </c>
      <c r="M45" s="39" t="s">
        <v>2706</v>
      </c>
      <c r="N45" s="39" t="s">
        <v>2706</v>
      </c>
      <c r="O45" s="39" t="s">
        <v>2702</v>
      </c>
      <c r="P45" s="39" t="s">
        <v>2702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2696</v>
      </c>
      <c r="J46" s="39" t="s">
        <v>2720</v>
      </c>
      <c r="K46" s="39" t="s">
        <v>2694</v>
      </c>
      <c r="L46" s="39" t="s">
        <v>2696</v>
      </c>
      <c r="M46" s="39" t="s">
        <v>2695</v>
      </c>
      <c r="N46" s="39" t="s">
        <v>2694</v>
      </c>
      <c r="O46" s="39" t="s">
        <v>2694</v>
      </c>
      <c r="P46" s="39" t="s">
        <v>2694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2694</v>
      </c>
      <c r="J47" s="39" t="s">
        <v>2704</v>
      </c>
      <c r="K47" s="39" t="s">
        <v>2716</v>
      </c>
      <c r="L47" s="39" t="s">
        <v>2704</v>
      </c>
      <c r="M47" s="39" t="s">
        <v>2694</v>
      </c>
      <c r="N47" s="39" t="s">
        <v>2694</v>
      </c>
      <c r="O47" s="39" t="s">
        <v>2716</v>
      </c>
      <c r="P47" s="39" t="s">
        <v>2697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2706</v>
      </c>
      <c r="J48" s="39" t="s">
        <v>2740</v>
      </c>
      <c r="K48" s="39" t="s">
        <v>2729</v>
      </c>
      <c r="L48" s="39" t="s">
        <v>2706</v>
      </c>
      <c r="M48" s="39" t="s">
        <v>2706</v>
      </c>
      <c r="N48" s="39" t="s">
        <v>2706</v>
      </c>
      <c r="O48" s="39" t="s">
        <v>2702</v>
      </c>
      <c r="P48" s="39" t="s">
        <v>2702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2694</v>
      </c>
      <c r="J49" s="39" t="s">
        <v>2696</v>
      </c>
      <c r="K49" s="39" t="s">
        <v>2694</v>
      </c>
      <c r="L49" s="39" t="s">
        <v>2732</v>
      </c>
      <c r="M49" s="39" t="s">
        <v>2695</v>
      </c>
      <c r="N49" s="39" t="s">
        <v>2695</v>
      </c>
      <c r="O49" s="39" t="s">
        <v>2694</v>
      </c>
      <c r="P49" s="39" t="s">
        <v>2697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148</v>
      </c>
      <c r="B50" s="19" t="s">
        <v>2741</v>
      </c>
      <c r="C50" s="36">
        <v>46197</v>
      </c>
      <c r="D50" s="37">
        <v>0.83333333333333337</v>
      </c>
      <c r="E50" s="19" t="s">
        <v>2701</v>
      </c>
      <c r="F50" s="19" t="s">
        <v>151</v>
      </c>
      <c r="G50" s="19" t="s">
        <v>62</v>
      </c>
      <c r="H50" s="38"/>
      <c r="I50" s="39" t="s">
        <v>2699</v>
      </c>
      <c r="J50" s="39"/>
      <c r="K50" s="39" t="s">
        <v>2694</v>
      </c>
      <c r="L50" s="39" t="s">
        <v>2695</v>
      </c>
      <c r="M50" s="39" t="s">
        <v>2699</v>
      </c>
      <c r="N50" s="39"/>
      <c r="O50" s="39" t="s">
        <v>2697</v>
      </c>
      <c r="P50" s="39"/>
      <c r="Q50" s="3" t="e">
        <f t="shared" si="2"/>
        <v>#VALUE!</v>
      </c>
      <c r="R50" s="3" t="str">
        <f t="shared" si="3"/>
        <v>D</v>
      </c>
      <c r="S50" s="3" t="e">
        <f t="shared" si="4"/>
        <v>#VALUE!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e">
        <f t="shared" si="8"/>
        <v>#VALUE!</v>
      </c>
      <c r="X50" s="3" t="str">
        <f t="shared" si="9"/>
        <v>H</v>
      </c>
      <c r="Y50" s="3" t="e">
        <f t="shared" si="10"/>
        <v>#VALUE!</v>
      </c>
      <c r="Z50" s="3" t="e">
        <f t="shared" si="11"/>
        <v>#VALUE!</v>
      </c>
      <c r="AA50" s="3" t="str">
        <f t="shared" si="12"/>
        <v/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str">
        <f t="shared" si="16"/>
        <v/>
      </c>
      <c r="AF50" s="3" t="e">
        <f t="shared" si="17"/>
        <v>#VALUE!</v>
      </c>
      <c r="AG50" s="3" t="str">
        <f t="shared" si="18"/>
        <v/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2695</v>
      </c>
      <c r="J51" s="39"/>
      <c r="K51" s="39" t="s">
        <v>2694</v>
      </c>
      <c r="L51" s="39" t="s">
        <v>2712</v>
      </c>
      <c r="M51" s="39" t="s">
        <v>2695</v>
      </c>
      <c r="N51" s="39"/>
      <c r="O51" s="39" t="s">
        <v>2699</v>
      </c>
      <c r="P51" s="39"/>
      <c r="Q51" s="3" t="e">
        <f t="shared" si="2"/>
        <v>#VALUE!</v>
      </c>
      <c r="R51" s="3" t="str">
        <f t="shared" si="3"/>
        <v>H</v>
      </c>
      <c r="S51" s="3" t="e">
        <f t="shared" si="4"/>
        <v>#VALUE!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e">
        <f t="shared" si="8"/>
        <v>#VALUE!</v>
      </c>
      <c r="X51" s="3" t="str">
        <f t="shared" si="9"/>
        <v>D</v>
      </c>
      <c r="Y51" s="3" t="e">
        <f t="shared" si="10"/>
        <v>#VALUE!</v>
      </c>
      <c r="Z51" s="3" t="e">
        <f t="shared" si="11"/>
        <v>#VALUE!</v>
      </c>
      <c r="AA51" s="3" t="str">
        <f t="shared" si="12"/>
        <v/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str">
        <f t="shared" si="16"/>
        <v/>
      </c>
      <c r="AF51" s="3" t="e">
        <f t="shared" si="17"/>
        <v>#VALUE!</v>
      </c>
      <c r="AG51" s="3" t="str">
        <f t="shared" si="18"/>
        <v/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2709</v>
      </c>
      <c r="J52" s="39"/>
      <c r="K52" s="39" t="s">
        <v>2706</v>
      </c>
      <c r="L52" s="39" t="s">
        <v>2707</v>
      </c>
      <c r="M52" s="39"/>
      <c r="N52" s="39"/>
      <c r="O52" s="39" t="s">
        <v>2708</v>
      </c>
      <c r="P52" s="39"/>
      <c r="Q52" s="3" t="e">
        <f t="shared" si="2"/>
        <v>#VALUE!</v>
      </c>
      <c r="R52" s="3" t="str">
        <f t="shared" si="3"/>
        <v>A</v>
      </c>
      <c r="S52" s="3" t="e">
        <f t="shared" si="4"/>
        <v>#VALUE!</v>
      </c>
      <c r="T52" s="3" t="str">
        <f t="shared" si="5"/>
        <v>A</v>
      </c>
      <c r="U52" s="3" t="str">
        <f t="shared" si="6"/>
        <v>A</v>
      </c>
      <c r="V52" s="3" t="e">
        <f t="shared" si="7"/>
        <v>#VALUE!</v>
      </c>
      <c r="W52" s="3" t="e">
        <f t="shared" si="8"/>
        <v>#VALUE!</v>
      </c>
      <c r="X52" s="3" t="str">
        <f t="shared" si="9"/>
        <v>A</v>
      </c>
      <c r="Y52" s="3" t="e">
        <f t="shared" si="10"/>
        <v>#VALUE!</v>
      </c>
      <c r="Z52" s="3" t="e">
        <f t="shared" si="11"/>
        <v>#VALUE!</v>
      </c>
      <c r="AA52" s="3" t="str">
        <f t="shared" si="12"/>
        <v/>
      </c>
      <c r="AB52" s="3" t="e">
        <f t="shared" si="13"/>
        <v>#VALUE!</v>
      </c>
      <c r="AC52" s="3" t="e">
        <f t="shared" si="14"/>
        <v>#VALUE!</v>
      </c>
      <c r="AD52" s="3" t="str">
        <f t="shared" si="15"/>
        <v/>
      </c>
      <c r="AE52" s="3" t="str">
        <f t="shared" si="16"/>
        <v/>
      </c>
      <c r="AF52" s="3" t="e">
        <f t="shared" si="17"/>
        <v>#VALUE!</v>
      </c>
      <c r="AG52" s="3" t="str">
        <f t="shared" si="18"/>
        <v/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2694</v>
      </c>
      <c r="J53" s="39"/>
      <c r="K53" s="39" t="s">
        <v>2694</v>
      </c>
      <c r="L53" s="39" t="s">
        <v>2720</v>
      </c>
      <c r="M53" s="39"/>
      <c r="N53" s="39"/>
      <c r="O53" s="39" t="s">
        <v>2694</v>
      </c>
      <c r="P53" s="39"/>
      <c r="Q53" s="3" t="e">
        <f t="shared" si="2"/>
        <v>#VALUE!</v>
      </c>
      <c r="R53" s="3" t="str">
        <f t="shared" si="3"/>
        <v>H</v>
      </c>
      <c r="S53" s="3" t="e">
        <f t="shared" si="4"/>
        <v>#VALUE!</v>
      </c>
      <c r="T53" s="3" t="str">
        <f t="shared" si="5"/>
        <v>H</v>
      </c>
      <c r="U53" s="3" t="str">
        <f t="shared" si="6"/>
        <v>H</v>
      </c>
      <c r="V53" s="3" t="e">
        <f t="shared" si="7"/>
        <v>#VALUE!</v>
      </c>
      <c r="W53" s="3" t="e">
        <f t="shared" si="8"/>
        <v>#VALUE!</v>
      </c>
      <c r="X53" s="3" t="str">
        <f t="shared" si="9"/>
        <v>H</v>
      </c>
      <c r="Y53" s="3" t="e">
        <f t="shared" si="10"/>
        <v>#VALUE!</v>
      </c>
      <c r="Z53" s="3" t="e">
        <f t="shared" si="11"/>
        <v>#VALUE!</v>
      </c>
      <c r="AA53" s="3" t="str">
        <f t="shared" si="12"/>
        <v/>
      </c>
      <c r="AB53" s="3" t="e">
        <f t="shared" si="13"/>
        <v>#VALUE!</v>
      </c>
      <c r="AC53" s="3" t="e">
        <f t="shared" si="14"/>
        <v>#VALUE!</v>
      </c>
      <c r="AD53" s="3" t="str">
        <f t="shared" si="15"/>
        <v/>
      </c>
      <c r="AE53" s="3" t="str">
        <f t="shared" si="16"/>
        <v/>
      </c>
      <c r="AF53" s="3" t="e">
        <f t="shared" si="17"/>
        <v>#VALUE!</v>
      </c>
      <c r="AG53" s="3" t="str">
        <f t="shared" si="18"/>
        <v/>
      </c>
    </row>
    <row r="54" spans="1:33" x14ac:dyDescent="0.25">
      <c r="A54" s="28" t="s">
        <v>132</v>
      </c>
      <c r="B54" s="19" t="s">
        <v>2742</v>
      </c>
      <c r="C54" s="36">
        <v>46198</v>
      </c>
      <c r="D54" s="37">
        <v>8.3333333333333329E-2</v>
      </c>
      <c r="E54" s="19" t="s">
        <v>134</v>
      </c>
      <c r="F54" s="19" t="s">
        <v>2681</v>
      </c>
      <c r="G54" s="19" t="s">
        <v>62</v>
      </c>
      <c r="H54" s="38"/>
      <c r="I54" s="39" t="s">
        <v>2709</v>
      </c>
      <c r="J54" s="39"/>
      <c r="K54" s="39"/>
      <c r="L54" s="39" t="s">
        <v>2709</v>
      </c>
      <c r="M54" s="39"/>
      <c r="N54" s="39"/>
      <c r="O54" s="39" t="s">
        <v>2702</v>
      </c>
      <c r="P54" s="39"/>
      <c r="Q54" s="3" t="e">
        <f t="shared" si="2"/>
        <v>#VALUE!</v>
      </c>
      <c r="R54" s="3" t="str">
        <f t="shared" si="3"/>
        <v>A</v>
      </c>
      <c r="S54" s="3" t="e">
        <f t="shared" si="4"/>
        <v>#VALUE!</v>
      </c>
      <c r="T54" s="3" t="e">
        <f t="shared" si="5"/>
        <v>#VALUE!</v>
      </c>
      <c r="U54" s="3" t="str">
        <f t="shared" si="6"/>
        <v>A</v>
      </c>
      <c r="V54" s="3" t="e">
        <f t="shared" si="7"/>
        <v>#VALUE!</v>
      </c>
      <c r="W54" s="3" t="e">
        <f t="shared" si="8"/>
        <v>#VALUE!</v>
      </c>
      <c r="X54" s="3" t="str">
        <f t="shared" si="9"/>
        <v>A</v>
      </c>
      <c r="Y54" s="3" t="e">
        <f t="shared" si="10"/>
        <v>#VALUE!</v>
      </c>
      <c r="Z54" s="3" t="e">
        <f t="shared" si="11"/>
        <v>#VALUE!</v>
      </c>
      <c r="AA54" s="3" t="str">
        <f t="shared" si="12"/>
        <v/>
      </c>
      <c r="AB54" s="3" t="str">
        <f t="shared" si="13"/>
        <v/>
      </c>
      <c r="AC54" s="3" t="e">
        <f t="shared" si="14"/>
        <v>#VALUE!</v>
      </c>
      <c r="AD54" s="3" t="str">
        <f t="shared" si="15"/>
        <v/>
      </c>
      <c r="AE54" s="3" t="str">
        <f t="shared" si="16"/>
        <v/>
      </c>
      <c r="AF54" s="3" t="e">
        <f t="shared" si="17"/>
        <v>#VALUE!</v>
      </c>
      <c r="AG54" s="3" t="str">
        <f t="shared" si="18"/>
        <v/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2709</v>
      </c>
      <c r="J55" s="39"/>
      <c r="K55" s="39"/>
      <c r="L55" s="39" t="s">
        <v>2709</v>
      </c>
      <c r="M55" s="39"/>
      <c r="N55" s="39"/>
      <c r="O55" s="39" t="s">
        <v>2702</v>
      </c>
      <c r="P55" s="39"/>
      <c r="Q55" s="3" t="e">
        <f t="shared" si="2"/>
        <v>#VALUE!</v>
      </c>
      <c r="R55" s="3" t="str">
        <f t="shared" si="3"/>
        <v>A</v>
      </c>
      <c r="S55" s="3" t="e">
        <f t="shared" si="4"/>
        <v>#VALUE!</v>
      </c>
      <c r="T55" s="3" t="e">
        <f t="shared" si="5"/>
        <v>#VALUE!</v>
      </c>
      <c r="U55" s="3" t="str">
        <f t="shared" si="6"/>
        <v>A</v>
      </c>
      <c r="V55" s="3" t="e">
        <f t="shared" si="7"/>
        <v>#VALUE!</v>
      </c>
      <c r="W55" s="3" t="e">
        <f t="shared" si="8"/>
        <v>#VALUE!</v>
      </c>
      <c r="X55" s="3" t="str">
        <f t="shared" si="9"/>
        <v>A</v>
      </c>
      <c r="Y55" s="3" t="e">
        <f t="shared" si="10"/>
        <v>#VALUE!</v>
      </c>
      <c r="Z55" s="3" t="e">
        <f t="shared" si="11"/>
        <v>#VALUE!</v>
      </c>
      <c r="AA55" s="3" t="str">
        <f t="shared" si="12"/>
        <v/>
      </c>
      <c r="AB55" s="3" t="str">
        <f t="shared" si="13"/>
        <v/>
      </c>
      <c r="AC55" s="3" t="e">
        <f t="shared" si="14"/>
        <v>#VALUE!</v>
      </c>
      <c r="AD55" s="3" t="str">
        <f t="shared" si="15"/>
        <v/>
      </c>
      <c r="AE55" s="3" t="str">
        <f t="shared" si="16"/>
        <v/>
      </c>
      <c r="AF55" s="3" t="e">
        <f t="shared" si="17"/>
        <v>#VALUE!</v>
      </c>
      <c r="AG55" s="3" t="str">
        <f t="shared" si="18"/>
        <v/>
      </c>
    </row>
    <row r="56" spans="1:33" x14ac:dyDescent="0.25">
      <c r="A56" s="28" t="s">
        <v>124</v>
      </c>
      <c r="B56" s="19" t="s">
        <v>2743</v>
      </c>
      <c r="C56" s="36">
        <v>46198</v>
      </c>
      <c r="D56" s="37">
        <v>0.875</v>
      </c>
      <c r="E56" s="19" t="s">
        <v>2714</v>
      </c>
      <c r="F56" s="19" t="s">
        <v>2683</v>
      </c>
      <c r="G56" s="19" t="s">
        <v>62</v>
      </c>
      <c r="H56" s="38"/>
      <c r="I56" s="39" t="s">
        <v>2707</v>
      </c>
      <c r="J56" s="39"/>
      <c r="K56" s="39"/>
      <c r="L56" s="39" t="s">
        <v>2708</v>
      </c>
      <c r="M56" s="39"/>
      <c r="N56" s="39"/>
      <c r="O56" s="39" t="s">
        <v>2706</v>
      </c>
      <c r="P56" s="39"/>
      <c r="Q56" s="3" t="e">
        <f t="shared" si="2"/>
        <v>#VALUE!</v>
      </c>
      <c r="R56" s="3" t="str">
        <f t="shared" si="3"/>
        <v>A</v>
      </c>
      <c r="S56" s="3" t="e">
        <f t="shared" si="4"/>
        <v>#VALUE!</v>
      </c>
      <c r="T56" s="3" t="e">
        <f t="shared" si="5"/>
        <v>#VALUE!</v>
      </c>
      <c r="U56" s="3" t="str">
        <f t="shared" si="6"/>
        <v>A</v>
      </c>
      <c r="V56" s="3" t="e">
        <f t="shared" si="7"/>
        <v>#VALUE!</v>
      </c>
      <c r="W56" s="3" t="e">
        <f t="shared" si="8"/>
        <v>#VALUE!</v>
      </c>
      <c r="X56" s="3" t="str">
        <f t="shared" si="9"/>
        <v>A</v>
      </c>
      <c r="Y56" s="3" t="e">
        <f t="shared" si="10"/>
        <v>#VALUE!</v>
      </c>
      <c r="Z56" s="3" t="e">
        <f t="shared" si="11"/>
        <v>#VALUE!</v>
      </c>
      <c r="AA56" s="3" t="str">
        <f t="shared" si="12"/>
        <v/>
      </c>
      <c r="AB56" s="3" t="str">
        <f t="shared" si="13"/>
        <v/>
      </c>
      <c r="AC56" s="3" t="e">
        <f t="shared" si="14"/>
        <v>#VALUE!</v>
      </c>
      <c r="AD56" s="3" t="str">
        <f t="shared" si="15"/>
        <v/>
      </c>
      <c r="AE56" s="3" t="str">
        <f t="shared" si="16"/>
        <v/>
      </c>
      <c r="AF56" s="3" t="e">
        <f t="shared" si="17"/>
        <v>#VALUE!</v>
      </c>
      <c r="AG56" s="3" t="str">
        <f t="shared" si="18"/>
        <v/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2709</v>
      </c>
      <c r="J57" s="39"/>
      <c r="K57" s="39"/>
      <c r="L57" s="39" t="s">
        <v>2706</v>
      </c>
      <c r="M57" s="39"/>
      <c r="N57" s="39"/>
      <c r="O57" s="39" t="s">
        <v>2702</v>
      </c>
      <c r="P57" s="39"/>
      <c r="Q57" s="3" t="e">
        <f t="shared" si="2"/>
        <v>#VALUE!</v>
      </c>
      <c r="R57" s="3" t="str">
        <f t="shared" si="3"/>
        <v>A</v>
      </c>
      <c r="S57" s="3" t="e">
        <f t="shared" si="4"/>
        <v>#VALUE!</v>
      </c>
      <c r="T57" s="3" t="e">
        <f t="shared" si="5"/>
        <v>#VALUE!</v>
      </c>
      <c r="U57" s="3" t="str">
        <f t="shared" si="6"/>
        <v>A</v>
      </c>
      <c r="V57" s="3" t="e">
        <f t="shared" si="7"/>
        <v>#VALUE!</v>
      </c>
      <c r="W57" s="3" t="e">
        <f t="shared" si="8"/>
        <v>#VALUE!</v>
      </c>
      <c r="X57" s="3" t="str">
        <f t="shared" si="9"/>
        <v>A</v>
      </c>
      <c r="Y57" s="3" t="e">
        <f t="shared" si="10"/>
        <v>#VALUE!</v>
      </c>
      <c r="Z57" s="3" t="e">
        <f t="shared" si="11"/>
        <v>#VALUE!</v>
      </c>
      <c r="AA57" s="3" t="str">
        <f t="shared" si="12"/>
        <v/>
      </c>
      <c r="AB57" s="3" t="str">
        <f t="shared" si="13"/>
        <v/>
      </c>
      <c r="AC57" s="3" t="e">
        <f t="shared" si="14"/>
        <v>#VALUE!</v>
      </c>
      <c r="AD57" s="3" t="str">
        <f t="shared" si="15"/>
        <v/>
      </c>
      <c r="AE57" s="3" t="str">
        <f t="shared" si="16"/>
        <v/>
      </c>
      <c r="AF57" s="3" t="e">
        <f t="shared" si="17"/>
        <v>#VALUE!</v>
      </c>
      <c r="AG57" s="3" t="str">
        <f t="shared" si="18"/>
        <v/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2695</v>
      </c>
      <c r="J58" s="39"/>
      <c r="K58" s="39"/>
      <c r="L58" s="39" t="s">
        <v>2712</v>
      </c>
      <c r="M58" s="39"/>
      <c r="N58" s="39"/>
      <c r="O58" s="39" t="s">
        <v>2697</v>
      </c>
      <c r="P58" s="39"/>
      <c r="Q58" s="3" t="e">
        <f t="shared" si="2"/>
        <v>#VALUE!</v>
      </c>
      <c r="R58" s="3" t="str">
        <f t="shared" si="3"/>
        <v>H</v>
      </c>
      <c r="S58" s="3" t="e">
        <f t="shared" si="4"/>
        <v>#VALUE!</v>
      </c>
      <c r="T58" s="3" t="e">
        <f t="shared" si="5"/>
        <v>#VALUE!</v>
      </c>
      <c r="U58" s="3" t="str">
        <f t="shared" si="6"/>
        <v>D</v>
      </c>
      <c r="V58" s="3" t="e">
        <f t="shared" si="7"/>
        <v>#VALUE!</v>
      </c>
      <c r="W58" s="3" t="e">
        <f t="shared" si="8"/>
        <v>#VALUE!</v>
      </c>
      <c r="X58" s="3" t="str">
        <f t="shared" si="9"/>
        <v>H</v>
      </c>
      <c r="Y58" s="3" t="e">
        <f t="shared" si="10"/>
        <v>#VALUE!</v>
      </c>
      <c r="Z58" s="3" t="e">
        <f t="shared" si="11"/>
        <v>#VALUE!</v>
      </c>
      <c r="AA58" s="3" t="str">
        <f t="shared" si="12"/>
        <v/>
      </c>
      <c r="AB58" s="3" t="str">
        <f t="shared" si="13"/>
        <v/>
      </c>
      <c r="AC58" s="3" t="e">
        <f t="shared" si="14"/>
        <v>#VALUE!</v>
      </c>
      <c r="AD58" s="3" t="str">
        <f t="shared" si="15"/>
        <v/>
      </c>
      <c r="AE58" s="3" t="str">
        <f t="shared" si="16"/>
        <v/>
      </c>
      <c r="AF58" s="3" t="e">
        <f t="shared" si="17"/>
        <v>#VALUE!</v>
      </c>
      <c r="AG58" s="3" t="str">
        <f t="shared" si="18"/>
        <v/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2709</v>
      </c>
      <c r="J59" s="39"/>
      <c r="K59" s="39"/>
      <c r="L59" s="39" t="s">
        <v>2708</v>
      </c>
      <c r="M59" s="39"/>
      <c r="N59" s="39"/>
      <c r="O59" s="39" t="s">
        <v>2706</v>
      </c>
      <c r="P59" s="39"/>
      <c r="Q59" s="3" t="e">
        <f t="shared" si="2"/>
        <v>#VALUE!</v>
      </c>
      <c r="R59" s="3" t="str">
        <f t="shared" si="3"/>
        <v>A</v>
      </c>
      <c r="S59" s="3" t="e">
        <f t="shared" si="4"/>
        <v>#VALUE!</v>
      </c>
      <c r="T59" s="3" t="e">
        <f t="shared" si="5"/>
        <v>#VALUE!</v>
      </c>
      <c r="U59" s="3" t="str">
        <f t="shared" si="6"/>
        <v>A</v>
      </c>
      <c r="V59" s="3" t="e">
        <f t="shared" si="7"/>
        <v>#VALUE!</v>
      </c>
      <c r="W59" s="3" t="e">
        <f t="shared" si="8"/>
        <v>#VALUE!</v>
      </c>
      <c r="X59" s="3" t="str">
        <f t="shared" si="9"/>
        <v>A</v>
      </c>
      <c r="Y59" s="3" t="e">
        <f t="shared" si="10"/>
        <v>#VALUE!</v>
      </c>
      <c r="Z59" s="3" t="e">
        <f t="shared" si="11"/>
        <v>#VALUE!</v>
      </c>
      <c r="AA59" s="3" t="str">
        <f t="shared" si="12"/>
        <v/>
      </c>
      <c r="AB59" s="3" t="str">
        <f t="shared" si="13"/>
        <v/>
      </c>
      <c r="AC59" s="3" t="e">
        <f t="shared" si="14"/>
        <v>#VALUE!</v>
      </c>
      <c r="AD59" s="3" t="str">
        <f t="shared" si="15"/>
        <v/>
      </c>
      <c r="AE59" s="3" t="str">
        <f t="shared" si="16"/>
        <v/>
      </c>
      <c r="AF59" s="3" t="e">
        <f t="shared" si="17"/>
        <v>#VALUE!</v>
      </c>
      <c r="AG59" s="3" t="str">
        <f t="shared" si="18"/>
        <v/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2699</v>
      </c>
      <c r="J60" s="39"/>
      <c r="K60" s="39"/>
      <c r="L60" s="39" t="s">
        <v>2712</v>
      </c>
      <c r="M60" s="39"/>
      <c r="N60" s="39"/>
      <c r="O60" s="39" t="s">
        <v>2699</v>
      </c>
      <c r="P60" s="39"/>
      <c r="Q60" s="3" t="e">
        <f t="shared" si="2"/>
        <v>#VALUE!</v>
      </c>
      <c r="R60" s="3" t="str">
        <f t="shared" si="3"/>
        <v>D</v>
      </c>
      <c r="S60" s="3" t="e">
        <f t="shared" si="4"/>
        <v>#VALUE!</v>
      </c>
      <c r="T60" s="3" t="e">
        <f t="shared" si="5"/>
        <v>#VALUE!</v>
      </c>
      <c r="U60" s="3" t="str">
        <f t="shared" si="6"/>
        <v>D</v>
      </c>
      <c r="V60" s="3" t="e">
        <f t="shared" si="7"/>
        <v>#VALUE!</v>
      </c>
      <c r="W60" s="3" t="e">
        <f t="shared" si="8"/>
        <v>#VALUE!</v>
      </c>
      <c r="X60" s="3" t="str">
        <f t="shared" si="9"/>
        <v>D</v>
      </c>
      <c r="Y60" s="3" t="e">
        <f t="shared" si="10"/>
        <v>#VALUE!</v>
      </c>
      <c r="Z60" s="3" t="e">
        <f t="shared" si="11"/>
        <v>#VALUE!</v>
      </c>
      <c r="AA60" s="3" t="str">
        <f t="shared" si="12"/>
        <v/>
      </c>
      <c r="AB60" s="3" t="str">
        <f t="shared" si="13"/>
        <v/>
      </c>
      <c r="AC60" s="3" t="e">
        <f t="shared" si="14"/>
        <v>#VALUE!</v>
      </c>
      <c r="AD60" s="3" t="str">
        <f t="shared" si="15"/>
        <v/>
      </c>
      <c r="AE60" s="3" t="str">
        <f t="shared" si="16"/>
        <v/>
      </c>
      <c r="AF60" s="3" t="e">
        <f t="shared" si="17"/>
        <v>#VALUE!</v>
      </c>
      <c r="AG60" s="3" t="str">
        <f t="shared" si="18"/>
        <v/>
      </c>
    </row>
    <row r="61" spans="1:33" x14ac:dyDescent="0.25">
      <c r="A61" s="28" t="s">
        <v>112</v>
      </c>
      <c r="B61" s="19" t="s">
        <v>2744</v>
      </c>
      <c r="C61" s="36">
        <v>46199</v>
      </c>
      <c r="D61" s="37">
        <v>0.125</v>
      </c>
      <c r="E61" s="19" t="s">
        <v>2680</v>
      </c>
      <c r="F61" s="19" t="s">
        <v>2507</v>
      </c>
      <c r="G61" s="19" t="s">
        <v>62</v>
      </c>
      <c r="H61" s="38"/>
      <c r="I61" s="39" t="s">
        <v>2695</v>
      </c>
      <c r="J61" s="39"/>
      <c r="K61" s="39"/>
      <c r="L61" s="39" t="s">
        <v>2708</v>
      </c>
      <c r="M61" s="39"/>
      <c r="N61" s="39"/>
      <c r="O61" s="39" t="s">
        <v>2709</v>
      </c>
      <c r="P61" s="39"/>
      <c r="Q61" s="3" t="e">
        <f t="shared" si="2"/>
        <v>#VALUE!</v>
      </c>
      <c r="R61" s="3" t="str">
        <f t="shared" si="3"/>
        <v>H</v>
      </c>
      <c r="S61" s="3" t="e">
        <f t="shared" si="4"/>
        <v>#VALUE!</v>
      </c>
      <c r="T61" s="3" t="e">
        <f t="shared" si="5"/>
        <v>#VALUE!</v>
      </c>
      <c r="U61" s="3" t="str">
        <f t="shared" si="6"/>
        <v>A</v>
      </c>
      <c r="V61" s="3" t="e">
        <f t="shared" si="7"/>
        <v>#VALUE!</v>
      </c>
      <c r="W61" s="3" t="e">
        <f t="shared" si="8"/>
        <v>#VALUE!</v>
      </c>
      <c r="X61" s="3" t="str">
        <f t="shared" si="9"/>
        <v>A</v>
      </c>
      <c r="Y61" s="3" t="e">
        <f t="shared" si="10"/>
        <v>#VALUE!</v>
      </c>
      <c r="Z61" s="3" t="e">
        <f t="shared" si="11"/>
        <v>#VALUE!</v>
      </c>
      <c r="AA61" s="3" t="str">
        <f t="shared" si="12"/>
        <v/>
      </c>
      <c r="AB61" s="3" t="str">
        <f t="shared" si="13"/>
        <v/>
      </c>
      <c r="AC61" s="3" t="e">
        <f t="shared" si="14"/>
        <v>#VALUE!</v>
      </c>
      <c r="AD61" s="3" t="str">
        <f t="shared" si="15"/>
        <v/>
      </c>
      <c r="AE61" s="3" t="str">
        <f t="shared" si="16"/>
        <v/>
      </c>
      <c r="AF61" s="3" t="e">
        <f t="shared" si="17"/>
        <v>#VALUE!</v>
      </c>
      <c r="AG61" s="3" t="str">
        <f t="shared" si="18"/>
        <v/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2709</v>
      </c>
      <c r="J62" s="39"/>
      <c r="K62" s="39"/>
      <c r="L62" s="39" t="s">
        <v>2716</v>
      </c>
      <c r="M62" s="39"/>
      <c r="N62" s="39"/>
      <c r="O62" s="39" t="s">
        <v>2694</v>
      </c>
      <c r="P62" s="39"/>
      <c r="Q62" s="3" t="e">
        <f t="shared" si="2"/>
        <v>#VALUE!</v>
      </c>
      <c r="R62" s="3" t="str">
        <f t="shared" si="3"/>
        <v>A</v>
      </c>
      <c r="S62" s="3" t="e">
        <f t="shared" si="4"/>
        <v>#VALUE!</v>
      </c>
      <c r="T62" s="3" t="e">
        <f t="shared" si="5"/>
        <v>#VALUE!</v>
      </c>
      <c r="U62" s="3" t="str">
        <f t="shared" si="6"/>
        <v>H</v>
      </c>
      <c r="V62" s="3" t="e">
        <f t="shared" si="7"/>
        <v>#VALUE!</v>
      </c>
      <c r="W62" s="3" t="e">
        <f t="shared" si="8"/>
        <v>#VALUE!</v>
      </c>
      <c r="X62" s="3" t="str">
        <f t="shared" si="9"/>
        <v>H</v>
      </c>
      <c r="Y62" s="3" t="e">
        <f t="shared" si="10"/>
        <v>#VALUE!</v>
      </c>
      <c r="Z62" s="3" t="e">
        <f t="shared" si="11"/>
        <v>#VALUE!</v>
      </c>
      <c r="AA62" s="3" t="str">
        <f t="shared" si="12"/>
        <v/>
      </c>
      <c r="AB62" s="3" t="str">
        <f t="shared" si="13"/>
        <v/>
      </c>
      <c r="AC62" s="3" t="e">
        <f t="shared" si="14"/>
        <v>#VALUE!</v>
      </c>
      <c r="AD62" s="3" t="str">
        <f t="shared" si="15"/>
        <v/>
      </c>
      <c r="AE62" s="3" t="str">
        <f t="shared" si="16"/>
        <v/>
      </c>
      <c r="AF62" s="3" t="e">
        <f t="shared" si="17"/>
        <v>#VALUE!</v>
      </c>
      <c r="AG62" s="3" t="str">
        <f t="shared" si="18"/>
        <v/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2708</v>
      </c>
      <c r="J63" s="39"/>
      <c r="K63" s="39"/>
      <c r="L63" s="39" t="s">
        <v>2712</v>
      </c>
      <c r="M63" s="39"/>
      <c r="N63" s="39"/>
      <c r="O63" s="39" t="s">
        <v>2709</v>
      </c>
      <c r="P63" s="39"/>
      <c r="Q63" s="3" t="e">
        <f t="shared" si="2"/>
        <v>#VALUE!</v>
      </c>
      <c r="R63" s="3" t="str">
        <f t="shared" si="3"/>
        <v>A</v>
      </c>
      <c r="S63" s="3" t="e">
        <f t="shared" si="4"/>
        <v>#VALUE!</v>
      </c>
      <c r="T63" s="3" t="e">
        <f t="shared" si="5"/>
        <v>#VALUE!</v>
      </c>
      <c r="U63" s="3" t="str">
        <f t="shared" si="6"/>
        <v>D</v>
      </c>
      <c r="V63" s="3" t="e">
        <f t="shared" si="7"/>
        <v>#VALUE!</v>
      </c>
      <c r="W63" s="3" t="e">
        <f t="shared" si="8"/>
        <v>#VALUE!</v>
      </c>
      <c r="X63" s="3" t="str">
        <f t="shared" si="9"/>
        <v>A</v>
      </c>
      <c r="Y63" s="3" t="e">
        <f t="shared" si="10"/>
        <v>#VALUE!</v>
      </c>
      <c r="Z63" s="3" t="e">
        <f t="shared" si="11"/>
        <v>#VALUE!</v>
      </c>
      <c r="AA63" s="3" t="str">
        <f t="shared" si="12"/>
        <v/>
      </c>
      <c r="AB63" s="3" t="str">
        <f t="shared" si="13"/>
        <v/>
      </c>
      <c r="AC63" s="3" t="e">
        <f t="shared" si="14"/>
        <v>#VALUE!</v>
      </c>
      <c r="AD63" s="3" t="str">
        <f t="shared" si="15"/>
        <v/>
      </c>
      <c r="AE63" s="3" t="str">
        <f t="shared" si="16"/>
        <v/>
      </c>
      <c r="AF63" s="3" t="e">
        <f t="shared" si="17"/>
        <v>#VALUE!</v>
      </c>
      <c r="AG63" s="3" t="str">
        <f t="shared" si="18"/>
        <v/>
      </c>
    </row>
    <row r="64" spans="1:33" x14ac:dyDescent="0.25">
      <c r="A64" s="28" t="s">
        <v>92</v>
      </c>
      <c r="B64" s="19" t="s">
        <v>2745</v>
      </c>
      <c r="C64" s="36">
        <v>46200</v>
      </c>
      <c r="D64" s="37">
        <v>4.1666666666666664E-2</v>
      </c>
      <c r="E64" s="19" t="s">
        <v>2725</v>
      </c>
      <c r="F64" s="19" t="s">
        <v>95</v>
      </c>
      <c r="G64" s="19" t="s">
        <v>62</v>
      </c>
      <c r="H64" s="38"/>
      <c r="I64" s="39" t="s">
        <v>2706</v>
      </c>
      <c r="J64" s="39"/>
      <c r="K64" s="39"/>
      <c r="L64" s="39" t="s">
        <v>2695</v>
      </c>
      <c r="M64" s="39"/>
      <c r="N64" s="39"/>
      <c r="O64" s="39" t="s">
        <v>2699</v>
      </c>
      <c r="P64" s="39"/>
      <c r="Q64" s="3" t="e">
        <f t="shared" si="2"/>
        <v>#VALUE!</v>
      </c>
      <c r="R64" s="3" t="str">
        <f t="shared" si="3"/>
        <v>A</v>
      </c>
      <c r="S64" s="3" t="e">
        <f t="shared" si="4"/>
        <v>#VALUE!</v>
      </c>
      <c r="T64" s="3" t="e">
        <f t="shared" si="5"/>
        <v>#VALUE!</v>
      </c>
      <c r="U64" s="3" t="str">
        <f t="shared" si="6"/>
        <v>H</v>
      </c>
      <c r="V64" s="3" t="e">
        <f t="shared" si="7"/>
        <v>#VALUE!</v>
      </c>
      <c r="W64" s="3" t="e">
        <f t="shared" si="8"/>
        <v>#VALUE!</v>
      </c>
      <c r="X64" s="3" t="str">
        <f t="shared" si="9"/>
        <v>D</v>
      </c>
      <c r="Y64" s="3" t="e">
        <f t="shared" si="10"/>
        <v>#VALUE!</v>
      </c>
      <c r="Z64" s="3" t="e">
        <f t="shared" si="11"/>
        <v>#VALUE!</v>
      </c>
      <c r="AA64" s="3" t="str">
        <f t="shared" si="12"/>
        <v/>
      </c>
      <c r="AB64" s="3" t="str">
        <f t="shared" si="13"/>
        <v/>
      </c>
      <c r="AC64" s="3" t="e">
        <f t="shared" si="14"/>
        <v>#VALUE!</v>
      </c>
      <c r="AD64" s="3" t="str">
        <f t="shared" si="15"/>
        <v/>
      </c>
      <c r="AE64" s="3" t="str">
        <f t="shared" si="16"/>
        <v/>
      </c>
      <c r="AF64" s="3" t="e">
        <f t="shared" si="17"/>
        <v>#VALUE!</v>
      </c>
      <c r="AG64" s="3" t="str">
        <f t="shared" si="18"/>
        <v/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2709</v>
      </c>
      <c r="J65" s="39"/>
      <c r="K65" s="39"/>
      <c r="L65" s="39" t="s">
        <v>2709</v>
      </c>
      <c r="M65" s="39"/>
      <c r="N65" s="39"/>
      <c r="O65" s="39" t="s">
        <v>2706</v>
      </c>
      <c r="P65" s="39"/>
      <c r="Q65" s="3" t="e">
        <f t="shared" si="2"/>
        <v>#VALUE!</v>
      </c>
      <c r="R65" s="3" t="str">
        <f t="shared" si="3"/>
        <v>A</v>
      </c>
      <c r="S65" s="3" t="e">
        <f t="shared" si="4"/>
        <v>#VALUE!</v>
      </c>
      <c r="T65" s="3" t="e">
        <f t="shared" si="5"/>
        <v>#VALUE!</v>
      </c>
      <c r="U65" s="3" t="str">
        <f t="shared" si="6"/>
        <v>A</v>
      </c>
      <c r="V65" s="3" t="e">
        <f t="shared" si="7"/>
        <v>#VALUE!</v>
      </c>
      <c r="W65" s="3" t="e">
        <f t="shared" si="8"/>
        <v>#VALUE!</v>
      </c>
      <c r="X65" s="3" t="str">
        <f t="shared" si="9"/>
        <v>A</v>
      </c>
      <c r="Y65" s="3" t="e">
        <f t="shared" si="10"/>
        <v>#VALUE!</v>
      </c>
      <c r="Z65" s="3" t="e">
        <f t="shared" si="11"/>
        <v>#VALUE!</v>
      </c>
      <c r="AA65" s="3" t="str">
        <f t="shared" si="12"/>
        <v/>
      </c>
      <c r="AB65" s="3" t="str">
        <f t="shared" si="13"/>
        <v/>
      </c>
      <c r="AC65" s="3" t="e">
        <f t="shared" si="14"/>
        <v>#VALUE!</v>
      </c>
      <c r="AD65" s="3" t="str">
        <f t="shared" si="15"/>
        <v/>
      </c>
      <c r="AE65" s="3" t="str">
        <f t="shared" si="16"/>
        <v/>
      </c>
      <c r="AF65" s="3" t="e">
        <f t="shared" si="17"/>
        <v>#VALUE!</v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2707</v>
      </c>
      <c r="J66" s="39"/>
      <c r="K66" s="39"/>
      <c r="L66" s="39" t="s">
        <v>2695</v>
      </c>
      <c r="M66" s="39"/>
      <c r="N66" s="39"/>
      <c r="O66" s="39" t="s">
        <v>2702</v>
      </c>
      <c r="P66" s="39"/>
      <c r="Q66" s="3" t="e">
        <f t="shared" si="2"/>
        <v>#VALUE!</v>
      </c>
      <c r="R66" s="3" t="str">
        <f t="shared" si="3"/>
        <v>A</v>
      </c>
      <c r="S66" s="3" t="e">
        <f t="shared" si="4"/>
        <v>#VALUE!</v>
      </c>
      <c r="T66" s="3" t="e">
        <f t="shared" si="5"/>
        <v>#VALUE!</v>
      </c>
      <c r="U66" s="3" t="str">
        <f t="shared" si="6"/>
        <v>H</v>
      </c>
      <c r="V66" s="3" t="e">
        <f t="shared" si="7"/>
        <v>#VALUE!</v>
      </c>
      <c r="W66" s="3" t="e">
        <f t="shared" si="8"/>
        <v>#VALUE!</v>
      </c>
      <c r="X66" s="3" t="str">
        <f t="shared" si="9"/>
        <v>A</v>
      </c>
      <c r="Y66" s="3" t="e">
        <f t="shared" si="10"/>
        <v>#VALUE!</v>
      </c>
      <c r="Z66" s="3" t="e">
        <f t="shared" si="11"/>
        <v>#VALUE!</v>
      </c>
      <c r="AA66" s="3" t="str">
        <f t="shared" si="12"/>
        <v/>
      </c>
      <c r="AB66" s="3" t="str">
        <f t="shared" si="13"/>
        <v/>
      </c>
      <c r="AC66" s="3" t="e">
        <f t="shared" si="14"/>
        <v>#VALUE!</v>
      </c>
      <c r="AD66" s="3" t="str">
        <f t="shared" si="15"/>
        <v/>
      </c>
      <c r="AE66" s="3" t="str">
        <f t="shared" si="16"/>
        <v/>
      </c>
      <c r="AF66" s="3" t="e">
        <f t="shared" si="17"/>
        <v>#VALUE!</v>
      </c>
      <c r="AG66" s="3" t="str">
        <f t="shared" si="18"/>
        <v/>
      </c>
    </row>
    <row r="67" spans="1:33" x14ac:dyDescent="0.25">
      <c r="A67" s="28" t="s">
        <v>88</v>
      </c>
      <c r="B67" s="19" t="s">
        <v>2746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2695</v>
      </c>
      <c r="J67" s="39"/>
      <c r="K67" s="39"/>
      <c r="L67" s="39" t="s">
        <v>2695</v>
      </c>
      <c r="M67" s="39"/>
      <c r="N67" s="39"/>
      <c r="O67" s="39" t="s">
        <v>2697</v>
      </c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str">
        <f t="shared" ref="U67:U105" si="23">IF(LEFT(L67,1)-RIGHT(L67,1)=0,"D",IF(LEFT(L67,1)-RIGHT(L67,1)&gt;0,"H","A"))</f>
        <v>H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str">
        <f t="shared" ref="X67:X105" si="26">IF(LEFT(O67,1)-RIGHT(O67,1)=0,"D",IF(LEFT(O67,1)-RIGHT(O67,1)&gt;0,"H","A"))</f>
        <v>H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e">
        <f t="shared" ref="AC67:AC105" si="31">IF(L67="","",IF(L67=$H67,"W",IF(U67=$Q67,"D","L")))</f>
        <v>#VALUE!</v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e">
        <f t="shared" ref="AF67:AF105" si="34">IF(O67="","",IF(O67=$H67,"W",IF(X67=$Q67,"D","L")))</f>
        <v>#VALUE!</v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2695</v>
      </c>
      <c r="J68" s="39"/>
      <c r="K68" s="39"/>
      <c r="L68" s="39" t="s">
        <v>2712</v>
      </c>
      <c r="M68" s="39"/>
      <c r="N68" s="39"/>
      <c r="O68" s="39" t="s">
        <v>2695</v>
      </c>
      <c r="P68" s="39"/>
      <c r="Q68" s="3" t="e">
        <f t="shared" si="19"/>
        <v>#VALUE!</v>
      </c>
      <c r="R68" s="3" t="str">
        <f t="shared" si="20"/>
        <v>H</v>
      </c>
      <c r="S68" s="3" t="e">
        <f t="shared" si="21"/>
        <v>#VALUE!</v>
      </c>
      <c r="T68" s="3" t="e">
        <f t="shared" si="22"/>
        <v>#VALUE!</v>
      </c>
      <c r="U68" s="3" t="str">
        <f t="shared" si="23"/>
        <v>D</v>
      </c>
      <c r="V68" s="3" t="e">
        <f t="shared" si="24"/>
        <v>#VALUE!</v>
      </c>
      <c r="W68" s="3" t="e">
        <f t="shared" si="25"/>
        <v>#VALUE!</v>
      </c>
      <c r="X68" s="3" t="str">
        <f t="shared" si="26"/>
        <v>H</v>
      </c>
      <c r="Y68" s="3" t="e">
        <f t="shared" si="27"/>
        <v>#VALUE!</v>
      </c>
      <c r="Z68" s="3" t="e">
        <f t="shared" si="28"/>
        <v>#VALUE!</v>
      </c>
      <c r="AA68" s="3" t="str">
        <f t="shared" si="29"/>
        <v/>
      </c>
      <c r="AB68" s="3" t="str">
        <f t="shared" si="30"/>
        <v/>
      </c>
      <c r="AC68" s="3" t="e">
        <f t="shared" si="31"/>
        <v>#VALUE!</v>
      </c>
      <c r="AD68" s="3" t="str">
        <f t="shared" si="32"/>
        <v/>
      </c>
      <c r="AE68" s="3" t="str">
        <f t="shared" si="33"/>
        <v/>
      </c>
      <c r="AF68" s="3" t="e">
        <f t="shared" si="34"/>
        <v>#VALUE!</v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2707</v>
      </c>
      <c r="J69" s="39"/>
      <c r="K69" s="39"/>
      <c r="L69" s="39" t="s">
        <v>2729</v>
      </c>
      <c r="M69" s="39"/>
      <c r="N69" s="39"/>
      <c r="O69" s="39" t="s">
        <v>2707</v>
      </c>
      <c r="P69" s="39"/>
      <c r="Q69" s="3" t="e">
        <f t="shared" si="19"/>
        <v>#VALUE!</v>
      </c>
      <c r="R69" s="3" t="str">
        <f t="shared" si="20"/>
        <v>A</v>
      </c>
      <c r="S69" s="3" t="e">
        <f t="shared" si="21"/>
        <v>#VALUE!</v>
      </c>
      <c r="T69" s="3" t="e">
        <f t="shared" si="22"/>
        <v>#VALUE!</v>
      </c>
      <c r="U69" s="3" t="str">
        <f t="shared" si="23"/>
        <v>A</v>
      </c>
      <c r="V69" s="3" t="e">
        <f t="shared" si="24"/>
        <v>#VALUE!</v>
      </c>
      <c r="W69" s="3" t="e">
        <f t="shared" si="25"/>
        <v>#VALUE!</v>
      </c>
      <c r="X69" s="3" t="str">
        <f t="shared" si="26"/>
        <v>A</v>
      </c>
      <c r="Y69" s="3" t="e">
        <f t="shared" si="27"/>
        <v>#VALUE!</v>
      </c>
      <c r="Z69" s="3" t="e">
        <f t="shared" si="28"/>
        <v>#VALUE!</v>
      </c>
      <c r="AA69" s="3" t="str">
        <f t="shared" si="29"/>
        <v/>
      </c>
      <c r="AB69" s="3" t="str">
        <f t="shared" si="30"/>
        <v/>
      </c>
      <c r="AC69" s="3" t="e">
        <f t="shared" si="31"/>
        <v>#VALUE!</v>
      </c>
      <c r="AD69" s="3" t="str">
        <f t="shared" si="32"/>
        <v/>
      </c>
      <c r="AE69" s="3" t="str">
        <f t="shared" si="33"/>
        <v/>
      </c>
      <c r="AF69" s="3" t="e">
        <f t="shared" si="34"/>
        <v>#VALUE!</v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2706</v>
      </c>
      <c r="J70" s="39"/>
      <c r="K70" s="39"/>
      <c r="L70" s="39" t="s">
        <v>2706</v>
      </c>
      <c r="M70" s="39"/>
      <c r="N70" s="39"/>
      <c r="O70" s="39" t="s">
        <v>2697</v>
      </c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str">
        <f t="shared" si="23"/>
        <v>A</v>
      </c>
      <c r="V70" s="3" t="e">
        <f t="shared" si="24"/>
        <v>#VALUE!</v>
      </c>
      <c r="W70" s="3" t="e">
        <f t="shared" si="25"/>
        <v>#VALUE!</v>
      </c>
      <c r="X70" s="3" t="str">
        <f t="shared" si="26"/>
        <v>H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e">
        <f t="shared" si="31"/>
        <v>#VALUE!</v>
      </c>
      <c r="AD70" s="3" t="str">
        <f t="shared" si="32"/>
        <v/>
      </c>
      <c r="AE70" s="3" t="str">
        <f t="shared" si="33"/>
        <v/>
      </c>
      <c r="AF70" s="3" t="e">
        <f t="shared" si="34"/>
        <v>#VALUE!</v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2709</v>
      </c>
      <c r="J71" s="39"/>
      <c r="K71" s="39"/>
      <c r="L71" s="39" t="s">
        <v>2712</v>
      </c>
      <c r="M71" s="39"/>
      <c r="N71" s="39"/>
      <c r="O71" s="39" t="s">
        <v>2699</v>
      </c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str">
        <f t="shared" si="23"/>
        <v>D</v>
      </c>
      <c r="V71" s="3" t="e">
        <f t="shared" si="24"/>
        <v>#VALUE!</v>
      </c>
      <c r="W71" s="3" t="e">
        <f t="shared" si="25"/>
        <v>#VALUE!</v>
      </c>
      <c r="X71" s="3" t="str">
        <f t="shared" si="26"/>
        <v>D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e">
        <f t="shared" si="31"/>
        <v>#VALUE!</v>
      </c>
      <c r="AD71" s="3" t="str">
        <f t="shared" si="32"/>
        <v/>
      </c>
      <c r="AE71" s="3" t="str">
        <f t="shared" si="33"/>
        <v/>
      </c>
      <c r="AF71" s="3" t="e">
        <f t="shared" si="34"/>
        <v>#VALUE!</v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2694</v>
      </c>
      <c r="J72" s="39"/>
      <c r="K72" s="39"/>
      <c r="L72" s="39" t="s">
        <v>2709</v>
      </c>
      <c r="M72" s="39"/>
      <c r="N72" s="39"/>
      <c r="O72" s="39" t="s">
        <v>2699</v>
      </c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str">
        <f t="shared" si="23"/>
        <v>A</v>
      </c>
      <c r="V72" s="3" t="e">
        <f t="shared" si="24"/>
        <v>#VALUE!</v>
      </c>
      <c r="W72" s="3" t="e">
        <f t="shared" si="25"/>
        <v>#VALUE!</v>
      </c>
      <c r="X72" s="3" t="str">
        <f t="shared" si="26"/>
        <v>D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e">
        <f t="shared" si="31"/>
        <v>#VALUE!</v>
      </c>
      <c r="AD72" s="3" t="str">
        <f t="shared" si="32"/>
        <v/>
      </c>
      <c r="AE72" s="3" t="str">
        <f t="shared" si="33"/>
        <v/>
      </c>
      <c r="AF72" s="3" t="e">
        <f t="shared" si="34"/>
        <v>#VALUE!</v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2707</v>
      </c>
      <c r="J73" s="39"/>
      <c r="K73" s="39"/>
      <c r="L73" s="39" t="s">
        <v>2728</v>
      </c>
      <c r="M73" s="39"/>
      <c r="N73" s="39"/>
      <c r="O73" s="39" t="s">
        <v>2706</v>
      </c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str">
        <f t="shared" si="23"/>
        <v>A</v>
      </c>
      <c r="V73" s="3" t="e">
        <f t="shared" si="24"/>
        <v>#VALUE!</v>
      </c>
      <c r="W73" s="3" t="e">
        <f t="shared" si="25"/>
        <v>#VALUE!</v>
      </c>
      <c r="X73" s="3" t="str">
        <f t="shared" si="26"/>
        <v>A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e">
        <f t="shared" si="31"/>
        <v>#VALUE!</v>
      </c>
      <c r="AD73" s="3" t="str">
        <f t="shared" si="32"/>
        <v/>
      </c>
      <c r="AE73" s="3" t="str">
        <f t="shared" si="33"/>
        <v/>
      </c>
      <c r="AF73" s="3" t="e">
        <f t="shared" si="34"/>
        <v>#VALUE!</v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2747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2747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2747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2747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2747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2747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2747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2747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2747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2747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2747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2747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2747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2747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2747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2748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2748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2748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2748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2748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2748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2748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2748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2748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2749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2749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2749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2749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2750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2750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2751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2751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2752</v>
      </c>
      <c r="F1" s="3" t="s">
        <v>2753</v>
      </c>
      <c r="G1" s="3" t="s">
        <v>2749</v>
      </c>
      <c r="H1" s="3" t="s">
        <v>2750</v>
      </c>
      <c r="I1" s="3" t="s">
        <v>2754</v>
      </c>
    </row>
    <row r="2" spans="1:9" x14ac:dyDescent="0.25">
      <c r="A2" s="3" t="s">
        <v>60</v>
      </c>
      <c r="B2" s="3" t="s">
        <v>2755</v>
      </c>
      <c r="C2" s="3" t="s">
        <v>2756</v>
      </c>
      <c r="D2" s="3" t="s">
        <v>2757</v>
      </c>
      <c r="E2" s="3" t="s">
        <v>2758</v>
      </c>
      <c r="F2" s="3" t="s">
        <v>2758</v>
      </c>
      <c r="G2" s="3" t="s">
        <v>2758</v>
      </c>
      <c r="H2" s="3" t="s">
        <v>2758</v>
      </c>
      <c r="I2" s="3" t="s">
        <v>2758</v>
      </c>
    </row>
    <row r="3" spans="1:9" x14ac:dyDescent="0.25">
      <c r="A3" s="3" t="s">
        <v>66</v>
      </c>
      <c r="B3" s="3" t="s">
        <v>2759</v>
      </c>
      <c r="C3" s="3" t="s">
        <v>2757</v>
      </c>
      <c r="D3" s="3" t="s">
        <v>2756</v>
      </c>
      <c r="E3" s="3" t="s">
        <v>2758</v>
      </c>
      <c r="F3" s="3" t="s">
        <v>2758</v>
      </c>
      <c r="G3" s="3" t="s">
        <v>2758</v>
      </c>
      <c r="H3" s="3" t="s">
        <v>2758</v>
      </c>
      <c r="I3" s="3" t="s">
        <v>2758</v>
      </c>
    </row>
    <row r="4" spans="1:9" x14ac:dyDescent="0.25">
      <c r="A4" s="3" t="s">
        <v>111</v>
      </c>
      <c r="B4" s="3" t="s">
        <v>2760</v>
      </c>
      <c r="C4" s="3" t="s">
        <v>2507</v>
      </c>
      <c r="D4" s="3" t="s">
        <v>2761</v>
      </c>
      <c r="E4" s="3" t="s">
        <v>2758</v>
      </c>
      <c r="F4" s="3" t="s">
        <v>2758</v>
      </c>
      <c r="G4" s="3" t="s">
        <v>2758</v>
      </c>
      <c r="H4" s="3" t="s">
        <v>2758</v>
      </c>
      <c r="I4" s="3" t="s">
        <v>2758</v>
      </c>
    </row>
    <row r="5" spans="1:9" x14ac:dyDescent="0.25">
      <c r="A5" s="3" t="s">
        <v>61</v>
      </c>
      <c r="B5" s="3" t="s">
        <v>2756</v>
      </c>
      <c r="C5" s="3" t="s">
        <v>2755</v>
      </c>
      <c r="D5" s="3" t="s">
        <v>2759</v>
      </c>
      <c r="E5" s="3" t="s">
        <v>2758</v>
      </c>
      <c r="F5" s="3" t="s">
        <v>2758</v>
      </c>
      <c r="G5" s="3" t="s">
        <v>2758</v>
      </c>
      <c r="H5" s="3" t="s">
        <v>2758</v>
      </c>
      <c r="I5" s="3" t="s">
        <v>2758</v>
      </c>
    </row>
    <row r="6" spans="1:9" x14ac:dyDescent="0.25">
      <c r="A6" s="3" t="s">
        <v>87</v>
      </c>
      <c r="B6" s="3" t="s">
        <v>2762</v>
      </c>
      <c r="C6" s="3" t="s">
        <v>2763</v>
      </c>
      <c r="D6" s="3" t="s">
        <v>2764</v>
      </c>
      <c r="E6" s="3" t="s">
        <v>2758</v>
      </c>
      <c r="F6" s="3" t="s">
        <v>2758</v>
      </c>
      <c r="G6" s="3" t="s">
        <v>2758</v>
      </c>
      <c r="H6" s="3" t="s">
        <v>2758</v>
      </c>
      <c r="I6" s="3" t="s">
        <v>2758</v>
      </c>
    </row>
    <row r="7" spans="1:9" x14ac:dyDescent="0.25">
      <c r="A7" s="3" t="s">
        <v>2765</v>
      </c>
      <c r="B7" s="3" t="s">
        <v>2766</v>
      </c>
      <c r="C7" s="3" t="s">
        <v>2767</v>
      </c>
      <c r="D7" s="3" t="s">
        <v>2768</v>
      </c>
      <c r="E7" s="3" t="s">
        <v>2758</v>
      </c>
      <c r="F7" s="3" t="s">
        <v>2758</v>
      </c>
      <c r="G7" s="3" t="s">
        <v>2758</v>
      </c>
      <c r="H7" s="3" t="s">
        <v>2758</v>
      </c>
      <c r="I7" s="3" t="s">
        <v>2758</v>
      </c>
    </row>
    <row r="8" spans="1:9" x14ac:dyDescent="0.25">
      <c r="A8" s="3" t="s">
        <v>143</v>
      </c>
      <c r="B8" s="3" t="s">
        <v>2769</v>
      </c>
      <c r="C8" s="3" t="s">
        <v>2770</v>
      </c>
      <c r="D8" s="3" t="s">
        <v>2771</v>
      </c>
      <c r="E8" s="3" t="s">
        <v>2758</v>
      </c>
      <c r="F8" s="3" t="s">
        <v>2758</v>
      </c>
      <c r="G8" s="3" t="s">
        <v>2758</v>
      </c>
      <c r="H8" s="3" t="s">
        <v>2758</v>
      </c>
      <c r="I8" s="3" t="s">
        <v>2758</v>
      </c>
    </row>
    <row r="9" spans="1:9" x14ac:dyDescent="0.25">
      <c r="A9" s="3" t="s">
        <v>155</v>
      </c>
      <c r="B9" s="3" t="s">
        <v>2772</v>
      </c>
      <c r="C9" s="3" t="s">
        <v>2768</v>
      </c>
      <c r="D9" s="3" t="s">
        <v>2767</v>
      </c>
      <c r="E9" s="3" t="s">
        <v>2758</v>
      </c>
      <c r="F9" s="3" t="s">
        <v>2758</v>
      </c>
      <c r="G9" s="3" t="s">
        <v>2758</v>
      </c>
      <c r="H9" s="3" t="s">
        <v>2758</v>
      </c>
      <c r="I9" s="3" t="s">
        <v>2758</v>
      </c>
    </row>
    <row r="10" spans="1:9" x14ac:dyDescent="0.25">
      <c r="A10" s="3" t="s">
        <v>2725</v>
      </c>
      <c r="B10" s="3" t="s">
        <v>2773</v>
      </c>
      <c r="C10" s="3" t="s">
        <v>2774</v>
      </c>
      <c r="D10" s="3" t="s">
        <v>2775</v>
      </c>
      <c r="E10" s="3" t="s">
        <v>2758</v>
      </c>
      <c r="F10" s="3" t="s">
        <v>2758</v>
      </c>
      <c r="G10" s="3" t="s">
        <v>2758</v>
      </c>
      <c r="H10" s="3" t="s">
        <v>2758</v>
      </c>
      <c r="I10" s="3" t="s">
        <v>2758</v>
      </c>
    </row>
    <row r="11" spans="1:9" x14ac:dyDescent="0.25">
      <c r="A11" s="3" t="s">
        <v>74</v>
      </c>
      <c r="B11" s="3" t="s">
        <v>2776</v>
      </c>
      <c r="C11" s="3" t="s">
        <v>2777</v>
      </c>
      <c r="D11" s="3" t="s">
        <v>2778</v>
      </c>
      <c r="E11" s="3" t="s">
        <v>2758</v>
      </c>
      <c r="F11" s="3" t="s">
        <v>2758</v>
      </c>
      <c r="G11" s="3" t="s">
        <v>2758</v>
      </c>
      <c r="H11" s="3" t="s">
        <v>2758</v>
      </c>
      <c r="I11" s="3" t="s">
        <v>2758</v>
      </c>
    </row>
    <row r="12" spans="1:9" x14ac:dyDescent="0.25">
      <c r="A12" s="3" t="s">
        <v>78</v>
      </c>
      <c r="B12" s="3" t="s">
        <v>2779</v>
      </c>
      <c r="C12" s="3" t="s">
        <v>2780</v>
      </c>
      <c r="D12" s="3" t="s">
        <v>2781</v>
      </c>
      <c r="E12" s="3" t="s">
        <v>2758</v>
      </c>
      <c r="F12" s="3" t="s">
        <v>2758</v>
      </c>
      <c r="G12" s="3" t="s">
        <v>2758</v>
      </c>
      <c r="H12" s="3" t="s">
        <v>2758</v>
      </c>
      <c r="I12" s="3" t="s">
        <v>2758</v>
      </c>
    </row>
    <row r="13" spans="1:9" x14ac:dyDescent="0.25">
      <c r="A13" s="3" t="s">
        <v>2782</v>
      </c>
      <c r="B13" s="3" t="s">
        <v>2783</v>
      </c>
      <c r="C13" s="3" t="s">
        <v>2784</v>
      </c>
      <c r="D13" s="3" t="s">
        <v>2785</v>
      </c>
      <c r="E13" s="3" t="s">
        <v>2758</v>
      </c>
      <c r="F13" s="3" t="s">
        <v>2758</v>
      </c>
      <c r="G13" s="3" t="s">
        <v>2758</v>
      </c>
      <c r="H13" s="3" t="s">
        <v>2758</v>
      </c>
      <c r="I13" s="3" t="s">
        <v>2758</v>
      </c>
    </row>
    <row r="14" spans="1:9" x14ac:dyDescent="0.25">
      <c r="A14" s="3" t="s">
        <v>138</v>
      </c>
      <c r="B14" s="3" t="s">
        <v>2786</v>
      </c>
      <c r="C14" s="3" t="s">
        <v>2787</v>
      </c>
      <c r="D14" s="3" t="s">
        <v>2788</v>
      </c>
      <c r="E14" s="3" t="s">
        <v>2758</v>
      </c>
      <c r="F14" s="3" t="s">
        <v>2758</v>
      </c>
      <c r="G14" s="3" t="s">
        <v>2758</v>
      </c>
      <c r="H14" s="3" t="s">
        <v>2758</v>
      </c>
      <c r="I14" s="3" t="s">
        <v>2758</v>
      </c>
    </row>
    <row r="15" spans="1:9" x14ac:dyDescent="0.25">
      <c r="A15" s="3" t="s">
        <v>2789</v>
      </c>
      <c r="B15" s="3" t="s">
        <v>2778</v>
      </c>
      <c r="C15" s="3" t="s">
        <v>2790</v>
      </c>
      <c r="D15" s="3" t="s">
        <v>2776</v>
      </c>
      <c r="E15" s="3" t="s">
        <v>2758</v>
      </c>
      <c r="F15" s="3" t="s">
        <v>2758</v>
      </c>
      <c r="G15" s="3" t="s">
        <v>2758</v>
      </c>
      <c r="H15" s="3" t="s">
        <v>2758</v>
      </c>
      <c r="I15" s="3" t="s">
        <v>2758</v>
      </c>
    </row>
    <row r="16" spans="1:9" x14ac:dyDescent="0.25">
      <c r="A16" s="3" t="s">
        <v>130</v>
      </c>
      <c r="B16" s="3" t="s">
        <v>2785</v>
      </c>
      <c r="C16" s="3" t="s">
        <v>2791</v>
      </c>
      <c r="D16" s="3" t="s">
        <v>2783</v>
      </c>
      <c r="E16" s="3" t="s">
        <v>2758</v>
      </c>
      <c r="F16" s="3" t="s">
        <v>2758</v>
      </c>
      <c r="G16" s="3" t="s">
        <v>2758</v>
      </c>
      <c r="H16" s="3" t="s">
        <v>2758</v>
      </c>
      <c r="I16" s="3" t="s">
        <v>2758</v>
      </c>
    </row>
    <row r="17" spans="1:9" x14ac:dyDescent="0.25">
      <c r="A17" s="3" t="s">
        <v>90</v>
      </c>
      <c r="B17" s="3" t="s">
        <v>2792</v>
      </c>
      <c r="C17" s="3" t="s">
        <v>2764</v>
      </c>
      <c r="D17" s="3" t="s">
        <v>2763</v>
      </c>
      <c r="E17" s="3" t="s">
        <v>2758</v>
      </c>
      <c r="F17" s="3" t="s">
        <v>2758</v>
      </c>
      <c r="G17" s="3" t="s">
        <v>2758</v>
      </c>
      <c r="H17" s="3" t="s">
        <v>2758</v>
      </c>
      <c r="I17" s="3" t="s">
        <v>2758</v>
      </c>
    </row>
    <row r="18" spans="1:9" x14ac:dyDescent="0.25">
      <c r="A18" s="3" t="s">
        <v>83</v>
      </c>
      <c r="B18" s="3" t="s">
        <v>2793</v>
      </c>
      <c r="C18" s="3" t="s">
        <v>2781</v>
      </c>
      <c r="D18" s="3" t="s">
        <v>2780</v>
      </c>
      <c r="E18" s="3" t="s">
        <v>2758</v>
      </c>
      <c r="F18" s="3" t="s">
        <v>2758</v>
      </c>
      <c r="G18" s="3" t="s">
        <v>2758</v>
      </c>
      <c r="H18" s="3" t="s">
        <v>2758</v>
      </c>
      <c r="I18" s="3" t="s">
        <v>2758</v>
      </c>
    </row>
    <row r="19" spans="1:9" x14ac:dyDescent="0.25">
      <c r="A19" s="3" t="s">
        <v>107</v>
      </c>
      <c r="B19" s="3" t="s">
        <v>2794</v>
      </c>
      <c r="C19" s="3" t="s">
        <v>2795</v>
      </c>
      <c r="D19" s="3" t="s">
        <v>2796</v>
      </c>
      <c r="E19" s="3" t="s">
        <v>2758</v>
      </c>
      <c r="F19" s="3" t="s">
        <v>2758</v>
      </c>
      <c r="G19" s="3" t="s">
        <v>2758</v>
      </c>
      <c r="H19" s="3" t="s">
        <v>2758</v>
      </c>
      <c r="I19" s="3" t="s">
        <v>2758</v>
      </c>
    </row>
    <row r="20" spans="1:9" x14ac:dyDescent="0.25">
      <c r="A20" s="3" t="s">
        <v>131</v>
      </c>
      <c r="B20" s="3" t="s">
        <v>2791</v>
      </c>
      <c r="C20" s="3" t="s">
        <v>2785</v>
      </c>
      <c r="D20" s="3" t="s">
        <v>2784</v>
      </c>
      <c r="E20" s="3" t="s">
        <v>2758</v>
      </c>
      <c r="F20" s="3" t="s">
        <v>2758</v>
      </c>
      <c r="G20" s="3" t="s">
        <v>2758</v>
      </c>
      <c r="H20" s="3" t="s">
        <v>2758</v>
      </c>
      <c r="I20" s="3" t="s">
        <v>2758</v>
      </c>
    </row>
    <row r="21" spans="1:9" x14ac:dyDescent="0.25">
      <c r="A21" s="3" t="s">
        <v>79</v>
      </c>
      <c r="B21" s="3" t="s">
        <v>2780</v>
      </c>
      <c r="C21" s="3" t="s">
        <v>2779</v>
      </c>
      <c r="D21" s="3" t="s">
        <v>2793</v>
      </c>
      <c r="E21" s="3" t="s">
        <v>2758</v>
      </c>
      <c r="F21" s="3" t="s">
        <v>2758</v>
      </c>
      <c r="G21" s="3" t="s">
        <v>2758</v>
      </c>
      <c r="H21" s="3" t="s">
        <v>2758</v>
      </c>
      <c r="I21" s="3" t="s">
        <v>2758</v>
      </c>
    </row>
    <row r="22" spans="1:9" x14ac:dyDescent="0.25">
      <c r="A22" s="3" t="s">
        <v>147</v>
      </c>
      <c r="B22" s="3" t="s">
        <v>2771</v>
      </c>
      <c r="C22" s="3" t="s">
        <v>2797</v>
      </c>
      <c r="D22" s="3" t="s">
        <v>2769</v>
      </c>
      <c r="E22" s="3" t="s">
        <v>2758</v>
      </c>
      <c r="F22" s="3" t="s">
        <v>2758</v>
      </c>
      <c r="G22" s="3" t="s">
        <v>2758</v>
      </c>
      <c r="H22" s="3" t="s">
        <v>2758</v>
      </c>
      <c r="I22" s="3" t="s">
        <v>2758</v>
      </c>
    </row>
    <row r="23" spans="1:9" x14ac:dyDescent="0.25">
      <c r="A23" s="3" t="s">
        <v>1522</v>
      </c>
      <c r="B23" s="3" t="s">
        <v>2764</v>
      </c>
      <c r="C23" s="3" t="s">
        <v>2792</v>
      </c>
      <c r="D23" s="3" t="s">
        <v>2762</v>
      </c>
      <c r="E23" s="3" t="s">
        <v>2758</v>
      </c>
      <c r="F23" s="3" t="s">
        <v>2758</v>
      </c>
      <c r="G23" s="3" t="s">
        <v>2758</v>
      </c>
      <c r="H23" s="3" t="s">
        <v>2758</v>
      </c>
      <c r="I23" s="3" t="s">
        <v>2758</v>
      </c>
    </row>
    <row r="24" spans="1:9" x14ac:dyDescent="0.25">
      <c r="A24" s="3" t="s">
        <v>103</v>
      </c>
      <c r="B24" s="3" t="s">
        <v>2796</v>
      </c>
      <c r="C24" s="3" t="s">
        <v>2798</v>
      </c>
      <c r="D24" s="3" t="s">
        <v>2794</v>
      </c>
      <c r="E24" s="3" t="s">
        <v>2758</v>
      </c>
      <c r="F24" s="3" t="s">
        <v>2758</v>
      </c>
      <c r="G24" s="3" t="s">
        <v>2758</v>
      </c>
      <c r="H24" s="3" t="s">
        <v>2758</v>
      </c>
      <c r="I24" s="3" t="s">
        <v>2758</v>
      </c>
    </row>
    <row r="25" spans="1:9" x14ac:dyDescent="0.25">
      <c r="A25" s="3" t="s">
        <v>2683</v>
      </c>
      <c r="B25" s="3" t="s">
        <v>2784</v>
      </c>
      <c r="C25" s="3" t="s">
        <v>2783</v>
      </c>
      <c r="D25" s="3" t="s">
        <v>2791</v>
      </c>
      <c r="E25" s="3" t="s">
        <v>2758</v>
      </c>
      <c r="F25" s="3" t="s">
        <v>2758</v>
      </c>
      <c r="G25" s="3" t="s">
        <v>2758</v>
      </c>
      <c r="H25" s="3" t="s">
        <v>2758</v>
      </c>
      <c r="I25" s="3" t="s">
        <v>2758</v>
      </c>
    </row>
    <row r="26" spans="1:9" x14ac:dyDescent="0.25">
      <c r="A26" s="3" t="s">
        <v>118</v>
      </c>
      <c r="B26" s="3" t="s">
        <v>2799</v>
      </c>
      <c r="C26" s="3" t="s">
        <v>2800</v>
      </c>
      <c r="D26" s="3" t="s">
        <v>2801</v>
      </c>
      <c r="E26" s="3" t="s">
        <v>2758</v>
      </c>
      <c r="F26" s="3" t="s">
        <v>2758</v>
      </c>
      <c r="G26" s="3" t="s">
        <v>2758</v>
      </c>
      <c r="H26" s="3" t="s">
        <v>2758</v>
      </c>
      <c r="I26" s="3" t="s">
        <v>2758</v>
      </c>
    </row>
    <row r="27" spans="1:9" x14ac:dyDescent="0.25">
      <c r="A27" s="3" t="s">
        <v>65</v>
      </c>
      <c r="B27" s="3" t="s">
        <v>2757</v>
      </c>
      <c r="C27" s="3" t="s">
        <v>2759</v>
      </c>
      <c r="D27" s="3" t="s">
        <v>2755</v>
      </c>
      <c r="E27" s="3" t="s">
        <v>2758</v>
      </c>
      <c r="F27" s="3" t="s">
        <v>2758</v>
      </c>
      <c r="G27" s="3" t="s">
        <v>2758</v>
      </c>
      <c r="H27" s="3" t="s">
        <v>2758</v>
      </c>
      <c r="I27" s="3" t="s">
        <v>2758</v>
      </c>
    </row>
    <row r="28" spans="1:9" x14ac:dyDescent="0.25">
      <c r="A28" s="3" t="s">
        <v>139</v>
      </c>
      <c r="B28" s="3" t="s">
        <v>2787</v>
      </c>
      <c r="C28" s="3" t="s">
        <v>2786</v>
      </c>
      <c r="D28" s="3" t="s">
        <v>2802</v>
      </c>
      <c r="E28" s="3" t="s">
        <v>2758</v>
      </c>
      <c r="F28" s="3" t="s">
        <v>2758</v>
      </c>
      <c r="G28" s="3" t="s">
        <v>2758</v>
      </c>
      <c r="H28" s="3" t="s">
        <v>2758</v>
      </c>
      <c r="I28" s="3" t="s">
        <v>2758</v>
      </c>
    </row>
    <row r="29" spans="1:9" x14ac:dyDescent="0.25">
      <c r="A29" s="3" t="s">
        <v>146</v>
      </c>
      <c r="B29" s="3" t="s">
        <v>2797</v>
      </c>
      <c r="C29" s="3" t="s">
        <v>2771</v>
      </c>
      <c r="D29" s="3" t="s">
        <v>2770</v>
      </c>
      <c r="E29" s="3" t="s">
        <v>2758</v>
      </c>
      <c r="F29" s="3" t="s">
        <v>2758</v>
      </c>
      <c r="G29" s="3" t="s">
        <v>2758</v>
      </c>
      <c r="H29" s="3" t="s">
        <v>2758</v>
      </c>
      <c r="I29" s="3" t="s">
        <v>2758</v>
      </c>
    </row>
    <row r="30" spans="1:9" x14ac:dyDescent="0.25">
      <c r="A30" s="3" t="s">
        <v>123</v>
      </c>
      <c r="B30" s="3" t="s">
        <v>2803</v>
      </c>
      <c r="C30" s="3" t="s">
        <v>2801</v>
      </c>
      <c r="D30" s="3" t="s">
        <v>2800</v>
      </c>
      <c r="E30" s="3" t="s">
        <v>2758</v>
      </c>
      <c r="F30" s="3" t="s">
        <v>2758</v>
      </c>
      <c r="G30" s="3" t="s">
        <v>2758</v>
      </c>
      <c r="H30" s="3" t="s">
        <v>2758</v>
      </c>
      <c r="I30" s="3" t="s">
        <v>2758</v>
      </c>
    </row>
    <row r="31" spans="1:9" x14ac:dyDescent="0.25">
      <c r="A31" s="3" t="s">
        <v>86</v>
      </c>
      <c r="B31" s="3" t="s">
        <v>2763</v>
      </c>
      <c r="C31" s="3" t="s">
        <v>2762</v>
      </c>
      <c r="D31" s="3" t="s">
        <v>2792</v>
      </c>
      <c r="E31" s="3" t="s">
        <v>2758</v>
      </c>
      <c r="F31" s="3" t="s">
        <v>2758</v>
      </c>
      <c r="G31" s="3" t="s">
        <v>2758</v>
      </c>
      <c r="H31" s="3" t="s">
        <v>2758</v>
      </c>
      <c r="I31" s="3" t="s">
        <v>2758</v>
      </c>
    </row>
    <row r="32" spans="1:9" x14ac:dyDescent="0.25">
      <c r="A32" s="3" t="s">
        <v>106</v>
      </c>
      <c r="B32" s="3" t="s">
        <v>2795</v>
      </c>
      <c r="C32" s="3" t="s">
        <v>2794</v>
      </c>
      <c r="D32" s="3" t="s">
        <v>2798</v>
      </c>
      <c r="E32" s="3" t="s">
        <v>2758</v>
      </c>
      <c r="F32" s="3" t="s">
        <v>2758</v>
      </c>
      <c r="G32" s="3" t="s">
        <v>2758</v>
      </c>
      <c r="H32" s="3" t="s">
        <v>2758</v>
      </c>
      <c r="I32" s="3" t="s">
        <v>2758</v>
      </c>
    </row>
    <row r="33" spans="1:9" x14ac:dyDescent="0.25">
      <c r="A33" s="3" t="s">
        <v>82</v>
      </c>
      <c r="B33" s="3" t="s">
        <v>2781</v>
      </c>
      <c r="C33" s="3" t="s">
        <v>2793</v>
      </c>
      <c r="D33" s="3" t="s">
        <v>2779</v>
      </c>
      <c r="E33" s="3" t="s">
        <v>2758</v>
      </c>
      <c r="F33" s="3" t="s">
        <v>2758</v>
      </c>
      <c r="G33" s="3" t="s">
        <v>2758</v>
      </c>
      <c r="H33" s="3" t="s">
        <v>2758</v>
      </c>
      <c r="I33" s="3" t="s">
        <v>2758</v>
      </c>
    </row>
    <row r="34" spans="1:9" x14ac:dyDescent="0.25">
      <c r="A34" s="3" t="s">
        <v>110</v>
      </c>
      <c r="B34" s="3" t="s">
        <v>2507</v>
      </c>
      <c r="C34" s="3" t="s">
        <v>2760</v>
      </c>
      <c r="D34" s="3" t="s">
        <v>2804</v>
      </c>
      <c r="E34" s="3" t="s">
        <v>2758</v>
      </c>
      <c r="F34" s="3" t="s">
        <v>2758</v>
      </c>
      <c r="G34" s="3" t="s">
        <v>2758</v>
      </c>
      <c r="H34" s="3" t="s">
        <v>2758</v>
      </c>
      <c r="I34" s="3" t="s">
        <v>2758</v>
      </c>
    </row>
    <row r="35" spans="1:9" x14ac:dyDescent="0.25">
      <c r="A35" s="3" t="s">
        <v>75</v>
      </c>
      <c r="B35" s="3" t="s">
        <v>2777</v>
      </c>
      <c r="C35" s="3" t="s">
        <v>2776</v>
      </c>
      <c r="D35" s="3" t="s">
        <v>2790</v>
      </c>
      <c r="E35" s="3" t="s">
        <v>2758</v>
      </c>
      <c r="F35" s="3" t="s">
        <v>2758</v>
      </c>
      <c r="G35" s="3" t="s">
        <v>2758</v>
      </c>
      <c r="H35" s="3" t="s">
        <v>2758</v>
      </c>
      <c r="I35" s="3" t="s">
        <v>2758</v>
      </c>
    </row>
    <row r="36" spans="1:9" x14ac:dyDescent="0.25">
      <c r="A36" s="3" t="s">
        <v>151</v>
      </c>
      <c r="B36" s="3" t="s">
        <v>2767</v>
      </c>
      <c r="C36" s="3" t="s">
        <v>2766</v>
      </c>
      <c r="D36" s="3" t="s">
        <v>2772</v>
      </c>
      <c r="E36" s="3" t="s">
        <v>2758</v>
      </c>
      <c r="F36" s="3" t="s">
        <v>2758</v>
      </c>
      <c r="G36" s="3" t="s">
        <v>2758</v>
      </c>
      <c r="H36" s="3" t="s">
        <v>2758</v>
      </c>
      <c r="I36" s="3" t="s">
        <v>2758</v>
      </c>
    </row>
    <row r="37" spans="1:9" x14ac:dyDescent="0.25">
      <c r="A37" s="3" t="s">
        <v>95</v>
      </c>
      <c r="B37" s="3" t="s">
        <v>2774</v>
      </c>
      <c r="C37" s="3" t="s">
        <v>2773</v>
      </c>
      <c r="D37" s="3" t="s">
        <v>2805</v>
      </c>
      <c r="E37" s="3" t="s">
        <v>2758</v>
      </c>
      <c r="F37" s="3" t="s">
        <v>2758</v>
      </c>
      <c r="G37" s="3" t="s">
        <v>2758</v>
      </c>
      <c r="H37" s="3" t="s">
        <v>2758</v>
      </c>
      <c r="I37" s="3" t="s">
        <v>2758</v>
      </c>
    </row>
    <row r="38" spans="1:9" x14ac:dyDescent="0.25">
      <c r="A38" s="3" t="s">
        <v>142</v>
      </c>
      <c r="B38" s="3" t="s">
        <v>2770</v>
      </c>
      <c r="C38" s="3" t="s">
        <v>2769</v>
      </c>
      <c r="D38" s="3" t="s">
        <v>2797</v>
      </c>
      <c r="E38" s="3" t="s">
        <v>2758</v>
      </c>
      <c r="F38" s="3" t="s">
        <v>2758</v>
      </c>
      <c r="G38" s="3" t="s">
        <v>2758</v>
      </c>
      <c r="H38" s="3" t="s">
        <v>2758</v>
      </c>
      <c r="I38" s="3" t="s">
        <v>2758</v>
      </c>
    </row>
    <row r="39" spans="1:9" x14ac:dyDescent="0.25">
      <c r="A39" s="3" t="s">
        <v>102</v>
      </c>
      <c r="B39" s="3" t="s">
        <v>2798</v>
      </c>
      <c r="C39" s="3" t="s">
        <v>2796</v>
      </c>
      <c r="D39" s="3" t="s">
        <v>2795</v>
      </c>
      <c r="E39" s="3" t="s">
        <v>2758</v>
      </c>
      <c r="F39" s="3" t="s">
        <v>2758</v>
      </c>
      <c r="G39" s="3" t="s">
        <v>2758</v>
      </c>
      <c r="H39" s="3" t="s">
        <v>2758</v>
      </c>
      <c r="I39" s="3" t="s">
        <v>2758</v>
      </c>
    </row>
    <row r="40" spans="1:9" x14ac:dyDescent="0.25">
      <c r="A40" s="3" t="s">
        <v>134</v>
      </c>
      <c r="B40" s="3" t="s">
        <v>2788</v>
      </c>
      <c r="C40" s="3" t="s">
        <v>2802</v>
      </c>
      <c r="D40" s="3" t="s">
        <v>2786</v>
      </c>
      <c r="E40" s="3" t="s">
        <v>2758</v>
      </c>
      <c r="F40" s="3" t="s">
        <v>2758</v>
      </c>
      <c r="G40" s="3" t="s">
        <v>2758</v>
      </c>
      <c r="H40" s="3" t="s">
        <v>2758</v>
      </c>
      <c r="I40" s="3" t="s">
        <v>2758</v>
      </c>
    </row>
    <row r="41" spans="1:9" x14ac:dyDescent="0.25">
      <c r="A41" s="3" t="s">
        <v>2681</v>
      </c>
      <c r="B41" s="3" t="s">
        <v>2802</v>
      </c>
      <c r="C41" s="3" t="s">
        <v>2788</v>
      </c>
      <c r="D41" s="3" t="s">
        <v>2787</v>
      </c>
      <c r="E41" s="3" t="s">
        <v>2758</v>
      </c>
      <c r="F41" s="3" t="s">
        <v>2758</v>
      </c>
      <c r="G41" s="3" t="s">
        <v>2758</v>
      </c>
      <c r="H41" s="3" t="s">
        <v>2758</v>
      </c>
      <c r="I41" s="3" t="s">
        <v>2758</v>
      </c>
    </row>
    <row r="42" spans="1:9" x14ac:dyDescent="0.25">
      <c r="A42" s="3" t="s">
        <v>99</v>
      </c>
      <c r="B42" s="3" t="s">
        <v>2805</v>
      </c>
      <c r="C42" s="3" t="s">
        <v>2775</v>
      </c>
      <c r="D42" s="3" t="s">
        <v>2774</v>
      </c>
      <c r="E42" s="3" t="s">
        <v>2758</v>
      </c>
      <c r="F42" s="3" t="s">
        <v>2758</v>
      </c>
      <c r="G42" s="3" t="s">
        <v>2758</v>
      </c>
      <c r="H42" s="3" t="s">
        <v>2758</v>
      </c>
      <c r="I42" s="3" t="s">
        <v>2758</v>
      </c>
    </row>
    <row r="43" spans="1:9" x14ac:dyDescent="0.25">
      <c r="A43" s="3" t="s">
        <v>119</v>
      </c>
      <c r="B43" s="3" t="s">
        <v>2800</v>
      </c>
      <c r="C43" s="3" t="s">
        <v>2799</v>
      </c>
      <c r="D43" s="3" t="s">
        <v>2803</v>
      </c>
      <c r="E43" s="3" t="s">
        <v>2758</v>
      </c>
      <c r="F43" s="3" t="s">
        <v>2758</v>
      </c>
      <c r="G43" s="3" t="s">
        <v>2758</v>
      </c>
      <c r="H43" s="3" t="s">
        <v>2758</v>
      </c>
      <c r="I43" s="3" t="s">
        <v>2758</v>
      </c>
    </row>
    <row r="44" spans="1:9" x14ac:dyDescent="0.25">
      <c r="A44" s="3" t="s">
        <v>154</v>
      </c>
      <c r="B44" s="3" t="s">
        <v>2768</v>
      </c>
      <c r="C44" s="3" t="s">
        <v>2772</v>
      </c>
      <c r="D44" s="3" t="s">
        <v>2766</v>
      </c>
      <c r="E44" s="3" t="s">
        <v>2758</v>
      </c>
      <c r="F44" s="3" t="s">
        <v>2758</v>
      </c>
      <c r="G44" s="3" t="s">
        <v>2758</v>
      </c>
      <c r="H44" s="3" t="s">
        <v>2758</v>
      </c>
      <c r="I44" s="3" t="s">
        <v>2758</v>
      </c>
    </row>
    <row r="45" spans="1:9" x14ac:dyDescent="0.25">
      <c r="A45" s="3" t="s">
        <v>122</v>
      </c>
      <c r="B45" s="3" t="s">
        <v>2801</v>
      </c>
      <c r="C45" s="3" t="s">
        <v>2803</v>
      </c>
      <c r="D45" s="3" t="s">
        <v>2799</v>
      </c>
      <c r="E45" s="3" t="s">
        <v>2758</v>
      </c>
      <c r="F45" s="3" t="s">
        <v>2758</v>
      </c>
      <c r="G45" s="3" t="s">
        <v>2758</v>
      </c>
      <c r="H45" s="3" t="s">
        <v>2758</v>
      </c>
      <c r="I45" s="3" t="s">
        <v>2758</v>
      </c>
    </row>
    <row r="46" spans="1:9" x14ac:dyDescent="0.25">
      <c r="A46" s="3" t="s">
        <v>2680</v>
      </c>
      <c r="B46" s="3" t="s">
        <v>2804</v>
      </c>
      <c r="C46" s="3" t="s">
        <v>2761</v>
      </c>
      <c r="D46" s="3" t="s">
        <v>2507</v>
      </c>
      <c r="E46" s="3" t="s">
        <v>2758</v>
      </c>
      <c r="F46" s="3" t="s">
        <v>2758</v>
      </c>
      <c r="G46" s="3" t="s">
        <v>2758</v>
      </c>
      <c r="H46" s="3" t="s">
        <v>2758</v>
      </c>
      <c r="I46" s="3" t="s">
        <v>2758</v>
      </c>
    </row>
    <row r="47" spans="1:9" x14ac:dyDescent="0.25">
      <c r="A47" s="3" t="s">
        <v>2507</v>
      </c>
      <c r="B47" s="3" t="s">
        <v>2761</v>
      </c>
      <c r="C47" s="3" t="s">
        <v>2804</v>
      </c>
      <c r="D47" s="3" t="s">
        <v>2760</v>
      </c>
      <c r="E47" s="3" t="s">
        <v>2758</v>
      </c>
      <c r="F47" s="3" t="s">
        <v>2758</v>
      </c>
      <c r="G47" s="3" t="s">
        <v>2758</v>
      </c>
      <c r="H47" s="3" t="s">
        <v>2758</v>
      </c>
      <c r="I47" s="3" t="s">
        <v>2758</v>
      </c>
    </row>
    <row r="48" spans="1:9" x14ac:dyDescent="0.25">
      <c r="A48" s="3" t="s">
        <v>98</v>
      </c>
      <c r="B48" s="3" t="s">
        <v>2775</v>
      </c>
      <c r="C48" s="3" t="s">
        <v>2805</v>
      </c>
      <c r="D48" s="3" t="s">
        <v>2773</v>
      </c>
      <c r="E48" s="3" t="s">
        <v>2758</v>
      </c>
      <c r="F48" s="3" t="s">
        <v>2758</v>
      </c>
      <c r="G48" s="3" t="s">
        <v>2758</v>
      </c>
      <c r="H48" s="3" t="s">
        <v>2758</v>
      </c>
      <c r="I48" s="3" t="s">
        <v>2758</v>
      </c>
    </row>
    <row r="49" spans="1:9" x14ac:dyDescent="0.25">
      <c r="A49" s="3" t="s">
        <v>71</v>
      </c>
      <c r="B49" s="3" t="s">
        <v>2790</v>
      </c>
      <c r="C49" s="3" t="s">
        <v>2778</v>
      </c>
      <c r="D49" s="3" t="s">
        <v>2777</v>
      </c>
      <c r="E49" s="3" t="s">
        <v>2758</v>
      </c>
      <c r="F49" s="3" t="s">
        <v>2758</v>
      </c>
      <c r="G49" s="3" t="s">
        <v>2758</v>
      </c>
      <c r="H49" s="3" t="s">
        <v>2758</v>
      </c>
      <c r="I49" s="3" t="s">
        <v>2758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2806</v>
      </c>
      <c r="C1" s="3" t="s">
        <v>2807</v>
      </c>
      <c r="D1" s="3" t="s">
        <v>260</v>
      </c>
      <c r="E1" s="3" t="s">
        <v>261</v>
      </c>
      <c r="F1" s="3" t="s">
        <v>2808</v>
      </c>
      <c r="G1" s="3" t="s">
        <v>2808</v>
      </c>
    </row>
    <row r="2" spans="1:7" x14ac:dyDescent="0.25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528</v>
      </c>
      <c r="B130" s="3" t="s">
        <v>774</v>
      </c>
      <c r="C130" s="3" t="s">
        <v>775</v>
      </c>
      <c r="D130" s="3" t="s">
        <v>2765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528</v>
      </c>
      <c r="B131" s="3" t="s">
        <v>772</v>
      </c>
      <c r="C131" s="3" t="s">
        <v>773</v>
      </c>
      <c r="D131" s="3" t="s">
        <v>2765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528</v>
      </c>
      <c r="B132" s="3" t="s">
        <v>769</v>
      </c>
      <c r="C132" s="3" t="s">
        <v>770</v>
      </c>
      <c r="D132" s="3" t="s">
        <v>2765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535</v>
      </c>
      <c r="B133" s="3" t="s">
        <v>778</v>
      </c>
      <c r="C133" s="3" t="s">
        <v>779</v>
      </c>
      <c r="D133" s="3" t="s">
        <v>2765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535</v>
      </c>
      <c r="B134" s="3" t="s">
        <v>780</v>
      </c>
      <c r="C134" s="3" t="s">
        <v>781</v>
      </c>
      <c r="D134" s="3" t="s">
        <v>2765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535</v>
      </c>
      <c r="B135" s="3" t="s">
        <v>790</v>
      </c>
      <c r="C135" s="3" t="s">
        <v>791</v>
      </c>
      <c r="D135" s="3" t="s">
        <v>2765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535</v>
      </c>
      <c r="B136" s="3" t="s">
        <v>782</v>
      </c>
      <c r="C136" s="3" t="s">
        <v>783</v>
      </c>
      <c r="D136" s="3" t="s">
        <v>2765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535</v>
      </c>
      <c r="B137" s="3" t="s">
        <v>776</v>
      </c>
      <c r="C137" s="3" t="s">
        <v>777</v>
      </c>
      <c r="D137" s="3" t="s">
        <v>2765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535</v>
      </c>
      <c r="B138" s="3" t="s">
        <v>788</v>
      </c>
      <c r="C138" s="3" t="s">
        <v>789</v>
      </c>
      <c r="D138" s="3" t="s">
        <v>2765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535</v>
      </c>
      <c r="B139" s="3" t="s">
        <v>786</v>
      </c>
      <c r="C139" s="3" t="s">
        <v>787</v>
      </c>
      <c r="D139" s="3" t="s">
        <v>2765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535</v>
      </c>
      <c r="B140" s="3" t="s">
        <v>784</v>
      </c>
      <c r="C140" s="3" t="s">
        <v>785</v>
      </c>
      <c r="D140" s="3" t="s">
        <v>2765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554</v>
      </c>
      <c r="B141" s="3" t="s">
        <v>796</v>
      </c>
      <c r="C141" s="3" t="s">
        <v>797</v>
      </c>
      <c r="D141" s="3" t="s">
        <v>2765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554</v>
      </c>
      <c r="B142" s="3" t="s">
        <v>798</v>
      </c>
      <c r="C142" s="3" t="s">
        <v>799</v>
      </c>
      <c r="D142" s="3" t="s">
        <v>2765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554</v>
      </c>
      <c r="B143" s="3" t="s">
        <v>794</v>
      </c>
      <c r="C143" s="3" t="s">
        <v>795</v>
      </c>
      <c r="D143" s="3" t="s">
        <v>2765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554</v>
      </c>
      <c r="B144" s="3" t="s">
        <v>792</v>
      </c>
      <c r="C144" s="3" t="s">
        <v>793</v>
      </c>
      <c r="D144" s="3" t="s">
        <v>2765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554</v>
      </c>
      <c r="B145" s="3" t="s">
        <v>802</v>
      </c>
      <c r="C145" s="3" t="s">
        <v>803</v>
      </c>
      <c r="D145" s="3" t="s">
        <v>2765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554</v>
      </c>
      <c r="B146" s="3" t="s">
        <v>806</v>
      </c>
      <c r="C146" s="3" t="s">
        <v>807</v>
      </c>
      <c r="D146" s="3" t="s">
        <v>2765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554</v>
      </c>
      <c r="B147" s="3" t="s">
        <v>800</v>
      </c>
      <c r="C147" s="3" t="s">
        <v>801</v>
      </c>
      <c r="D147" s="3" t="s">
        <v>2765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554</v>
      </c>
      <c r="B148" s="3" t="s">
        <v>804</v>
      </c>
      <c r="C148" s="3" t="s">
        <v>805</v>
      </c>
      <c r="D148" s="3" t="s">
        <v>2765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569</v>
      </c>
      <c r="B149" s="3" t="s">
        <v>810</v>
      </c>
      <c r="C149" s="3" t="s">
        <v>811</v>
      </c>
      <c r="D149" s="3" t="s">
        <v>2765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569</v>
      </c>
      <c r="B150" s="3" t="s">
        <v>812</v>
      </c>
      <c r="C150" s="3" t="s">
        <v>813</v>
      </c>
      <c r="D150" s="3" t="s">
        <v>2765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569</v>
      </c>
      <c r="B151" s="3" t="s">
        <v>816</v>
      </c>
      <c r="C151" s="3" t="s">
        <v>817</v>
      </c>
      <c r="D151" s="3" t="s">
        <v>2765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569</v>
      </c>
      <c r="B152" s="3" t="s">
        <v>814</v>
      </c>
      <c r="C152" s="3" t="s">
        <v>815</v>
      </c>
      <c r="D152" s="3" t="s">
        <v>2765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569</v>
      </c>
      <c r="B153" s="3" t="s">
        <v>818</v>
      </c>
      <c r="C153" s="3" t="s">
        <v>819</v>
      </c>
      <c r="D153" s="3" t="s">
        <v>2765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569</v>
      </c>
      <c r="B154" s="3" t="s">
        <v>820</v>
      </c>
      <c r="C154" s="3" t="s">
        <v>821</v>
      </c>
      <c r="D154" s="3" t="s">
        <v>2765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569</v>
      </c>
      <c r="B155" s="3" t="s">
        <v>808</v>
      </c>
      <c r="C155" s="3" t="s">
        <v>809</v>
      </c>
      <c r="D155" s="3" t="s">
        <v>2765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528</v>
      </c>
      <c r="B207" s="3" t="s">
        <v>839</v>
      </c>
      <c r="C207" s="3" t="s">
        <v>839</v>
      </c>
      <c r="D207" s="3" t="s">
        <v>2725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528</v>
      </c>
      <c r="B208" s="3" t="s">
        <v>840</v>
      </c>
      <c r="C208" s="3" t="s">
        <v>840</v>
      </c>
      <c r="D208" s="3" t="s">
        <v>2725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528</v>
      </c>
      <c r="B209" s="3" t="s">
        <v>838</v>
      </c>
      <c r="C209" s="3" t="s">
        <v>838</v>
      </c>
      <c r="D209" s="3" t="s">
        <v>2725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535</v>
      </c>
      <c r="B210" s="3" t="s">
        <v>843</v>
      </c>
      <c r="C210" s="3" t="s">
        <v>843</v>
      </c>
      <c r="D210" s="3" t="s">
        <v>2725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535</v>
      </c>
      <c r="B211" s="3" t="s">
        <v>848</v>
      </c>
      <c r="C211" s="3" t="s">
        <v>848</v>
      </c>
      <c r="D211" s="3" t="s">
        <v>2725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535</v>
      </c>
      <c r="B212" s="3" t="s">
        <v>847</v>
      </c>
      <c r="C212" s="3" t="s">
        <v>847</v>
      </c>
      <c r="D212" s="3" t="s">
        <v>2725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535</v>
      </c>
      <c r="B213" s="3" t="s">
        <v>845</v>
      </c>
      <c r="C213" s="3" t="s">
        <v>845</v>
      </c>
      <c r="D213" s="3" t="s">
        <v>2725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535</v>
      </c>
      <c r="B214" s="3" t="s">
        <v>842</v>
      </c>
      <c r="C214" s="3" t="s">
        <v>842</v>
      </c>
      <c r="D214" s="3" t="s">
        <v>2725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535</v>
      </c>
      <c r="B215" s="3" t="s">
        <v>844</v>
      </c>
      <c r="C215" s="3" t="s">
        <v>844</v>
      </c>
      <c r="D215" s="3" t="s">
        <v>2725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535</v>
      </c>
      <c r="B216" s="3" t="s">
        <v>841</v>
      </c>
      <c r="C216" s="3" t="s">
        <v>841</v>
      </c>
      <c r="D216" s="3" t="s">
        <v>2725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535</v>
      </c>
      <c r="B217" s="3" t="s">
        <v>846</v>
      </c>
      <c r="C217" s="3" t="s">
        <v>846</v>
      </c>
      <c r="D217" s="3" t="s">
        <v>2725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554</v>
      </c>
      <c r="B218" s="3" t="s">
        <v>855</v>
      </c>
      <c r="C218" s="3" t="s">
        <v>855</v>
      </c>
      <c r="D218" s="3" t="s">
        <v>2725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554</v>
      </c>
      <c r="B219" s="3" t="s">
        <v>853</v>
      </c>
      <c r="C219" s="3" t="s">
        <v>853</v>
      </c>
      <c r="D219" s="3" t="s">
        <v>2725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554</v>
      </c>
      <c r="B220" s="3" t="s">
        <v>851</v>
      </c>
      <c r="C220" s="3" t="s">
        <v>851</v>
      </c>
      <c r="D220" s="3" t="s">
        <v>2725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554</v>
      </c>
      <c r="B221" s="3" t="s">
        <v>849</v>
      </c>
      <c r="C221" s="3" t="s">
        <v>849</v>
      </c>
      <c r="D221" s="3" t="s">
        <v>2725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554</v>
      </c>
      <c r="B222" s="3" t="s">
        <v>850</v>
      </c>
      <c r="C222" s="3" t="s">
        <v>850</v>
      </c>
      <c r="D222" s="3" t="s">
        <v>2725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554</v>
      </c>
      <c r="B223" s="3" t="s">
        <v>854</v>
      </c>
      <c r="C223" s="3" t="s">
        <v>854</v>
      </c>
      <c r="D223" s="3" t="s">
        <v>2725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554</v>
      </c>
      <c r="B224" s="3" t="s">
        <v>852</v>
      </c>
      <c r="C224" s="3" t="s">
        <v>852</v>
      </c>
      <c r="D224" s="3" t="s">
        <v>2725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569</v>
      </c>
      <c r="B225" s="3" t="s">
        <v>857</v>
      </c>
      <c r="C225" s="3" t="s">
        <v>857</v>
      </c>
      <c r="D225" s="3" t="s">
        <v>2725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569</v>
      </c>
      <c r="B226" s="3" t="s">
        <v>860</v>
      </c>
      <c r="C226" s="3" t="s">
        <v>860</v>
      </c>
      <c r="D226" s="3" t="s">
        <v>2725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569</v>
      </c>
      <c r="B227" s="3" t="s">
        <v>858</v>
      </c>
      <c r="C227" s="3" t="s">
        <v>858</v>
      </c>
      <c r="D227" s="3" t="s">
        <v>2725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569</v>
      </c>
      <c r="B228" s="3" t="s">
        <v>863</v>
      </c>
      <c r="C228" s="3" t="s">
        <v>863</v>
      </c>
      <c r="D228" s="3" t="s">
        <v>2725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569</v>
      </c>
      <c r="B229" s="3" t="s">
        <v>856</v>
      </c>
      <c r="C229" s="3" t="s">
        <v>856</v>
      </c>
      <c r="D229" s="3" t="s">
        <v>2725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569</v>
      </c>
      <c r="B230" s="3" t="s">
        <v>861</v>
      </c>
      <c r="C230" s="3" t="s">
        <v>861</v>
      </c>
      <c r="D230" s="3" t="s">
        <v>2725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569</v>
      </c>
      <c r="B231" s="3" t="s">
        <v>859</v>
      </c>
      <c r="C231" s="3" t="s">
        <v>859</v>
      </c>
      <c r="D231" s="3" t="s">
        <v>2725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569</v>
      </c>
      <c r="B232" s="3" t="s">
        <v>862</v>
      </c>
      <c r="C232" s="3" t="s">
        <v>862</v>
      </c>
      <c r="D232" s="3" t="s">
        <v>2725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528</v>
      </c>
      <c r="B285" s="3" t="s">
        <v>1064</v>
      </c>
      <c r="C285" s="3" t="s">
        <v>1065</v>
      </c>
      <c r="D285" s="3" t="s">
        <v>2714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528</v>
      </c>
      <c r="B286" s="3" t="s">
        <v>1069</v>
      </c>
      <c r="C286" s="3" t="s">
        <v>1070</v>
      </c>
      <c r="D286" s="3" t="s">
        <v>2714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528</v>
      </c>
      <c r="B287" s="3" t="s">
        <v>1067</v>
      </c>
      <c r="C287" s="3" t="s">
        <v>1068</v>
      </c>
      <c r="D287" s="3" t="s">
        <v>2714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535</v>
      </c>
      <c r="B288" s="3" t="s">
        <v>1073</v>
      </c>
      <c r="C288" s="3" t="s">
        <v>1074</v>
      </c>
      <c r="D288" s="3" t="s">
        <v>2714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535</v>
      </c>
      <c r="B289" s="3" t="s">
        <v>1085</v>
      </c>
      <c r="C289" s="3" t="s">
        <v>1086</v>
      </c>
      <c r="D289" s="3" t="s">
        <v>2714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535</v>
      </c>
      <c r="B290" s="3" t="s">
        <v>1077</v>
      </c>
      <c r="C290" s="3" t="s">
        <v>1078</v>
      </c>
      <c r="D290" s="3" t="s">
        <v>2714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535</v>
      </c>
      <c r="B291" s="3" t="s">
        <v>1075</v>
      </c>
      <c r="C291" s="3" t="s">
        <v>1076</v>
      </c>
      <c r="D291" s="3" t="s">
        <v>2714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535</v>
      </c>
      <c r="B292" s="3" t="s">
        <v>1087</v>
      </c>
      <c r="C292" s="3" t="s">
        <v>1088</v>
      </c>
      <c r="D292" s="3" t="s">
        <v>2714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535</v>
      </c>
      <c r="B293" s="3" t="s">
        <v>1081</v>
      </c>
      <c r="C293" s="3" t="s">
        <v>1082</v>
      </c>
      <c r="D293" s="3" t="s">
        <v>2714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535</v>
      </c>
      <c r="B294" s="3" t="s">
        <v>1079</v>
      </c>
      <c r="C294" s="3" t="s">
        <v>1080</v>
      </c>
      <c r="D294" s="3" t="s">
        <v>2714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535</v>
      </c>
      <c r="B295" s="3" t="s">
        <v>1083</v>
      </c>
      <c r="C295" s="3" t="s">
        <v>1084</v>
      </c>
      <c r="D295" s="3" t="s">
        <v>2714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535</v>
      </c>
      <c r="B296" s="3" t="s">
        <v>1071</v>
      </c>
      <c r="C296" s="3" t="s">
        <v>1072</v>
      </c>
      <c r="D296" s="3" t="s">
        <v>2714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554</v>
      </c>
      <c r="B297" s="3" t="s">
        <v>1091</v>
      </c>
      <c r="C297" s="3" t="s">
        <v>1092</v>
      </c>
      <c r="D297" s="3" t="s">
        <v>2714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554</v>
      </c>
      <c r="B298" s="3" t="s">
        <v>1089</v>
      </c>
      <c r="C298" s="3" t="s">
        <v>1090</v>
      </c>
      <c r="D298" s="3" t="s">
        <v>2714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554</v>
      </c>
      <c r="B299" s="3" t="s">
        <v>1093</v>
      </c>
      <c r="C299" s="3" t="s">
        <v>1094</v>
      </c>
      <c r="D299" s="3" t="s">
        <v>2714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554</v>
      </c>
      <c r="B300" s="3" t="s">
        <v>1099</v>
      </c>
      <c r="C300" s="3" t="s">
        <v>1100</v>
      </c>
      <c r="D300" s="3" t="s">
        <v>2714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554</v>
      </c>
      <c r="B301" s="3" t="s">
        <v>1097</v>
      </c>
      <c r="C301" s="3" t="s">
        <v>1098</v>
      </c>
      <c r="D301" s="3" t="s">
        <v>2714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554</v>
      </c>
      <c r="B302" s="3" t="s">
        <v>1095</v>
      </c>
      <c r="C302" s="3" t="s">
        <v>1096</v>
      </c>
      <c r="D302" s="3" t="s">
        <v>2714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554</v>
      </c>
      <c r="B303" s="3" t="s">
        <v>1101</v>
      </c>
      <c r="C303" s="3" t="s">
        <v>1102</v>
      </c>
      <c r="D303" s="3" t="s">
        <v>2714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569</v>
      </c>
      <c r="B304" s="3" t="s">
        <v>1109</v>
      </c>
      <c r="C304" s="3" t="s">
        <v>1110</v>
      </c>
      <c r="D304" s="3" t="s">
        <v>2714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569</v>
      </c>
      <c r="B305" s="3" t="s">
        <v>1113</v>
      </c>
      <c r="C305" s="3" t="s">
        <v>1114</v>
      </c>
      <c r="D305" s="3" t="s">
        <v>2714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569</v>
      </c>
      <c r="B306" s="3" t="s">
        <v>1107</v>
      </c>
      <c r="C306" s="3" t="s">
        <v>1108</v>
      </c>
      <c r="D306" s="3" t="s">
        <v>2714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569</v>
      </c>
      <c r="B307" s="3" t="s">
        <v>1103</v>
      </c>
      <c r="C307" s="3" t="s">
        <v>1104</v>
      </c>
      <c r="D307" s="3" t="s">
        <v>2714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569</v>
      </c>
      <c r="B308" s="3" t="s">
        <v>1105</v>
      </c>
      <c r="C308" s="3" t="s">
        <v>1106</v>
      </c>
      <c r="D308" s="3" t="s">
        <v>2714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569</v>
      </c>
      <c r="B309" s="3" t="s">
        <v>1115</v>
      </c>
      <c r="C309" s="3" t="s">
        <v>1116</v>
      </c>
      <c r="D309" s="3" t="s">
        <v>2714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569</v>
      </c>
      <c r="B310" s="3" t="s">
        <v>1111</v>
      </c>
      <c r="C310" s="3" t="s">
        <v>1112</v>
      </c>
      <c r="D310" s="3" t="s">
        <v>2714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528</v>
      </c>
      <c r="B337" s="3" t="s">
        <v>963</v>
      </c>
      <c r="C337" s="3" t="s">
        <v>964</v>
      </c>
      <c r="D337" s="3" t="s">
        <v>2789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528</v>
      </c>
      <c r="B338" s="3" t="s">
        <v>965</v>
      </c>
      <c r="C338" s="3" t="s">
        <v>966</v>
      </c>
      <c r="D338" s="3" t="s">
        <v>2789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528</v>
      </c>
      <c r="B339" s="3" t="s">
        <v>967</v>
      </c>
      <c r="C339" s="3" t="s">
        <v>968</v>
      </c>
      <c r="D339" s="3" t="s">
        <v>2789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535</v>
      </c>
      <c r="B340" s="3" t="s">
        <v>983</v>
      </c>
      <c r="C340" s="3" t="s">
        <v>984</v>
      </c>
      <c r="D340" s="3" t="s">
        <v>2789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535</v>
      </c>
      <c r="B341" s="3" t="s">
        <v>977</v>
      </c>
      <c r="C341" s="3" t="s">
        <v>978</v>
      </c>
      <c r="D341" s="3" t="s">
        <v>2789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535</v>
      </c>
      <c r="B342" s="3" t="s">
        <v>969</v>
      </c>
      <c r="C342" s="3" t="s">
        <v>970</v>
      </c>
      <c r="D342" s="3" t="s">
        <v>2789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535</v>
      </c>
      <c r="B343" s="3" t="s">
        <v>975</v>
      </c>
      <c r="C343" s="3" t="s">
        <v>976</v>
      </c>
      <c r="D343" s="3" t="s">
        <v>2789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535</v>
      </c>
      <c r="B344" s="3" t="s">
        <v>981</v>
      </c>
      <c r="C344" s="3" t="s">
        <v>982</v>
      </c>
      <c r="D344" s="3" t="s">
        <v>2789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535</v>
      </c>
      <c r="B345" s="3" t="s">
        <v>979</v>
      </c>
      <c r="C345" s="3" t="s">
        <v>980</v>
      </c>
      <c r="D345" s="3" t="s">
        <v>2789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535</v>
      </c>
      <c r="B346" s="3" t="s">
        <v>971</v>
      </c>
      <c r="C346" s="3" t="s">
        <v>972</v>
      </c>
      <c r="D346" s="3" t="s">
        <v>2789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535</v>
      </c>
      <c r="B347" s="3" t="s">
        <v>973</v>
      </c>
      <c r="C347" s="3" t="s">
        <v>974</v>
      </c>
      <c r="D347" s="3" t="s">
        <v>2789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554</v>
      </c>
      <c r="B348" s="3" t="s">
        <v>991</v>
      </c>
      <c r="C348" s="3" t="s">
        <v>992</v>
      </c>
      <c r="D348" s="3" t="s">
        <v>2789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554</v>
      </c>
      <c r="B349" s="3" t="s">
        <v>995</v>
      </c>
      <c r="C349" s="3" t="s">
        <v>996</v>
      </c>
      <c r="D349" s="3" t="s">
        <v>2789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554</v>
      </c>
      <c r="B350" s="3" t="s">
        <v>999</v>
      </c>
      <c r="C350" s="3" t="s">
        <v>1000</v>
      </c>
      <c r="D350" s="3" t="s">
        <v>2789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554</v>
      </c>
      <c r="B351" s="3" t="s">
        <v>997</v>
      </c>
      <c r="C351" s="3" t="s">
        <v>998</v>
      </c>
      <c r="D351" s="3" t="s">
        <v>2789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554</v>
      </c>
      <c r="B352" s="3" t="s">
        <v>985</v>
      </c>
      <c r="C352" s="3" t="s">
        <v>986</v>
      </c>
      <c r="D352" s="3" t="s">
        <v>2789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554</v>
      </c>
      <c r="B353" s="3" t="s">
        <v>987</v>
      </c>
      <c r="C353" s="3" t="s">
        <v>988</v>
      </c>
      <c r="D353" s="3" t="s">
        <v>2789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554</v>
      </c>
      <c r="B354" s="3" t="s">
        <v>989</v>
      </c>
      <c r="C354" s="3" t="s">
        <v>990</v>
      </c>
      <c r="D354" s="3" t="s">
        <v>2789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554</v>
      </c>
      <c r="B355" s="3" t="s">
        <v>993</v>
      </c>
      <c r="C355" s="3" t="s">
        <v>994</v>
      </c>
      <c r="D355" s="3" t="s">
        <v>2789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569</v>
      </c>
      <c r="B356" s="3" t="s">
        <v>1005</v>
      </c>
      <c r="C356" s="3" t="s">
        <v>1006</v>
      </c>
      <c r="D356" s="3" t="s">
        <v>2789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569</v>
      </c>
      <c r="B357" s="3" t="s">
        <v>1013</v>
      </c>
      <c r="C357" s="3" t="s">
        <v>1014</v>
      </c>
      <c r="D357" s="3" t="s">
        <v>2789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569</v>
      </c>
      <c r="B358" s="3" t="s">
        <v>1003</v>
      </c>
      <c r="C358" s="3" t="s">
        <v>1004</v>
      </c>
      <c r="D358" s="3" t="s">
        <v>2789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569</v>
      </c>
      <c r="B359" s="3" t="s">
        <v>1009</v>
      </c>
      <c r="C359" s="3" t="s">
        <v>1010</v>
      </c>
      <c r="D359" s="3" t="s">
        <v>2789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569</v>
      </c>
      <c r="B360" s="3" t="s">
        <v>1001</v>
      </c>
      <c r="C360" s="3" t="s">
        <v>1002</v>
      </c>
      <c r="D360" s="3" t="s">
        <v>2789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569</v>
      </c>
      <c r="B361" s="3" t="s">
        <v>1011</v>
      </c>
      <c r="C361" s="3" t="s">
        <v>1012</v>
      </c>
      <c r="D361" s="3" t="s">
        <v>2789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569</v>
      </c>
      <c r="B362" s="3" t="s">
        <v>1007</v>
      </c>
      <c r="C362" s="3" t="s">
        <v>1008</v>
      </c>
      <c r="D362" s="3" t="s">
        <v>2789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528</v>
      </c>
      <c r="B597" s="3" t="s">
        <v>1172</v>
      </c>
      <c r="C597" s="3" t="s">
        <v>1173</v>
      </c>
      <c r="D597" s="3" t="s">
        <v>2683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528</v>
      </c>
      <c r="B598" s="3" t="s">
        <v>1174</v>
      </c>
      <c r="C598" s="3" t="s">
        <v>1175</v>
      </c>
      <c r="D598" s="3" t="s">
        <v>2683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528</v>
      </c>
      <c r="B599" s="3" t="s">
        <v>1169</v>
      </c>
      <c r="C599" s="3" t="s">
        <v>1170</v>
      </c>
      <c r="D599" s="3" t="s">
        <v>2683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535</v>
      </c>
      <c r="B600" s="3" t="s">
        <v>1178</v>
      </c>
      <c r="C600" s="3" t="s">
        <v>1179</v>
      </c>
      <c r="D600" s="3" t="s">
        <v>2683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535</v>
      </c>
      <c r="B601" s="3" t="s">
        <v>1186</v>
      </c>
      <c r="C601" s="3" t="s">
        <v>1187</v>
      </c>
      <c r="D601" s="3" t="s">
        <v>2683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535</v>
      </c>
      <c r="B602" s="3" t="s">
        <v>1190</v>
      </c>
      <c r="C602" s="3" t="s">
        <v>1191</v>
      </c>
      <c r="D602" s="3" t="s">
        <v>2683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535</v>
      </c>
      <c r="B603" s="3" t="s">
        <v>1182</v>
      </c>
      <c r="C603" s="3" t="s">
        <v>1183</v>
      </c>
      <c r="D603" s="3" t="s">
        <v>2683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535</v>
      </c>
      <c r="B604" s="3" t="s">
        <v>1180</v>
      </c>
      <c r="C604" s="3" t="s">
        <v>1181</v>
      </c>
      <c r="D604" s="3" t="s">
        <v>2683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535</v>
      </c>
      <c r="B605" s="3" t="s">
        <v>1176</v>
      </c>
      <c r="C605" s="3" t="s">
        <v>1177</v>
      </c>
      <c r="D605" s="3" t="s">
        <v>2683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535</v>
      </c>
      <c r="B606" s="3" t="s">
        <v>1188</v>
      </c>
      <c r="C606" s="3" t="s">
        <v>1189</v>
      </c>
      <c r="D606" s="3" t="s">
        <v>2683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535</v>
      </c>
      <c r="B607" s="3" t="s">
        <v>1184</v>
      </c>
      <c r="C607" s="3" t="s">
        <v>1185</v>
      </c>
      <c r="D607" s="3" t="s">
        <v>2683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554</v>
      </c>
      <c r="B608" s="3" t="s">
        <v>1201</v>
      </c>
      <c r="C608" s="3" t="s">
        <v>1202</v>
      </c>
      <c r="D608" s="3" t="s">
        <v>2683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554</v>
      </c>
      <c r="B609" s="3" t="s">
        <v>1199</v>
      </c>
      <c r="C609" s="3" t="s">
        <v>1200</v>
      </c>
      <c r="D609" s="3" t="s">
        <v>2683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554</v>
      </c>
      <c r="B610" s="3" t="s">
        <v>1194</v>
      </c>
      <c r="C610" s="3" t="s">
        <v>524</v>
      </c>
      <c r="D610" s="3" t="s">
        <v>2683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554</v>
      </c>
      <c r="B611" s="3" t="s">
        <v>1192</v>
      </c>
      <c r="C611" s="3" t="s">
        <v>1193</v>
      </c>
      <c r="D611" s="3" t="s">
        <v>2683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554</v>
      </c>
      <c r="B612" s="3" t="s">
        <v>1197</v>
      </c>
      <c r="C612" s="3" t="s">
        <v>1198</v>
      </c>
      <c r="D612" s="3" t="s">
        <v>2683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554</v>
      </c>
      <c r="B613" s="3" t="s">
        <v>1195</v>
      </c>
      <c r="C613" s="3" t="s">
        <v>1196</v>
      </c>
      <c r="D613" s="3" t="s">
        <v>2683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569</v>
      </c>
      <c r="B614" s="3" t="s">
        <v>1203</v>
      </c>
      <c r="C614" s="3" t="s">
        <v>1204</v>
      </c>
      <c r="D614" s="3" t="s">
        <v>2683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569</v>
      </c>
      <c r="B615" s="3" t="s">
        <v>1205</v>
      </c>
      <c r="C615" s="3" t="s">
        <v>1206</v>
      </c>
      <c r="D615" s="3" t="s">
        <v>2683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569</v>
      </c>
      <c r="B616" s="3" t="s">
        <v>1217</v>
      </c>
      <c r="C616" s="3" t="s">
        <v>1218</v>
      </c>
      <c r="D616" s="3" t="s">
        <v>2683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569</v>
      </c>
      <c r="B617" s="3" t="s">
        <v>1213</v>
      </c>
      <c r="C617" s="3" t="s">
        <v>1214</v>
      </c>
      <c r="D617" s="3" t="s">
        <v>2683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569</v>
      </c>
      <c r="B618" s="3" t="s">
        <v>1215</v>
      </c>
      <c r="C618" s="3" t="s">
        <v>1216</v>
      </c>
      <c r="D618" s="3" t="s">
        <v>2683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569</v>
      </c>
      <c r="B619" s="3" t="s">
        <v>1209</v>
      </c>
      <c r="C619" s="3" t="s">
        <v>1210</v>
      </c>
      <c r="D619" s="3" t="s">
        <v>2683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569</v>
      </c>
      <c r="B620" s="3" t="s">
        <v>1219</v>
      </c>
      <c r="C620" s="3" t="s">
        <v>1220</v>
      </c>
      <c r="D620" s="3" t="s">
        <v>2683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569</v>
      </c>
      <c r="B621" s="3" t="s">
        <v>1207</v>
      </c>
      <c r="C621" s="3" t="s">
        <v>1208</v>
      </c>
      <c r="D621" s="3" t="s">
        <v>2683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569</v>
      </c>
      <c r="B622" s="3" t="s">
        <v>1211</v>
      </c>
      <c r="C622" s="3" t="s">
        <v>1212</v>
      </c>
      <c r="D622" s="3" t="s">
        <v>2683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528</v>
      </c>
      <c r="B1012" s="3" t="s">
        <v>1677</v>
      </c>
      <c r="C1012" s="3" t="s">
        <v>1677</v>
      </c>
      <c r="D1012" s="3" t="s">
        <v>2681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528</v>
      </c>
      <c r="B1013" s="3" t="s">
        <v>1676</v>
      </c>
      <c r="C1013" s="3" t="s">
        <v>1676</v>
      </c>
      <c r="D1013" s="3" t="s">
        <v>2681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528</v>
      </c>
      <c r="B1014" s="3" t="s">
        <v>1678</v>
      </c>
      <c r="C1014" s="3" t="s">
        <v>1678</v>
      </c>
      <c r="D1014" s="3" t="s">
        <v>2681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535</v>
      </c>
      <c r="B1015" s="3" t="s">
        <v>1682</v>
      </c>
      <c r="C1015" s="3" t="s">
        <v>1682</v>
      </c>
      <c r="D1015" s="3" t="s">
        <v>2681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535</v>
      </c>
      <c r="B1016" s="3" t="s">
        <v>464</v>
      </c>
      <c r="C1016" s="3" t="s">
        <v>464</v>
      </c>
      <c r="D1016" s="3" t="s">
        <v>2681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535</v>
      </c>
      <c r="B1017" s="3" t="s">
        <v>1683</v>
      </c>
      <c r="C1017" s="3" t="s">
        <v>1683</v>
      </c>
      <c r="D1017" s="3" t="s">
        <v>2681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535</v>
      </c>
      <c r="B1018" s="3" t="s">
        <v>1684</v>
      </c>
      <c r="C1018" s="3" t="s">
        <v>1684</v>
      </c>
      <c r="D1018" s="3" t="s">
        <v>2681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535</v>
      </c>
      <c r="B1019" s="3" t="s">
        <v>1681</v>
      </c>
      <c r="C1019" s="3" t="s">
        <v>1681</v>
      </c>
      <c r="D1019" s="3" t="s">
        <v>2681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535</v>
      </c>
      <c r="B1020" s="3" t="s">
        <v>1679</v>
      </c>
      <c r="C1020" s="3" t="s">
        <v>1679</v>
      </c>
      <c r="D1020" s="3" t="s">
        <v>2681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535</v>
      </c>
      <c r="B1021" s="3" t="s">
        <v>1680</v>
      </c>
      <c r="C1021" s="3" t="s">
        <v>1680</v>
      </c>
      <c r="D1021" s="3" t="s">
        <v>2681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535</v>
      </c>
      <c r="B1022" s="3" t="s">
        <v>1685</v>
      </c>
      <c r="C1022" s="3" t="s">
        <v>1685</v>
      </c>
      <c r="D1022" s="3" t="s">
        <v>2681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554</v>
      </c>
      <c r="B1023" s="3" t="s">
        <v>1695</v>
      </c>
      <c r="C1023" s="3" t="s">
        <v>1695</v>
      </c>
      <c r="D1023" s="3" t="s">
        <v>2681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554</v>
      </c>
      <c r="B1024" s="3" t="s">
        <v>1686</v>
      </c>
      <c r="C1024" s="3" t="s">
        <v>1686</v>
      </c>
      <c r="D1024" s="3" t="s">
        <v>2681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554</v>
      </c>
      <c r="B1025" s="3" t="s">
        <v>1689</v>
      </c>
      <c r="C1025" s="3" t="s">
        <v>1690</v>
      </c>
      <c r="D1025" s="3" t="s">
        <v>2681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554</v>
      </c>
      <c r="B1026" s="3" t="s">
        <v>1692</v>
      </c>
      <c r="C1026" s="3" t="s">
        <v>1692</v>
      </c>
      <c r="D1026" s="3" t="s">
        <v>2681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554</v>
      </c>
      <c r="B1027" s="3" t="s">
        <v>1694</v>
      </c>
      <c r="C1027" s="3" t="s">
        <v>1694</v>
      </c>
      <c r="D1027" s="3" t="s">
        <v>2681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554</v>
      </c>
      <c r="B1028" s="3" t="s">
        <v>1691</v>
      </c>
      <c r="C1028" s="3" t="s">
        <v>1691</v>
      </c>
      <c r="D1028" s="3" t="s">
        <v>2681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554</v>
      </c>
      <c r="B1029" s="3" t="s">
        <v>1687</v>
      </c>
      <c r="C1029" s="3" t="s">
        <v>1687</v>
      </c>
      <c r="D1029" s="3" t="s">
        <v>2681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554</v>
      </c>
      <c r="B1030" s="3" t="s">
        <v>1688</v>
      </c>
      <c r="C1030" s="3" t="s">
        <v>1688</v>
      </c>
      <c r="D1030" s="3" t="s">
        <v>2681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554</v>
      </c>
      <c r="B1031" s="3" t="s">
        <v>1693</v>
      </c>
      <c r="C1031" s="3" t="s">
        <v>1693</v>
      </c>
      <c r="D1031" s="3" t="s">
        <v>2681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569</v>
      </c>
      <c r="B1032" s="3" t="s">
        <v>1697</v>
      </c>
      <c r="C1032" s="3" t="s">
        <v>1697</v>
      </c>
      <c r="D1032" s="3" t="s">
        <v>2681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569</v>
      </c>
      <c r="B1033" s="3" t="s">
        <v>1700</v>
      </c>
      <c r="C1033" s="3" t="s">
        <v>1700</v>
      </c>
      <c r="D1033" s="3" t="s">
        <v>2681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569</v>
      </c>
      <c r="B1034" s="3" t="s">
        <v>1699</v>
      </c>
      <c r="C1034" s="3" t="s">
        <v>1699</v>
      </c>
      <c r="D1034" s="3" t="s">
        <v>2681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569</v>
      </c>
      <c r="B1035" s="3" t="s">
        <v>1696</v>
      </c>
      <c r="C1035" s="3" t="s">
        <v>1696</v>
      </c>
      <c r="D1035" s="3" t="s">
        <v>2681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569</v>
      </c>
      <c r="B1036" s="3" t="s">
        <v>430</v>
      </c>
      <c r="C1036" s="3" t="s">
        <v>430</v>
      </c>
      <c r="D1036" s="3" t="s">
        <v>2681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569</v>
      </c>
      <c r="B1037" s="3" t="s">
        <v>1698</v>
      </c>
      <c r="C1037" s="3" t="s">
        <v>1698</v>
      </c>
      <c r="D1037" s="3" t="s">
        <v>2681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528</v>
      </c>
      <c r="B1142" s="3" t="s">
        <v>2458</v>
      </c>
      <c r="C1142" s="3" t="s">
        <v>2459</v>
      </c>
      <c r="D1142" s="3" t="s">
        <v>2680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528</v>
      </c>
      <c r="B1143" s="3" t="s">
        <v>2453</v>
      </c>
      <c r="C1143" s="3" t="s">
        <v>2454</v>
      </c>
      <c r="D1143" s="3" t="s">
        <v>2680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528</v>
      </c>
      <c r="B1144" s="3" t="s">
        <v>2456</v>
      </c>
      <c r="C1144" s="3" t="s">
        <v>2457</v>
      </c>
      <c r="D1144" s="3" t="s">
        <v>2680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535</v>
      </c>
      <c r="B1145" s="3" t="s">
        <v>2476</v>
      </c>
      <c r="C1145" s="3" t="s">
        <v>2477</v>
      </c>
      <c r="D1145" s="3" t="s">
        <v>2680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535</v>
      </c>
      <c r="B1146" s="3" t="s">
        <v>2468</v>
      </c>
      <c r="C1146" s="3" t="s">
        <v>2469</v>
      </c>
      <c r="D1146" s="3" t="s">
        <v>2680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535</v>
      </c>
      <c r="B1147" s="3" t="s">
        <v>2472</v>
      </c>
      <c r="C1147" s="3" t="s">
        <v>2473</v>
      </c>
      <c r="D1147" s="3" t="s">
        <v>2680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535</v>
      </c>
      <c r="B1148" s="3" t="s">
        <v>2470</v>
      </c>
      <c r="C1148" s="3" t="s">
        <v>2471</v>
      </c>
      <c r="D1148" s="3" t="s">
        <v>2680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535</v>
      </c>
      <c r="B1149" s="3" t="s">
        <v>2474</v>
      </c>
      <c r="C1149" s="3" t="s">
        <v>2475</v>
      </c>
      <c r="D1149" s="3" t="s">
        <v>2680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535</v>
      </c>
      <c r="B1150" s="3" t="s">
        <v>2464</v>
      </c>
      <c r="C1150" s="3" t="s">
        <v>2465</v>
      </c>
      <c r="D1150" s="3" t="s">
        <v>2680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535</v>
      </c>
      <c r="B1151" s="3" t="s">
        <v>2466</v>
      </c>
      <c r="C1151" s="3" t="s">
        <v>2467</v>
      </c>
      <c r="D1151" s="3" t="s">
        <v>2680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535</v>
      </c>
      <c r="B1152" s="3" t="s">
        <v>2462</v>
      </c>
      <c r="C1152" s="3" t="s">
        <v>2463</v>
      </c>
      <c r="D1152" s="3" t="s">
        <v>2680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535</v>
      </c>
      <c r="B1153" s="3" t="s">
        <v>2478</v>
      </c>
      <c r="C1153" s="3" t="s">
        <v>2479</v>
      </c>
      <c r="D1153" s="3" t="s">
        <v>2680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535</v>
      </c>
      <c r="B1154" s="3" t="s">
        <v>2460</v>
      </c>
      <c r="C1154" s="3" t="s">
        <v>2461</v>
      </c>
      <c r="D1154" s="3" t="s">
        <v>2680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554</v>
      </c>
      <c r="B1155" s="3" t="s">
        <v>2488</v>
      </c>
      <c r="C1155" s="3" t="s">
        <v>424</v>
      </c>
      <c r="D1155" s="3" t="s">
        <v>2680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554</v>
      </c>
      <c r="B1156" s="3" t="s">
        <v>2489</v>
      </c>
      <c r="C1156" s="3" t="s">
        <v>2490</v>
      </c>
      <c r="D1156" s="3" t="s">
        <v>2680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554</v>
      </c>
      <c r="B1157" s="3" t="s">
        <v>2491</v>
      </c>
      <c r="C1157" s="3" t="s">
        <v>2492</v>
      </c>
      <c r="D1157" s="3" t="s">
        <v>2680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554</v>
      </c>
      <c r="B1158" s="3" t="s">
        <v>2486</v>
      </c>
      <c r="C1158" s="3" t="s">
        <v>2487</v>
      </c>
      <c r="D1158" s="3" t="s">
        <v>2680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554</v>
      </c>
      <c r="B1159" s="3" t="s">
        <v>2482</v>
      </c>
      <c r="C1159" s="3" t="s">
        <v>2483</v>
      </c>
      <c r="D1159" s="3" t="s">
        <v>2680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554</v>
      </c>
      <c r="B1160" s="3" t="s">
        <v>2484</v>
      </c>
      <c r="C1160" s="3" t="s">
        <v>2485</v>
      </c>
      <c r="D1160" s="3" t="s">
        <v>2680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554</v>
      </c>
      <c r="B1161" s="3" t="s">
        <v>2480</v>
      </c>
      <c r="C1161" s="3" t="s">
        <v>2481</v>
      </c>
      <c r="D1161" s="3" t="s">
        <v>2680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569</v>
      </c>
      <c r="B1162" s="3" t="s">
        <v>2499</v>
      </c>
      <c r="C1162" s="3" t="s">
        <v>2500</v>
      </c>
      <c r="D1162" s="3" t="s">
        <v>2680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569</v>
      </c>
      <c r="B1163" s="3" t="s">
        <v>2497</v>
      </c>
      <c r="C1163" s="3" t="s">
        <v>2498</v>
      </c>
      <c r="D1163" s="3" t="s">
        <v>2680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569</v>
      </c>
      <c r="B1164" s="3" t="s">
        <v>2493</v>
      </c>
      <c r="C1164" s="3" t="s">
        <v>2494</v>
      </c>
      <c r="D1164" s="3" t="s">
        <v>2680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569</v>
      </c>
      <c r="B1165" s="3" t="s">
        <v>2501</v>
      </c>
      <c r="C1165" s="3" t="s">
        <v>2502</v>
      </c>
      <c r="D1165" s="3" t="s">
        <v>2680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569</v>
      </c>
      <c r="B1166" s="3" t="s">
        <v>2503</v>
      </c>
      <c r="C1166" s="3" t="s">
        <v>2504</v>
      </c>
      <c r="D1166" s="3" t="s">
        <v>2680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569</v>
      </c>
      <c r="B1167" s="3" t="s">
        <v>2495</v>
      </c>
      <c r="C1167" s="3" t="s">
        <v>2496</v>
      </c>
      <c r="D1167" s="3" t="s">
        <v>2680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2809</v>
      </c>
      <c r="D2" s="4" t="s">
        <v>2810</v>
      </c>
      <c r="G2" s="4" t="s">
        <v>2811</v>
      </c>
      <c r="J2" s="4" t="s">
        <v>2812</v>
      </c>
      <c r="M2" s="4" t="s">
        <v>2813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2765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5">
      <c r="A5" s="3" t="s">
        <v>2681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5">
      <c r="A6" s="3" t="s">
        <v>2814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2680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5">
      <c r="A8" s="4" t="s">
        <v>2815</v>
      </c>
      <c r="D8" s="4" t="s">
        <v>2816</v>
      </c>
      <c r="G8" s="4" t="s">
        <v>2817</v>
      </c>
      <c r="J8" s="4" t="s">
        <v>2818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2782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2683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2725</v>
      </c>
      <c r="K12" s="3">
        <f>COUNTIF(PickedPlayers!F:F,J12)</f>
        <v>0</v>
      </c>
    </row>
    <row r="14" spans="1:14" s="4" customFormat="1" x14ac:dyDescent="0.25">
      <c r="A14" s="4" t="s">
        <v>2819</v>
      </c>
      <c r="D14" s="4" t="s">
        <v>2820</v>
      </c>
      <c r="G14" s="4" t="s">
        <v>2821</v>
      </c>
      <c r="J14" s="4" t="s">
        <v>2822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2789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2823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2824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2825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2826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2827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2828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2829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2830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2831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2832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2833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2834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2835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2836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2837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2838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2839</v>
      </c>
      <c r="B1" t="s">
        <v>2813</v>
      </c>
      <c r="C1" t="s">
        <v>2807</v>
      </c>
    </row>
    <row r="2" spans="1:6" x14ac:dyDescent="0.25">
      <c r="A2" s="3" t="s">
        <v>60</v>
      </c>
      <c r="B2" t="s">
        <v>2659</v>
      </c>
      <c r="C2" t="s">
        <v>541</v>
      </c>
      <c r="E2" t="s">
        <v>2673</v>
      </c>
      <c r="F2" t="s">
        <v>2673</v>
      </c>
    </row>
    <row r="3" spans="1:6" x14ac:dyDescent="0.25">
      <c r="A3" s="3" t="s">
        <v>66</v>
      </c>
      <c r="B3" t="s">
        <v>2660</v>
      </c>
      <c r="C3" t="s">
        <v>2408</v>
      </c>
      <c r="E3" t="s">
        <v>2677</v>
      </c>
      <c r="F3" t="s">
        <v>2677</v>
      </c>
    </row>
    <row r="4" spans="1:6" x14ac:dyDescent="0.25">
      <c r="A4" s="3" t="s">
        <v>111</v>
      </c>
      <c r="B4" t="s">
        <v>2661</v>
      </c>
      <c r="C4" t="s">
        <v>2635</v>
      </c>
      <c r="E4" t="s">
        <v>2676</v>
      </c>
      <c r="F4" t="s">
        <v>2676</v>
      </c>
    </row>
    <row r="5" spans="1:6" x14ac:dyDescent="0.25">
      <c r="A5" s="3" t="s">
        <v>61</v>
      </c>
      <c r="B5" t="s">
        <v>2663</v>
      </c>
      <c r="C5" t="s">
        <v>898</v>
      </c>
      <c r="E5" t="s">
        <v>2678</v>
      </c>
      <c r="F5" t="s">
        <v>2672</v>
      </c>
    </row>
    <row r="6" spans="1:6" x14ac:dyDescent="0.25">
      <c r="A6" s="3" t="s">
        <v>87</v>
      </c>
      <c r="C6" t="s">
        <v>1572</v>
      </c>
      <c r="E6" t="s">
        <v>2674</v>
      </c>
      <c r="F6" t="s">
        <v>2671</v>
      </c>
    </row>
    <row r="7" spans="1:6" x14ac:dyDescent="0.25">
      <c r="A7" s="3" t="s">
        <v>2765</v>
      </c>
      <c r="C7" t="s">
        <v>1800</v>
      </c>
      <c r="E7" t="s">
        <v>2679</v>
      </c>
    </row>
    <row r="8" spans="1:6" x14ac:dyDescent="0.25">
      <c r="A8" s="3" t="s">
        <v>143</v>
      </c>
      <c r="C8" t="s">
        <v>2367</v>
      </c>
      <c r="E8" t="s">
        <v>2675</v>
      </c>
    </row>
    <row r="9" spans="1:6" x14ac:dyDescent="0.25">
      <c r="A9" s="3" t="s">
        <v>155</v>
      </c>
      <c r="C9" t="s">
        <v>2655</v>
      </c>
      <c r="E9" t="s">
        <v>2671</v>
      </c>
    </row>
    <row r="10" spans="1:6" x14ac:dyDescent="0.25">
      <c r="A10" s="3" t="s">
        <v>2725</v>
      </c>
      <c r="C10" t="s">
        <v>1958</v>
      </c>
    </row>
    <row r="11" spans="1:6" x14ac:dyDescent="0.25">
      <c r="A11" s="3" t="s">
        <v>74</v>
      </c>
      <c r="C11" t="s">
        <v>2047</v>
      </c>
    </row>
    <row r="12" spans="1:6" x14ac:dyDescent="0.25">
      <c r="A12" s="3" t="s">
        <v>78</v>
      </c>
      <c r="C12" t="s">
        <v>2420</v>
      </c>
    </row>
    <row r="13" spans="1:6" x14ac:dyDescent="0.25">
      <c r="A13" s="3" t="s">
        <v>2782</v>
      </c>
      <c r="C13" t="s">
        <v>1439</v>
      </c>
    </row>
    <row r="14" spans="1:6" x14ac:dyDescent="0.25">
      <c r="A14" s="3" t="s">
        <v>138</v>
      </c>
      <c r="C14" t="s">
        <v>2477</v>
      </c>
    </row>
    <row r="15" spans="1:6" x14ac:dyDescent="0.25">
      <c r="A15" s="3" t="s">
        <v>2789</v>
      </c>
      <c r="C15" t="s">
        <v>2459</v>
      </c>
    </row>
    <row r="16" spans="1:6" x14ac:dyDescent="0.25">
      <c r="A16" s="3" t="s">
        <v>130</v>
      </c>
      <c r="C16" t="s">
        <v>635</v>
      </c>
    </row>
    <row r="17" spans="1:3" x14ac:dyDescent="0.25">
      <c r="A17" s="3" t="s">
        <v>90</v>
      </c>
      <c r="C17" t="s">
        <v>1521</v>
      </c>
    </row>
    <row r="18" spans="1:3" x14ac:dyDescent="0.25">
      <c r="A18" s="3" t="s">
        <v>83</v>
      </c>
      <c r="C18" t="s">
        <v>2436</v>
      </c>
    </row>
    <row r="19" spans="1:3" x14ac:dyDescent="0.25">
      <c r="A19" s="3" t="s">
        <v>107</v>
      </c>
      <c r="C19" t="s">
        <v>2346</v>
      </c>
    </row>
    <row r="20" spans="1:3" x14ac:dyDescent="0.25">
      <c r="A20" s="3" t="s">
        <v>131</v>
      </c>
      <c r="C20" t="s">
        <v>1455</v>
      </c>
    </row>
    <row r="21" spans="1:3" x14ac:dyDescent="0.25">
      <c r="A21" s="3" t="s">
        <v>79</v>
      </c>
      <c r="C21" t="s">
        <v>1204</v>
      </c>
    </row>
    <row r="22" spans="1:3" x14ac:dyDescent="0.25">
      <c r="A22" s="3" t="s">
        <v>147</v>
      </c>
      <c r="C22" t="s">
        <v>1779</v>
      </c>
    </row>
    <row r="23" spans="1:3" x14ac:dyDescent="0.25">
      <c r="A23" s="3" t="s">
        <v>1522</v>
      </c>
      <c r="C23" t="s">
        <v>577</v>
      </c>
    </row>
    <row r="24" spans="1:3" x14ac:dyDescent="0.25">
      <c r="A24" s="3" t="s">
        <v>103</v>
      </c>
      <c r="C24" t="s">
        <v>1057</v>
      </c>
    </row>
    <row r="25" spans="1:3" x14ac:dyDescent="0.25">
      <c r="A25" s="3" t="s">
        <v>2683</v>
      </c>
      <c r="C25" t="s">
        <v>2599</v>
      </c>
    </row>
    <row r="26" spans="1:3" x14ac:dyDescent="0.25">
      <c r="A26" s="3" t="s">
        <v>118</v>
      </c>
      <c r="C26" t="s">
        <v>1979</v>
      </c>
    </row>
    <row r="27" spans="1:3" x14ac:dyDescent="0.25">
      <c r="A27" s="3" t="s">
        <v>65</v>
      </c>
      <c r="C27" t="s">
        <v>2402</v>
      </c>
    </row>
    <row r="28" spans="1:3" x14ac:dyDescent="0.25">
      <c r="A28" s="3" t="s">
        <v>139</v>
      </c>
      <c r="C28" t="s">
        <v>633</v>
      </c>
    </row>
    <row r="29" spans="1:3" x14ac:dyDescent="0.25">
      <c r="A29" s="3" t="s">
        <v>146</v>
      </c>
      <c r="C29" t="s">
        <v>2027</v>
      </c>
    </row>
    <row r="30" spans="1:3" x14ac:dyDescent="0.25">
      <c r="A30" s="3" t="s">
        <v>123</v>
      </c>
      <c r="C30" t="s">
        <v>2406</v>
      </c>
    </row>
    <row r="31" spans="1:3" x14ac:dyDescent="0.25">
      <c r="A31" s="3" t="s">
        <v>86</v>
      </c>
      <c r="C31" t="s">
        <v>478</v>
      </c>
    </row>
    <row r="32" spans="1:3" x14ac:dyDescent="0.25">
      <c r="A32" s="3" t="s">
        <v>106</v>
      </c>
      <c r="C32" t="s">
        <v>779</v>
      </c>
    </row>
    <row r="33" spans="1:3" x14ac:dyDescent="0.25">
      <c r="A33" s="3" t="s">
        <v>82</v>
      </c>
      <c r="C33" t="s">
        <v>1206</v>
      </c>
    </row>
    <row r="34" spans="1:3" x14ac:dyDescent="0.25">
      <c r="A34" s="3" t="s">
        <v>110</v>
      </c>
      <c r="C34" t="s">
        <v>2206</v>
      </c>
    </row>
    <row r="35" spans="1:3" x14ac:dyDescent="0.25">
      <c r="A35" s="3" t="s">
        <v>75</v>
      </c>
      <c r="C35" t="s">
        <v>1796</v>
      </c>
    </row>
    <row r="36" spans="1:3" x14ac:dyDescent="0.25">
      <c r="A36" s="3" t="s">
        <v>151</v>
      </c>
      <c r="C36" t="s">
        <v>2348</v>
      </c>
    </row>
    <row r="37" spans="1:3" x14ac:dyDescent="0.25">
      <c r="A37" s="3" t="s">
        <v>95</v>
      </c>
      <c r="C37" t="s">
        <v>1792</v>
      </c>
    </row>
    <row r="38" spans="1:3" x14ac:dyDescent="0.25">
      <c r="A38" s="3" t="s">
        <v>142</v>
      </c>
      <c r="C38" t="s">
        <v>1449</v>
      </c>
    </row>
    <row r="39" spans="1:3" x14ac:dyDescent="0.25">
      <c r="A39" s="3" t="s">
        <v>102</v>
      </c>
      <c r="C39" t="s">
        <v>2643</v>
      </c>
    </row>
    <row r="40" spans="1:3" x14ac:dyDescent="0.25">
      <c r="A40" s="3" t="s">
        <v>134</v>
      </c>
      <c r="C40" t="s">
        <v>1732</v>
      </c>
    </row>
    <row r="41" spans="1:3" x14ac:dyDescent="0.25">
      <c r="A41" s="3" t="s">
        <v>2681</v>
      </c>
      <c r="C41" t="s">
        <v>1250</v>
      </c>
    </row>
    <row r="42" spans="1:3" x14ac:dyDescent="0.25">
      <c r="A42" s="3" t="s">
        <v>99</v>
      </c>
      <c r="C42" t="s">
        <v>2518</v>
      </c>
    </row>
    <row r="43" spans="1:3" x14ac:dyDescent="0.25">
      <c r="A43" s="3" t="s">
        <v>119</v>
      </c>
      <c r="C43" t="s">
        <v>2639</v>
      </c>
    </row>
    <row r="44" spans="1:3" x14ac:dyDescent="0.25">
      <c r="A44" s="3" t="s">
        <v>154</v>
      </c>
      <c r="C44" t="s">
        <v>797</v>
      </c>
    </row>
    <row r="45" spans="1:3" x14ac:dyDescent="0.25">
      <c r="A45" s="3" t="s">
        <v>122</v>
      </c>
      <c r="C45" t="s">
        <v>1981</v>
      </c>
    </row>
    <row r="46" spans="1:3" x14ac:dyDescent="0.25">
      <c r="A46" s="3" t="s">
        <v>2680</v>
      </c>
      <c r="C46" t="s">
        <v>960</v>
      </c>
    </row>
    <row r="47" spans="1:3" x14ac:dyDescent="0.25">
      <c r="A47" s="3" t="s">
        <v>2507</v>
      </c>
      <c r="C47" t="s">
        <v>1751</v>
      </c>
    </row>
    <row r="48" spans="1:3" x14ac:dyDescent="0.25">
      <c r="A48" s="3" t="s">
        <v>98</v>
      </c>
      <c r="C48" t="s">
        <v>1327</v>
      </c>
    </row>
    <row r="49" spans="1:3" x14ac:dyDescent="0.25">
      <c r="A49" s="3" t="s">
        <v>71</v>
      </c>
      <c r="C49" t="s">
        <v>575</v>
      </c>
    </row>
    <row r="50" spans="1:3" x14ac:dyDescent="0.25">
      <c r="C50" t="s">
        <v>424</v>
      </c>
    </row>
    <row r="51" spans="1:3" x14ac:dyDescent="0.25">
      <c r="C51" t="s">
        <v>2119</v>
      </c>
    </row>
    <row r="52" spans="1:3" x14ac:dyDescent="0.25">
      <c r="C52" t="s">
        <v>579</v>
      </c>
    </row>
    <row r="53" spans="1:3" x14ac:dyDescent="0.25">
      <c r="C53" t="s">
        <v>799</v>
      </c>
    </row>
    <row r="54" spans="1:3" x14ac:dyDescent="0.25">
      <c r="C54" t="s">
        <v>322</v>
      </c>
    </row>
    <row r="55" spans="1:3" x14ac:dyDescent="0.25">
      <c r="C55" t="s">
        <v>2125</v>
      </c>
    </row>
    <row r="56" spans="1:3" x14ac:dyDescent="0.25">
      <c r="C56" t="s">
        <v>1160</v>
      </c>
    </row>
    <row r="57" spans="1:3" x14ac:dyDescent="0.25">
      <c r="C57" t="s">
        <v>1562</v>
      </c>
    </row>
    <row r="58" spans="1:3" x14ac:dyDescent="0.25">
      <c r="C58" t="s">
        <v>653</v>
      </c>
    </row>
    <row r="59" spans="1:3" x14ac:dyDescent="0.25">
      <c r="C59" t="s">
        <v>494</v>
      </c>
    </row>
    <row r="60" spans="1:3" x14ac:dyDescent="0.25">
      <c r="C60" t="s">
        <v>1560</v>
      </c>
    </row>
    <row r="61" spans="1:3" x14ac:dyDescent="0.25">
      <c r="C61" t="s">
        <v>2389</v>
      </c>
    </row>
    <row r="62" spans="1:3" x14ac:dyDescent="0.25">
      <c r="C62" t="s">
        <v>871</v>
      </c>
    </row>
    <row r="63" spans="1:3" x14ac:dyDescent="0.25">
      <c r="C63" t="s">
        <v>875</v>
      </c>
    </row>
    <row r="64" spans="1:3" x14ac:dyDescent="0.25">
      <c r="C64" t="s">
        <v>2611</v>
      </c>
    </row>
    <row r="65" spans="3:3" x14ac:dyDescent="0.25">
      <c r="C65" t="s">
        <v>1053</v>
      </c>
    </row>
    <row r="66" spans="3:3" x14ac:dyDescent="0.25">
      <c r="C66" t="s">
        <v>1173</v>
      </c>
    </row>
    <row r="67" spans="3:3" x14ac:dyDescent="0.25">
      <c r="C67" t="s">
        <v>1993</v>
      </c>
    </row>
    <row r="68" spans="3:3" x14ac:dyDescent="0.25">
      <c r="C68" t="s">
        <v>657</v>
      </c>
    </row>
    <row r="69" spans="3:3" x14ac:dyDescent="0.25">
      <c r="C69" t="s">
        <v>410</v>
      </c>
    </row>
    <row r="70" spans="3:3" x14ac:dyDescent="0.25">
      <c r="C70" t="s">
        <v>2017</v>
      </c>
    </row>
    <row r="71" spans="3:3" x14ac:dyDescent="0.25">
      <c r="C71" t="s">
        <v>537</v>
      </c>
    </row>
    <row r="72" spans="3:3" x14ac:dyDescent="0.25">
      <c r="C72" t="s">
        <v>1092</v>
      </c>
    </row>
    <row r="73" spans="3:3" x14ac:dyDescent="0.25">
      <c r="C73" t="s">
        <v>984</v>
      </c>
    </row>
    <row r="74" spans="3:3" x14ac:dyDescent="0.25">
      <c r="C74" t="s">
        <v>795</v>
      </c>
    </row>
    <row r="75" spans="3:3" x14ac:dyDescent="0.25">
      <c r="C75" t="s">
        <v>2182</v>
      </c>
    </row>
    <row r="76" spans="3:3" x14ac:dyDescent="0.25">
      <c r="C76" t="s">
        <v>1272</v>
      </c>
    </row>
    <row r="77" spans="3:3" x14ac:dyDescent="0.25">
      <c r="C77" t="s">
        <v>2235</v>
      </c>
    </row>
    <row r="78" spans="3:3" x14ac:dyDescent="0.25">
      <c r="C78" t="s">
        <v>916</v>
      </c>
    </row>
    <row r="79" spans="3:3" x14ac:dyDescent="0.25">
      <c r="C79" t="s">
        <v>2629</v>
      </c>
    </row>
    <row r="80" spans="3:3" x14ac:dyDescent="0.25">
      <c r="C80" t="s">
        <v>1431</v>
      </c>
    </row>
    <row r="81" spans="3:3" x14ac:dyDescent="0.25">
      <c r="C81" t="s">
        <v>1962</v>
      </c>
    </row>
    <row r="82" spans="3:3" x14ac:dyDescent="0.25">
      <c r="C82" t="s">
        <v>1534</v>
      </c>
    </row>
    <row r="83" spans="3:3" x14ac:dyDescent="0.25">
      <c r="C83" t="s">
        <v>2609</v>
      </c>
    </row>
    <row r="84" spans="3:3" x14ac:dyDescent="0.25">
      <c r="C84" t="s">
        <v>1377</v>
      </c>
    </row>
    <row r="85" spans="3:3" x14ac:dyDescent="0.25">
      <c r="C85" t="s">
        <v>492</v>
      </c>
    </row>
    <row r="86" spans="3:3" x14ac:dyDescent="0.25">
      <c r="C86" t="s">
        <v>1074</v>
      </c>
    </row>
    <row r="87" spans="3:3" x14ac:dyDescent="0.25">
      <c r="C87" t="s">
        <v>2621</v>
      </c>
    </row>
    <row r="88" spans="3:3" x14ac:dyDescent="0.25">
      <c r="C88" t="s">
        <v>755</v>
      </c>
    </row>
    <row r="89" spans="3:3" x14ac:dyDescent="0.25">
      <c r="C89" t="s">
        <v>661</v>
      </c>
    </row>
    <row r="90" spans="3:3" x14ac:dyDescent="0.25">
      <c r="C90" t="s">
        <v>1405</v>
      </c>
    </row>
    <row r="91" spans="3:3" x14ac:dyDescent="0.25">
      <c r="C91" t="s">
        <v>1783</v>
      </c>
    </row>
    <row r="92" spans="3:3" x14ac:dyDescent="0.25">
      <c r="C92" t="s">
        <v>1850</v>
      </c>
    </row>
    <row r="93" spans="3:3" x14ac:dyDescent="0.25">
      <c r="C93" t="s">
        <v>1391</v>
      </c>
    </row>
    <row r="94" spans="3:3" x14ac:dyDescent="0.25">
      <c r="C94" t="s">
        <v>1473</v>
      </c>
    </row>
    <row r="95" spans="3:3" x14ac:dyDescent="0.25">
      <c r="C95" t="s">
        <v>687</v>
      </c>
    </row>
    <row r="96" spans="3:3" x14ac:dyDescent="0.25">
      <c r="C96" t="s">
        <v>1234</v>
      </c>
    </row>
    <row r="97" spans="3:3" x14ac:dyDescent="0.25">
      <c r="C97" t="s">
        <v>1985</v>
      </c>
    </row>
    <row r="98" spans="3:3" x14ac:dyDescent="0.25">
      <c r="C98" t="s">
        <v>1357</v>
      </c>
    </row>
    <row r="99" spans="3:3" x14ac:dyDescent="0.25">
      <c r="C99" t="s">
        <v>2139</v>
      </c>
    </row>
    <row r="100" spans="3:3" x14ac:dyDescent="0.25">
      <c r="C100" t="s">
        <v>1556</v>
      </c>
    </row>
    <row r="101" spans="3:3" x14ac:dyDescent="0.25">
      <c r="C101" t="s">
        <v>2129</v>
      </c>
    </row>
    <row r="102" spans="3:3" x14ac:dyDescent="0.25">
      <c r="C102" t="s">
        <v>446</v>
      </c>
    </row>
    <row r="103" spans="3:3" x14ac:dyDescent="0.25">
      <c r="C103" t="s">
        <v>2021</v>
      </c>
    </row>
    <row r="104" spans="3:3" x14ac:dyDescent="0.25">
      <c r="C104" t="s">
        <v>426</v>
      </c>
    </row>
    <row r="105" spans="3:3" x14ac:dyDescent="0.25">
      <c r="C105" t="s">
        <v>1872</v>
      </c>
    </row>
    <row r="106" spans="3:3" x14ac:dyDescent="0.25">
      <c r="C106" t="s">
        <v>764</v>
      </c>
    </row>
    <row r="107" spans="3:3" x14ac:dyDescent="0.25">
      <c r="C107" t="s">
        <v>1771</v>
      </c>
    </row>
    <row r="108" spans="3:3" x14ac:dyDescent="0.25">
      <c r="C108" t="s">
        <v>2039</v>
      </c>
    </row>
    <row r="109" spans="3:3" x14ac:dyDescent="0.25">
      <c r="C109" t="s">
        <v>1945</v>
      </c>
    </row>
    <row r="110" spans="3:3" x14ac:dyDescent="0.25">
      <c r="C110" t="s">
        <v>675</v>
      </c>
    </row>
    <row r="111" spans="3:3" x14ac:dyDescent="0.25">
      <c r="C111" t="s">
        <v>717</v>
      </c>
    </row>
    <row r="112" spans="3:3" x14ac:dyDescent="0.25">
      <c r="C112" t="s">
        <v>2184</v>
      </c>
    </row>
    <row r="113" spans="3:3" x14ac:dyDescent="0.25">
      <c r="C113" t="s">
        <v>1423</v>
      </c>
    </row>
    <row r="114" spans="3:3" x14ac:dyDescent="0.25">
      <c r="C114" t="s">
        <v>1608</v>
      </c>
    </row>
    <row r="115" spans="3:3" x14ac:dyDescent="0.25">
      <c r="C115" t="s">
        <v>1461</v>
      </c>
    </row>
    <row r="116" spans="3:3" x14ac:dyDescent="0.25">
      <c r="C116" t="s">
        <v>1150</v>
      </c>
    </row>
    <row r="117" spans="3:3" x14ac:dyDescent="0.25">
      <c r="C117" t="s">
        <v>1940</v>
      </c>
    </row>
    <row r="118" spans="3:3" x14ac:dyDescent="0.25">
      <c r="C118" t="s">
        <v>1393</v>
      </c>
    </row>
    <row r="119" spans="3:3" x14ac:dyDescent="0.25">
      <c r="C119" t="s">
        <v>1754</v>
      </c>
    </row>
    <row r="120" spans="3:3" x14ac:dyDescent="0.25">
      <c r="C120" t="s">
        <v>1628</v>
      </c>
    </row>
    <row r="121" spans="3:3" x14ac:dyDescent="0.25">
      <c r="C121" t="s">
        <v>402</v>
      </c>
    </row>
    <row r="122" spans="3:3" x14ac:dyDescent="0.25">
      <c r="C122" t="s">
        <v>734</v>
      </c>
    </row>
    <row r="123" spans="3:3" x14ac:dyDescent="0.25">
      <c r="C123" t="s">
        <v>2523</v>
      </c>
    </row>
    <row r="124" spans="3:3" x14ac:dyDescent="0.25">
      <c r="C124" t="s">
        <v>992</v>
      </c>
    </row>
    <row r="125" spans="3:3" x14ac:dyDescent="0.25">
      <c r="C125" t="s">
        <v>978</v>
      </c>
    </row>
    <row r="126" spans="3:3" x14ac:dyDescent="0.25">
      <c r="C126" t="s">
        <v>1642</v>
      </c>
    </row>
    <row r="127" spans="3:3" x14ac:dyDescent="0.25">
      <c r="C127" t="s">
        <v>1256</v>
      </c>
    </row>
    <row r="128" spans="3:3" x14ac:dyDescent="0.25">
      <c r="C128" t="s">
        <v>1743</v>
      </c>
    </row>
    <row r="129" spans="3:3" x14ac:dyDescent="0.25">
      <c r="C129" t="s">
        <v>970</v>
      </c>
    </row>
    <row r="130" spans="3:3" x14ac:dyDescent="0.25">
      <c r="C130" t="s">
        <v>747</v>
      </c>
    </row>
    <row r="131" spans="3:3" x14ac:dyDescent="0.25">
      <c r="C131" t="s">
        <v>1530</v>
      </c>
    </row>
    <row r="132" spans="3:3" x14ac:dyDescent="0.25">
      <c r="C132" t="s">
        <v>2552</v>
      </c>
    </row>
    <row r="133" spans="3:3" x14ac:dyDescent="0.25">
      <c r="C133" t="s">
        <v>1652</v>
      </c>
    </row>
    <row r="134" spans="3:3" x14ac:dyDescent="0.25">
      <c r="C134" t="s">
        <v>1656</v>
      </c>
    </row>
    <row r="135" spans="3:3" x14ac:dyDescent="0.25">
      <c r="C135" t="s">
        <v>2078</v>
      </c>
    </row>
    <row r="136" spans="3:3" x14ac:dyDescent="0.25">
      <c r="C136" t="s">
        <v>2099</v>
      </c>
    </row>
    <row r="137" spans="3:3" x14ac:dyDescent="0.25">
      <c r="C137" t="s">
        <v>2114</v>
      </c>
    </row>
    <row r="138" spans="3:3" x14ac:dyDescent="0.25">
      <c r="C138" t="s">
        <v>2112</v>
      </c>
    </row>
    <row r="139" spans="3:3" x14ac:dyDescent="0.25">
      <c r="C139" t="s">
        <v>2086</v>
      </c>
    </row>
    <row r="140" spans="3:3" x14ac:dyDescent="0.25">
      <c r="C140" t="s">
        <v>2093</v>
      </c>
    </row>
    <row r="141" spans="3:3" x14ac:dyDescent="0.25">
      <c r="C141" t="s">
        <v>2083</v>
      </c>
    </row>
    <row r="142" spans="3:3" x14ac:dyDescent="0.25">
      <c r="C142" t="s">
        <v>1574</v>
      </c>
    </row>
    <row r="143" spans="3:3" x14ac:dyDescent="0.25">
      <c r="C143" t="s">
        <v>2082</v>
      </c>
    </row>
    <row r="144" spans="3:3" x14ac:dyDescent="0.25">
      <c r="C144" t="s">
        <v>1280</v>
      </c>
    </row>
    <row r="145" spans="3:3" x14ac:dyDescent="0.25">
      <c r="C145" t="s">
        <v>1577</v>
      </c>
    </row>
    <row r="146" spans="3:3" x14ac:dyDescent="0.25">
      <c r="C146" t="s">
        <v>1599</v>
      </c>
    </row>
    <row r="147" spans="3:3" x14ac:dyDescent="0.25">
      <c r="C147" t="s">
        <v>2108</v>
      </c>
    </row>
    <row r="148" spans="3:3" x14ac:dyDescent="0.25">
      <c r="C148" t="s">
        <v>1586</v>
      </c>
    </row>
    <row r="149" spans="3:3" x14ac:dyDescent="0.25">
      <c r="C149" t="s">
        <v>1582</v>
      </c>
    </row>
    <row r="150" spans="3:3" x14ac:dyDescent="0.25">
      <c r="C150" t="s">
        <v>2091</v>
      </c>
    </row>
    <row r="151" spans="3:3" x14ac:dyDescent="0.25">
      <c r="C151" t="s">
        <v>2076</v>
      </c>
    </row>
    <row r="152" spans="3:3" x14ac:dyDescent="0.25">
      <c r="C152" t="s">
        <v>2107</v>
      </c>
    </row>
    <row r="153" spans="3:3" x14ac:dyDescent="0.25">
      <c r="C153" t="s">
        <v>388</v>
      </c>
    </row>
    <row r="154" spans="3:3" x14ac:dyDescent="0.25">
      <c r="C154" t="s">
        <v>2288</v>
      </c>
    </row>
    <row r="155" spans="3:3" x14ac:dyDescent="0.25">
      <c r="C155" t="s">
        <v>412</v>
      </c>
    </row>
    <row r="156" spans="3:3" x14ac:dyDescent="0.25">
      <c r="C156" t="s">
        <v>1595</v>
      </c>
    </row>
    <row r="157" spans="3:3" x14ac:dyDescent="0.25">
      <c r="C157" t="s">
        <v>1675</v>
      </c>
    </row>
    <row r="158" spans="3:3" x14ac:dyDescent="0.25">
      <c r="C158" t="s">
        <v>1596</v>
      </c>
    </row>
    <row r="159" spans="3:3" x14ac:dyDescent="0.25">
      <c r="C159" t="s">
        <v>2097</v>
      </c>
    </row>
    <row r="160" spans="3:3" x14ac:dyDescent="0.25">
      <c r="C160" t="s">
        <v>2095</v>
      </c>
    </row>
    <row r="161" spans="3:3" x14ac:dyDescent="0.25">
      <c r="C161" t="s">
        <v>1672</v>
      </c>
    </row>
    <row r="162" spans="3:3" x14ac:dyDescent="0.25">
      <c r="C162" t="s">
        <v>1594</v>
      </c>
    </row>
    <row r="163" spans="3:3" x14ac:dyDescent="0.25">
      <c r="C163" t="s">
        <v>362</v>
      </c>
    </row>
    <row r="164" spans="3:3" x14ac:dyDescent="0.25">
      <c r="C164" t="s">
        <v>2088</v>
      </c>
    </row>
    <row r="165" spans="3:3" x14ac:dyDescent="0.25">
      <c r="C165" t="s">
        <v>1662</v>
      </c>
    </row>
    <row r="166" spans="3:3" x14ac:dyDescent="0.25">
      <c r="C166" t="s">
        <v>1589</v>
      </c>
    </row>
    <row r="167" spans="3:3" x14ac:dyDescent="0.25">
      <c r="C167" t="s">
        <v>1663</v>
      </c>
    </row>
    <row r="168" spans="3:3" x14ac:dyDescent="0.25">
      <c r="C168" t="s">
        <v>2079</v>
      </c>
    </row>
    <row r="169" spans="3:3" x14ac:dyDescent="0.25">
      <c r="C169" t="s">
        <v>1598</v>
      </c>
    </row>
    <row r="170" spans="3:3" x14ac:dyDescent="0.25">
      <c r="C170" t="s">
        <v>368</v>
      </c>
    </row>
    <row r="171" spans="3:3" x14ac:dyDescent="0.25">
      <c r="C171" t="s">
        <v>2077</v>
      </c>
    </row>
    <row r="172" spans="3:3" x14ac:dyDescent="0.25">
      <c r="C172" t="s">
        <v>2544</v>
      </c>
    </row>
    <row r="173" spans="3:3" x14ac:dyDescent="0.25">
      <c r="C173" t="s">
        <v>1419</v>
      </c>
    </row>
    <row r="174" spans="3:3" x14ac:dyDescent="0.25">
      <c r="C174" t="s">
        <v>470</v>
      </c>
    </row>
    <row r="175" spans="3:3" x14ac:dyDescent="0.25">
      <c r="C175" t="s">
        <v>1841</v>
      </c>
    </row>
    <row r="176" spans="3:3" x14ac:dyDescent="0.25">
      <c r="C176" t="s">
        <v>1006</v>
      </c>
    </row>
    <row r="177" spans="3:3" x14ac:dyDescent="0.25">
      <c r="C177" t="s">
        <v>2245</v>
      </c>
    </row>
    <row r="178" spans="3:3" x14ac:dyDescent="0.25">
      <c r="C178" t="s">
        <v>418</v>
      </c>
    </row>
    <row r="179" spans="3:3" x14ac:dyDescent="0.25">
      <c r="C179" t="s">
        <v>2210</v>
      </c>
    </row>
    <row r="180" spans="3:3" x14ac:dyDescent="0.25">
      <c r="C180" t="s">
        <v>1785</v>
      </c>
    </row>
    <row r="181" spans="3:3" x14ac:dyDescent="0.25">
      <c r="C181" t="s">
        <v>2393</v>
      </c>
    </row>
    <row r="182" spans="3:3" x14ac:dyDescent="0.25">
      <c r="C182" t="s">
        <v>2607</v>
      </c>
    </row>
    <row r="183" spans="3:3" x14ac:dyDescent="0.25">
      <c r="C183" t="s">
        <v>2168</v>
      </c>
    </row>
    <row r="184" spans="3:3" x14ac:dyDescent="0.25">
      <c r="C184" t="s">
        <v>1738</v>
      </c>
    </row>
    <row r="185" spans="3:3" x14ac:dyDescent="0.25">
      <c r="C185" t="s">
        <v>2617</v>
      </c>
    </row>
    <row r="186" spans="3:3" x14ac:dyDescent="0.25">
      <c r="C186" t="s">
        <v>1110</v>
      </c>
    </row>
    <row r="187" spans="3:3" x14ac:dyDescent="0.25">
      <c r="C187" t="s">
        <v>738</v>
      </c>
    </row>
    <row r="188" spans="3:3" x14ac:dyDescent="0.25">
      <c r="C188" t="s">
        <v>2200</v>
      </c>
    </row>
    <row r="189" spans="3:3" x14ac:dyDescent="0.25">
      <c r="C189" t="s">
        <v>2344</v>
      </c>
    </row>
    <row r="190" spans="3:3" x14ac:dyDescent="0.25">
      <c r="C190" t="s">
        <v>2029</v>
      </c>
    </row>
    <row r="191" spans="3:3" x14ac:dyDescent="0.25">
      <c r="C191" t="s">
        <v>1892</v>
      </c>
    </row>
    <row r="192" spans="3:3" x14ac:dyDescent="0.25">
      <c r="C192" t="s">
        <v>2603</v>
      </c>
    </row>
    <row r="193" spans="3:3" x14ac:dyDescent="0.25">
      <c r="C193" t="s">
        <v>308</v>
      </c>
    </row>
    <row r="194" spans="3:3" x14ac:dyDescent="0.25">
      <c r="C194" t="s">
        <v>1337</v>
      </c>
    </row>
    <row r="195" spans="3:3" x14ac:dyDescent="0.25">
      <c r="C195" t="s">
        <v>793</v>
      </c>
    </row>
    <row r="196" spans="3:3" x14ac:dyDescent="0.25">
      <c r="C196" t="s">
        <v>1457</v>
      </c>
    </row>
    <row r="197" spans="3:3" x14ac:dyDescent="0.25">
      <c r="C197" t="s">
        <v>1218</v>
      </c>
    </row>
    <row r="198" spans="3:3" x14ac:dyDescent="0.25">
      <c r="C198" t="s">
        <v>496</v>
      </c>
    </row>
    <row r="199" spans="3:3" x14ac:dyDescent="0.25">
      <c r="C199" t="s">
        <v>1888</v>
      </c>
    </row>
    <row r="200" spans="3:3" x14ac:dyDescent="0.25">
      <c r="C200" t="s">
        <v>2500</v>
      </c>
    </row>
    <row r="201" spans="3:3" x14ac:dyDescent="0.25">
      <c r="C201" t="s">
        <v>2330</v>
      </c>
    </row>
    <row r="202" spans="3:3" x14ac:dyDescent="0.25">
      <c r="C202" t="s">
        <v>1695</v>
      </c>
    </row>
    <row r="203" spans="3:3" x14ac:dyDescent="0.25">
      <c r="C203" t="s">
        <v>400</v>
      </c>
    </row>
    <row r="204" spans="3:3" x14ac:dyDescent="0.25">
      <c r="C204" t="s">
        <v>2300</v>
      </c>
    </row>
    <row r="205" spans="3:3" x14ac:dyDescent="0.25">
      <c r="C205" t="s">
        <v>2072</v>
      </c>
    </row>
    <row r="206" spans="3:3" x14ac:dyDescent="0.25">
      <c r="C206" t="s">
        <v>824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1706</v>
      </c>
    </row>
    <row r="210" spans="3:3" x14ac:dyDescent="0.25">
      <c r="C210" t="s">
        <v>2160</v>
      </c>
    </row>
    <row r="211" spans="3:3" x14ac:dyDescent="0.25">
      <c r="C211" t="s">
        <v>1475</v>
      </c>
    </row>
    <row r="212" spans="3:3" x14ac:dyDescent="0.25">
      <c r="C212" t="s">
        <v>1014</v>
      </c>
    </row>
    <row r="213" spans="3:3" x14ac:dyDescent="0.25">
      <c r="C213" t="s">
        <v>1953</v>
      </c>
    </row>
    <row r="214" spans="3:3" x14ac:dyDescent="0.25">
      <c r="C214" t="s">
        <v>1465</v>
      </c>
    </row>
    <row r="215" spans="3:3" x14ac:dyDescent="0.25">
      <c r="C215" t="s">
        <v>2509</v>
      </c>
    </row>
    <row r="216" spans="3:3" x14ac:dyDescent="0.25">
      <c r="C216" t="s">
        <v>643</v>
      </c>
    </row>
    <row r="217" spans="3:3" x14ac:dyDescent="0.25">
      <c r="C217" t="s">
        <v>715</v>
      </c>
    </row>
    <row r="218" spans="3:3" x14ac:dyDescent="0.25">
      <c r="C218" t="s">
        <v>758</v>
      </c>
    </row>
    <row r="219" spans="3:3" x14ac:dyDescent="0.25">
      <c r="C219" t="s">
        <v>651</v>
      </c>
    </row>
    <row r="220" spans="3:3" x14ac:dyDescent="0.25">
      <c r="C220" t="s">
        <v>1862</v>
      </c>
    </row>
    <row r="221" spans="3:3" x14ac:dyDescent="0.25">
      <c r="C221" t="s">
        <v>2379</v>
      </c>
    </row>
    <row r="222" spans="3:3" x14ac:dyDescent="0.25">
      <c r="C222" t="s">
        <v>394</v>
      </c>
    </row>
    <row r="223" spans="3:3" x14ac:dyDescent="0.25">
      <c r="C223" t="s">
        <v>2121</v>
      </c>
    </row>
    <row r="224" spans="3:3" x14ac:dyDescent="0.25">
      <c r="C224" t="s">
        <v>1977</v>
      </c>
    </row>
    <row r="225" spans="3:3" x14ac:dyDescent="0.25">
      <c r="C225" t="s">
        <v>962</v>
      </c>
    </row>
    <row r="226" spans="3:3" x14ac:dyDescent="0.25">
      <c r="C226" t="s">
        <v>1730</v>
      </c>
    </row>
    <row r="227" spans="3:3" x14ac:dyDescent="0.25">
      <c r="C227" t="s">
        <v>1202</v>
      </c>
    </row>
    <row r="228" spans="3:3" x14ac:dyDescent="0.25">
      <c r="C228" t="s">
        <v>2398</v>
      </c>
    </row>
    <row r="229" spans="3:3" x14ac:dyDescent="0.25">
      <c r="C229" t="s">
        <v>900</v>
      </c>
    </row>
    <row r="230" spans="3:3" x14ac:dyDescent="0.25">
      <c r="C230" t="s">
        <v>1972</v>
      </c>
    </row>
    <row r="231" spans="3:3" x14ac:dyDescent="0.25">
      <c r="C231" t="s">
        <v>976</v>
      </c>
    </row>
    <row r="232" spans="3:3" x14ac:dyDescent="0.25">
      <c r="C232" t="s">
        <v>1876</v>
      </c>
    </row>
    <row r="233" spans="3:3" x14ac:dyDescent="0.25">
      <c r="C233" t="s">
        <v>649</v>
      </c>
    </row>
    <row r="234" spans="3:3" x14ac:dyDescent="0.25">
      <c r="C234" t="s">
        <v>1712</v>
      </c>
    </row>
    <row r="235" spans="3:3" x14ac:dyDescent="0.25">
      <c r="C235" t="s">
        <v>2208</v>
      </c>
    </row>
    <row r="236" spans="3:3" x14ac:dyDescent="0.25">
      <c r="C236" t="s">
        <v>1179</v>
      </c>
    </row>
    <row r="237" spans="3:3" x14ac:dyDescent="0.25">
      <c r="C237" t="s">
        <v>996</v>
      </c>
    </row>
    <row r="238" spans="3:3" x14ac:dyDescent="0.25">
      <c r="C238" t="s">
        <v>376</v>
      </c>
    </row>
    <row r="239" spans="3:3" x14ac:dyDescent="0.25">
      <c r="C239" t="s">
        <v>1759</v>
      </c>
    </row>
    <row r="240" spans="3:3" x14ac:dyDescent="0.25">
      <c r="C240" t="s">
        <v>2516</v>
      </c>
    </row>
    <row r="241" spans="3:3" x14ac:dyDescent="0.25">
      <c r="C241" t="s">
        <v>2535</v>
      </c>
    </row>
    <row r="242" spans="3:3" x14ac:dyDescent="0.25">
      <c r="C242" t="s">
        <v>434</v>
      </c>
    </row>
    <row r="243" spans="3:3" x14ac:dyDescent="0.25">
      <c r="C243" t="s">
        <v>1491</v>
      </c>
    </row>
    <row r="244" spans="3:3" x14ac:dyDescent="0.25">
      <c r="C244" t="s">
        <v>1951</v>
      </c>
    </row>
    <row r="245" spans="3:3" x14ac:dyDescent="0.25">
      <c r="C245" t="s">
        <v>2469</v>
      </c>
    </row>
    <row r="246" spans="3:3" x14ac:dyDescent="0.25">
      <c r="C246" t="s">
        <v>2318</v>
      </c>
    </row>
    <row r="247" spans="3:3" x14ac:dyDescent="0.25">
      <c r="C247" t="s">
        <v>1844</v>
      </c>
    </row>
    <row r="248" spans="3:3" x14ac:dyDescent="0.25">
      <c r="C248" t="s">
        <v>1790</v>
      </c>
    </row>
    <row r="249" spans="3:3" x14ac:dyDescent="0.25">
      <c r="C249" t="s">
        <v>2490</v>
      </c>
    </row>
    <row r="250" spans="3:3" x14ac:dyDescent="0.25">
      <c r="C250" t="s">
        <v>918</v>
      </c>
    </row>
    <row r="251" spans="3:3" x14ac:dyDescent="0.25">
      <c r="C251" t="s">
        <v>655</v>
      </c>
    </row>
    <row r="252" spans="3:3" x14ac:dyDescent="0.25">
      <c r="C252" t="s">
        <v>1995</v>
      </c>
    </row>
    <row r="253" spans="3:3" x14ac:dyDescent="0.25">
      <c r="C253" t="s">
        <v>1886</v>
      </c>
    </row>
    <row r="254" spans="3:3" x14ac:dyDescent="0.25">
      <c r="C254" t="s">
        <v>1989</v>
      </c>
    </row>
    <row r="255" spans="3:3" x14ac:dyDescent="0.25">
      <c r="C255" t="s">
        <v>1441</v>
      </c>
    </row>
    <row r="256" spans="3:3" x14ac:dyDescent="0.25">
      <c r="C256" t="s">
        <v>828</v>
      </c>
    </row>
    <row r="257" spans="3:3" x14ac:dyDescent="0.25">
      <c r="C257" t="s">
        <v>1697</v>
      </c>
    </row>
    <row r="258" spans="3:3" x14ac:dyDescent="0.25">
      <c r="C258" t="s">
        <v>1682</v>
      </c>
    </row>
    <row r="259" spans="3:3" x14ac:dyDescent="0.25">
      <c r="C259" t="s">
        <v>839</v>
      </c>
    </row>
    <row r="260" spans="3:3" x14ac:dyDescent="0.25">
      <c r="C260" t="s">
        <v>286</v>
      </c>
    </row>
    <row r="261" spans="3:3" x14ac:dyDescent="0.25">
      <c r="C261" t="s">
        <v>681</v>
      </c>
    </row>
    <row r="262" spans="3:3" x14ac:dyDescent="0.25">
      <c r="C262" t="s">
        <v>693</v>
      </c>
    </row>
    <row r="263" spans="3:3" x14ac:dyDescent="0.25">
      <c r="C263" t="s">
        <v>982</v>
      </c>
    </row>
    <row r="264" spans="3:3" x14ac:dyDescent="0.25">
      <c r="C264" t="s">
        <v>2031</v>
      </c>
    </row>
    <row r="265" spans="3:3" x14ac:dyDescent="0.25">
      <c r="C265" t="s">
        <v>2424</v>
      </c>
    </row>
    <row r="266" spans="3:3" x14ac:dyDescent="0.25">
      <c r="C266" t="s">
        <v>1305</v>
      </c>
    </row>
    <row r="267" spans="3:3" x14ac:dyDescent="0.25">
      <c r="C267" t="s">
        <v>803</v>
      </c>
    </row>
    <row r="268" spans="3:3" x14ac:dyDescent="0.25">
      <c r="C268" t="s">
        <v>1031</v>
      </c>
    </row>
    <row r="269" spans="3:3" x14ac:dyDescent="0.25">
      <c r="C269" t="s">
        <v>1246</v>
      </c>
    </row>
    <row r="270" spans="3:3" x14ac:dyDescent="0.25">
      <c r="C270" t="s">
        <v>873</v>
      </c>
    </row>
    <row r="271" spans="3:3" x14ac:dyDescent="0.25">
      <c r="C271" t="s">
        <v>1570</v>
      </c>
    </row>
    <row r="272" spans="3:3" x14ac:dyDescent="0.25">
      <c r="C272" t="s">
        <v>1142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1542</v>
      </c>
    </row>
    <row r="276" spans="3:3" x14ac:dyDescent="0.25">
      <c r="C276" t="s">
        <v>1503</v>
      </c>
    </row>
    <row r="277" spans="3:3" x14ac:dyDescent="0.25">
      <c r="C277" t="s">
        <v>1086</v>
      </c>
    </row>
    <row r="278" spans="3:3" x14ac:dyDescent="0.25">
      <c r="C278" t="s">
        <v>2019</v>
      </c>
    </row>
    <row r="279" spans="3:3" x14ac:dyDescent="0.25">
      <c r="C279" t="s">
        <v>2498</v>
      </c>
    </row>
    <row r="280" spans="3:3" x14ac:dyDescent="0.25">
      <c r="C280" t="s">
        <v>781</v>
      </c>
    </row>
    <row r="281" spans="3:3" x14ac:dyDescent="0.25">
      <c r="C281" t="s">
        <v>1302</v>
      </c>
    </row>
    <row r="282" spans="3:3" x14ac:dyDescent="0.25">
      <c r="C282" t="s">
        <v>2131</v>
      </c>
    </row>
    <row r="283" spans="3:3" x14ac:dyDescent="0.25">
      <c r="C283" t="s">
        <v>1493</v>
      </c>
    </row>
    <row r="284" spans="3:3" x14ac:dyDescent="0.25">
      <c r="C284" t="s">
        <v>1134</v>
      </c>
    </row>
    <row r="285" spans="3:3" x14ac:dyDescent="0.25">
      <c r="C285" t="s">
        <v>1626</v>
      </c>
    </row>
    <row r="286" spans="3:3" x14ac:dyDescent="0.25">
      <c r="C286" t="s">
        <v>2631</v>
      </c>
    </row>
    <row r="287" spans="3:3" x14ac:dyDescent="0.25">
      <c r="C287" t="s">
        <v>1017</v>
      </c>
    </row>
    <row r="288" spans="3:3" x14ac:dyDescent="0.25">
      <c r="C288" t="s">
        <v>1481</v>
      </c>
    </row>
    <row r="289" spans="3:3" x14ac:dyDescent="0.25">
      <c r="C289" t="s">
        <v>516</v>
      </c>
    </row>
    <row r="290" spans="3:3" x14ac:dyDescent="0.25">
      <c r="C290" t="s">
        <v>1433</v>
      </c>
    </row>
    <row r="291" spans="3:3" x14ac:dyDescent="0.25">
      <c r="C291" t="s">
        <v>766</v>
      </c>
    </row>
    <row r="292" spans="3:3" x14ac:dyDescent="0.25">
      <c r="C292" t="s">
        <v>929</v>
      </c>
    </row>
    <row r="293" spans="3:3" x14ac:dyDescent="0.25">
      <c r="C293" t="s">
        <v>1644</v>
      </c>
    </row>
    <row r="294" spans="3:3" x14ac:dyDescent="0.25">
      <c r="C294" t="s">
        <v>1838</v>
      </c>
    </row>
    <row r="295" spans="3:3" x14ac:dyDescent="0.25">
      <c r="C295" t="s">
        <v>1912</v>
      </c>
    </row>
    <row r="296" spans="3:3" x14ac:dyDescent="0.25">
      <c r="C296" t="s">
        <v>761</v>
      </c>
    </row>
    <row r="297" spans="3:3" x14ac:dyDescent="0.25">
      <c r="C297" t="s">
        <v>514</v>
      </c>
    </row>
    <row r="298" spans="3:3" x14ac:dyDescent="0.25">
      <c r="C298" t="s">
        <v>1507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914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933</v>
      </c>
    </row>
    <row r="305" spans="3:3" x14ac:dyDescent="0.25">
      <c r="C305" t="s">
        <v>1497</v>
      </c>
    </row>
    <row r="306" spans="3:3" x14ac:dyDescent="0.25">
      <c r="C306" t="s">
        <v>2375</v>
      </c>
    </row>
    <row r="307" spans="3:3" x14ac:dyDescent="0.25">
      <c r="C307" t="s">
        <v>1310</v>
      </c>
    </row>
    <row r="308" spans="3:3" x14ac:dyDescent="0.25">
      <c r="C308" t="s">
        <v>865</v>
      </c>
    </row>
    <row r="309" spans="3:3" x14ac:dyDescent="0.25">
      <c r="C309" t="s">
        <v>2310</v>
      </c>
    </row>
    <row r="310" spans="3:3" x14ac:dyDescent="0.25">
      <c r="C310" t="s">
        <v>1415</v>
      </c>
    </row>
    <row r="311" spans="3:3" x14ac:dyDescent="0.25">
      <c r="C311" t="s">
        <v>458</v>
      </c>
    </row>
    <row r="312" spans="3:3" x14ac:dyDescent="0.25">
      <c r="C312" t="s">
        <v>1158</v>
      </c>
    </row>
    <row r="313" spans="3:3" x14ac:dyDescent="0.25">
      <c r="C313" t="s">
        <v>2373</v>
      </c>
    </row>
    <row r="314" spans="3:3" x14ac:dyDescent="0.25">
      <c r="C314" t="s">
        <v>1124</v>
      </c>
    </row>
    <row r="315" spans="3:3" x14ac:dyDescent="0.25">
      <c r="C315" t="s">
        <v>857</v>
      </c>
    </row>
    <row r="316" spans="3:3" x14ac:dyDescent="0.25">
      <c r="C316" t="s">
        <v>510</v>
      </c>
    </row>
    <row r="317" spans="3:3" x14ac:dyDescent="0.25">
      <c r="C317" t="s">
        <v>522</v>
      </c>
    </row>
    <row r="318" spans="3:3" x14ac:dyDescent="0.25">
      <c r="C318" t="s">
        <v>829</v>
      </c>
    </row>
    <row r="319" spans="3:3" x14ac:dyDescent="0.25">
      <c r="C319" t="s">
        <v>520</v>
      </c>
    </row>
    <row r="320" spans="3:3" x14ac:dyDescent="0.25">
      <c r="C320" t="s">
        <v>855</v>
      </c>
    </row>
    <row r="321" spans="3:3" x14ac:dyDescent="0.25">
      <c r="C321" t="s">
        <v>843</v>
      </c>
    </row>
    <row r="322" spans="3:3" x14ac:dyDescent="0.25">
      <c r="C322" t="s">
        <v>456</v>
      </c>
    </row>
    <row r="323" spans="3:3" x14ac:dyDescent="0.25">
      <c r="C323" t="s">
        <v>2054</v>
      </c>
    </row>
    <row r="324" spans="3:3" x14ac:dyDescent="0.25">
      <c r="C324" t="s">
        <v>826</v>
      </c>
    </row>
    <row r="325" spans="3:3" x14ac:dyDescent="0.25">
      <c r="C325" t="s">
        <v>2426</v>
      </c>
    </row>
    <row r="326" spans="3:3" x14ac:dyDescent="0.25">
      <c r="C326" t="s">
        <v>1187</v>
      </c>
    </row>
    <row r="327" spans="3:3" x14ac:dyDescent="0.25">
      <c r="C327" t="s">
        <v>1720</v>
      </c>
    </row>
    <row r="328" spans="3:3" x14ac:dyDescent="0.25">
      <c r="C328" t="s">
        <v>386</v>
      </c>
    </row>
    <row r="329" spans="3:3" x14ac:dyDescent="0.25">
      <c r="C329" t="s">
        <v>811</v>
      </c>
    </row>
    <row r="330" spans="3:3" x14ac:dyDescent="0.25">
      <c r="C330" t="s">
        <v>2363</v>
      </c>
    </row>
    <row r="331" spans="3:3" x14ac:dyDescent="0.25">
      <c r="C331" t="s">
        <v>1955</v>
      </c>
    </row>
    <row r="332" spans="3:3" x14ac:dyDescent="0.25">
      <c r="C332" t="s">
        <v>813</v>
      </c>
    </row>
    <row r="333" spans="3:3" x14ac:dyDescent="0.25">
      <c r="C333" t="s">
        <v>2186</v>
      </c>
    </row>
    <row r="334" spans="3:3" x14ac:dyDescent="0.25">
      <c r="C334" t="s">
        <v>817</v>
      </c>
    </row>
    <row r="335" spans="3:3" x14ac:dyDescent="0.25">
      <c r="C335" t="s">
        <v>2473</v>
      </c>
    </row>
    <row r="336" spans="3:3" x14ac:dyDescent="0.25">
      <c r="C336" t="s">
        <v>1324</v>
      </c>
    </row>
    <row r="337" spans="3:3" x14ac:dyDescent="0.25">
      <c r="C337" t="s">
        <v>1964</v>
      </c>
    </row>
    <row r="338" spans="3:3" x14ac:dyDescent="0.25">
      <c r="C338" t="s">
        <v>318</v>
      </c>
    </row>
    <row r="339" spans="3:3" x14ac:dyDescent="0.25">
      <c r="C339" t="s">
        <v>1214</v>
      </c>
    </row>
    <row r="340" spans="3:3" x14ac:dyDescent="0.25">
      <c r="C340" t="s">
        <v>296</v>
      </c>
    </row>
    <row r="341" spans="3:3" x14ac:dyDescent="0.25">
      <c r="C341" t="s">
        <v>1532</v>
      </c>
    </row>
    <row r="342" spans="3:3" x14ac:dyDescent="0.25">
      <c r="C342" t="s">
        <v>1890</v>
      </c>
    </row>
    <row r="343" spans="3:3" x14ac:dyDescent="0.25">
      <c r="C343" t="s">
        <v>1000</v>
      </c>
    </row>
    <row r="344" spans="3:3" x14ac:dyDescent="0.25">
      <c r="C344" t="s">
        <v>432</v>
      </c>
    </row>
    <row r="345" spans="3:3" x14ac:dyDescent="0.25">
      <c r="C345" t="s">
        <v>1724</v>
      </c>
    </row>
    <row r="346" spans="3:3" x14ac:dyDescent="0.25">
      <c r="C346" t="s">
        <v>807</v>
      </c>
    </row>
    <row r="347" spans="3:3" x14ac:dyDescent="0.25">
      <c r="C347" t="s">
        <v>2269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2174</v>
      </c>
    </row>
    <row r="351" spans="3:3" x14ac:dyDescent="0.25">
      <c r="C351" t="s">
        <v>1191</v>
      </c>
    </row>
    <row r="352" spans="3:3" x14ac:dyDescent="0.25">
      <c r="C352" t="s">
        <v>1463</v>
      </c>
    </row>
    <row r="353" spans="3:3" x14ac:dyDescent="0.25">
      <c r="C353" t="s">
        <v>1447</v>
      </c>
    </row>
    <row r="354" spans="3:3" x14ac:dyDescent="0.25">
      <c r="C354" t="s">
        <v>601</v>
      </c>
    </row>
    <row r="355" spans="3:3" x14ac:dyDescent="0.25">
      <c r="C355" t="s">
        <v>1065</v>
      </c>
    </row>
    <row r="356" spans="3:3" x14ac:dyDescent="0.25">
      <c r="C356" t="s">
        <v>2440</v>
      </c>
    </row>
    <row r="357" spans="3:3" x14ac:dyDescent="0.25">
      <c r="C357" t="s">
        <v>1900</v>
      </c>
    </row>
    <row r="358" spans="3:3" x14ac:dyDescent="0.25">
      <c r="C358" t="s">
        <v>2651</v>
      </c>
    </row>
    <row r="359" spans="3:3" x14ac:dyDescent="0.25">
      <c r="C359" t="s">
        <v>2432</v>
      </c>
    </row>
    <row r="360" spans="3:3" x14ac:dyDescent="0.25">
      <c r="C360" t="s">
        <v>2322</v>
      </c>
    </row>
    <row r="361" spans="3:3" x14ac:dyDescent="0.25">
      <c r="C361" t="s">
        <v>2334</v>
      </c>
    </row>
    <row r="362" spans="3:3" x14ac:dyDescent="0.25">
      <c r="C362" t="s">
        <v>1268</v>
      </c>
    </row>
    <row r="363" spans="3:3" x14ac:dyDescent="0.25">
      <c r="C363" t="s">
        <v>1216</v>
      </c>
    </row>
    <row r="364" spans="3:3" x14ac:dyDescent="0.25">
      <c r="C364" t="s">
        <v>488</v>
      </c>
    </row>
    <row r="365" spans="3:3" x14ac:dyDescent="0.25">
      <c r="C365" t="s">
        <v>2085</v>
      </c>
    </row>
    <row r="366" spans="3:3" x14ac:dyDescent="0.25">
      <c r="C366" t="s">
        <v>1661</v>
      </c>
    </row>
    <row r="367" spans="3:3" x14ac:dyDescent="0.25">
      <c r="C367" t="s">
        <v>1275</v>
      </c>
    </row>
    <row r="368" spans="3:3" x14ac:dyDescent="0.25">
      <c r="C368" t="s">
        <v>1285</v>
      </c>
    </row>
    <row r="369" spans="3:3" x14ac:dyDescent="0.25">
      <c r="C369" t="s">
        <v>837</v>
      </c>
    </row>
    <row r="370" spans="3:3" x14ac:dyDescent="0.25">
      <c r="C370" t="s">
        <v>1700</v>
      </c>
    </row>
    <row r="371" spans="3:3" x14ac:dyDescent="0.25">
      <c r="C371" t="s">
        <v>2279</v>
      </c>
    </row>
    <row r="372" spans="3:3" x14ac:dyDescent="0.25">
      <c r="C372" t="s">
        <v>1936</v>
      </c>
    </row>
    <row r="373" spans="3:3" x14ac:dyDescent="0.25">
      <c r="C373" t="s">
        <v>2015</v>
      </c>
    </row>
    <row r="374" spans="3:3" x14ac:dyDescent="0.25">
      <c r="C374" t="s">
        <v>2554</v>
      </c>
    </row>
    <row r="375" spans="3:3" x14ac:dyDescent="0.25">
      <c r="C375" t="s">
        <v>1916</v>
      </c>
    </row>
    <row r="376" spans="3:3" x14ac:dyDescent="0.25">
      <c r="C376" t="s">
        <v>564</v>
      </c>
    </row>
    <row r="377" spans="3:3" x14ac:dyDescent="0.25">
      <c r="C377" t="s">
        <v>2446</v>
      </c>
    </row>
    <row r="378" spans="3:3" x14ac:dyDescent="0.25">
      <c r="C378" t="s">
        <v>2166</v>
      </c>
    </row>
    <row r="379" spans="3:3" x14ac:dyDescent="0.25">
      <c r="C379" t="s">
        <v>462</v>
      </c>
    </row>
    <row r="380" spans="3:3" x14ac:dyDescent="0.25">
      <c r="C380" t="s">
        <v>1856</v>
      </c>
    </row>
    <row r="381" spans="3:3" x14ac:dyDescent="0.25">
      <c r="C381" t="s">
        <v>1960</v>
      </c>
    </row>
    <row r="382" spans="3:3" x14ac:dyDescent="0.25">
      <c r="C382" t="s">
        <v>581</v>
      </c>
    </row>
    <row r="383" spans="3:3" x14ac:dyDescent="0.25">
      <c r="C383" t="s">
        <v>711</v>
      </c>
    </row>
    <row r="384" spans="3:3" x14ac:dyDescent="0.25">
      <c r="C384" t="s">
        <v>2471</v>
      </c>
    </row>
    <row r="385" spans="3:3" x14ac:dyDescent="0.25">
      <c r="C385" t="s">
        <v>1200</v>
      </c>
    </row>
    <row r="386" spans="3:3" x14ac:dyDescent="0.25">
      <c r="C386" t="s">
        <v>1004</v>
      </c>
    </row>
    <row r="387" spans="3:3" x14ac:dyDescent="0.25">
      <c r="C387" t="s">
        <v>595</v>
      </c>
    </row>
    <row r="388" spans="3:3" x14ac:dyDescent="0.25">
      <c r="C388" t="s">
        <v>2558</v>
      </c>
    </row>
    <row r="389" spans="3:3" x14ac:dyDescent="0.25">
      <c r="C389" t="s">
        <v>1401</v>
      </c>
    </row>
    <row r="390" spans="3:3" x14ac:dyDescent="0.25">
      <c r="C390" t="s">
        <v>2580</v>
      </c>
    </row>
    <row r="391" spans="3:3" x14ac:dyDescent="0.25">
      <c r="C391" t="s">
        <v>1513</v>
      </c>
    </row>
    <row r="392" spans="3:3" x14ac:dyDescent="0.25">
      <c r="C392" t="s">
        <v>2391</v>
      </c>
    </row>
    <row r="393" spans="3:3" x14ac:dyDescent="0.25">
      <c r="C393" t="s">
        <v>2619</v>
      </c>
    </row>
    <row r="394" spans="3:3" x14ac:dyDescent="0.25">
      <c r="C394" t="s">
        <v>1858</v>
      </c>
    </row>
    <row r="395" spans="3:3" x14ac:dyDescent="0.25">
      <c r="C395" t="s">
        <v>1228</v>
      </c>
    </row>
    <row r="396" spans="3:3" x14ac:dyDescent="0.25">
      <c r="C396" t="s">
        <v>378</v>
      </c>
    </row>
    <row r="397" spans="3:3" x14ac:dyDescent="0.25">
      <c r="C397" t="s">
        <v>2601</v>
      </c>
    </row>
    <row r="398" spans="3:3" x14ac:dyDescent="0.25">
      <c r="C398" t="s">
        <v>679</v>
      </c>
    </row>
    <row r="399" spans="3:3" x14ac:dyDescent="0.25">
      <c r="C399" t="s">
        <v>316</v>
      </c>
    </row>
    <row r="400" spans="3:3" x14ac:dyDescent="0.25">
      <c r="C400" t="s">
        <v>472</v>
      </c>
    </row>
    <row r="401" spans="3:3" x14ac:dyDescent="0.25">
      <c r="C401" t="s">
        <v>831</v>
      </c>
    </row>
    <row r="402" spans="3:3" x14ac:dyDescent="0.25">
      <c r="C402" t="s">
        <v>1573</v>
      </c>
    </row>
    <row r="403" spans="3:3" x14ac:dyDescent="0.25">
      <c r="C403" t="s">
        <v>2113</v>
      </c>
    </row>
    <row r="404" spans="3:3" x14ac:dyDescent="0.25">
      <c r="C404" t="s">
        <v>482</v>
      </c>
    </row>
    <row r="405" spans="3:3" x14ac:dyDescent="0.25">
      <c r="C405" t="s">
        <v>2064</v>
      </c>
    </row>
    <row r="406" spans="3:3" x14ac:dyDescent="0.25">
      <c r="C406" t="s">
        <v>1583</v>
      </c>
    </row>
    <row r="407" spans="3:3" x14ac:dyDescent="0.25">
      <c r="C407" t="s">
        <v>2037</v>
      </c>
    </row>
    <row r="408" spans="3:3" x14ac:dyDescent="0.25">
      <c r="C408" t="s">
        <v>2041</v>
      </c>
    </row>
    <row r="409" spans="3:3" x14ac:dyDescent="0.25">
      <c r="C409" t="s">
        <v>2592</v>
      </c>
    </row>
    <row r="410" spans="3:3" x14ac:dyDescent="0.25">
      <c r="C410" t="s">
        <v>1183</v>
      </c>
    </row>
    <row r="411" spans="3:3" x14ac:dyDescent="0.25">
      <c r="C411" t="s">
        <v>2013</v>
      </c>
    </row>
    <row r="412" spans="3:3" x14ac:dyDescent="0.25">
      <c r="C412" t="s">
        <v>2320</v>
      </c>
    </row>
    <row r="413" spans="3:3" x14ac:dyDescent="0.25">
      <c r="C413" t="s">
        <v>2133</v>
      </c>
    </row>
    <row r="414" spans="3:3" x14ac:dyDescent="0.25">
      <c r="C414" t="s">
        <v>2158</v>
      </c>
    </row>
    <row r="415" spans="3:3" x14ac:dyDescent="0.25">
      <c r="C415" t="s">
        <v>998</v>
      </c>
    </row>
    <row r="416" spans="3:3" x14ac:dyDescent="0.25">
      <c r="C416" t="s">
        <v>980</v>
      </c>
    </row>
    <row r="417" spans="3:3" x14ac:dyDescent="0.25">
      <c r="C417" t="s">
        <v>1114</v>
      </c>
    </row>
    <row r="418" spans="3:3" x14ac:dyDescent="0.25">
      <c r="C418" t="s">
        <v>498</v>
      </c>
    </row>
    <row r="419" spans="3:3" x14ac:dyDescent="0.25">
      <c r="C419" t="s">
        <v>1181</v>
      </c>
    </row>
    <row r="420" spans="3:3" x14ac:dyDescent="0.25">
      <c r="C420" t="s">
        <v>2308</v>
      </c>
    </row>
    <row r="421" spans="3:3" x14ac:dyDescent="0.25">
      <c r="C421" t="s">
        <v>610</v>
      </c>
    </row>
    <row r="422" spans="3:3" x14ac:dyDescent="0.25">
      <c r="C422" t="s">
        <v>1745</v>
      </c>
    </row>
    <row r="423" spans="3:3" x14ac:dyDescent="0.25">
      <c r="C423" t="s">
        <v>1435</v>
      </c>
    </row>
    <row r="424" spans="3:3" x14ac:dyDescent="0.25">
      <c r="C424" t="s">
        <v>593</v>
      </c>
    </row>
    <row r="425" spans="3:3" x14ac:dyDescent="0.25">
      <c r="C425" t="s">
        <v>1726</v>
      </c>
    </row>
    <row r="426" spans="3:3" x14ac:dyDescent="0.25">
      <c r="C426" t="s">
        <v>2350</v>
      </c>
    </row>
    <row r="427" spans="3:3" x14ac:dyDescent="0.25">
      <c r="C427" t="s">
        <v>1704</v>
      </c>
    </row>
    <row r="428" spans="3:3" x14ac:dyDescent="0.25">
      <c r="C428" t="s">
        <v>1999</v>
      </c>
    </row>
    <row r="429" spans="3:3" x14ac:dyDescent="0.25">
      <c r="C429" t="s">
        <v>1262</v>
      </c>
    </row>
    <row r="430" spans="3:3" x14ac:dyDescent="0.25">
      <c r="C430" t="s">
        <v>937</v>
      </c>
    </row>
    <row r="431" spans="3:3" x14ac:dyDescent="0.25">
      <c r="C431" t="s">
        <v>2533</v>
      </c>
    </row>
    <row r="432" spans="3:3" x14ac:dyDescent="0.25">
      <c r="C432" t="s">
        <v>1090</v>
      </c>
    </row>
    <row r="433" spans="3:3" x14ac:dyDescent="0.25">
      <c r="C433" t="s">
        <v>588</v>
      </c>
    </row>
    <row r="434" spans="3:3" x14ac:dyDescent="0.25">
      <c r="C434" t="s">
        <v>621</v>
      </c>
    </row>
    <row r="435" spans="3:3" x14ac:dyDescent="0.25">
      <c r="C435" t="s">
        <v>1820</v>
      </c>
    </row>
    <row r="436" spans="3:3" x14ac:dyDescent="0.25">
      <c r="C436" t="s">
        <v>1224</v>
      </c>
    </row>
    <row r="437" spans="3:3" x14ac:dyDescent="0.25">
      <c r="C437" t="s">
        <v>2574</v>
      </c>
    </row>
    <row r="438" spans="3:3" x14ac:dyDescent="0.25">
      <c r="C438" t="s">
        <v>2003</v>
      </c>
    </row>
    <row r="439" spans="3:3" x14ac:dyDescent="0.25">
      <c r="C439" t="s">
        <v>2385</v>
      </c>
    </row>
    <row r="440" spans="3:3" x14ac:dyDescent="0.25">
      <c r="C440" t="s">
        <v>1798</v>
      </c>
    </row>
    <row r="441" spans="3:3" x14ac:dyDescent="0.25">
      <c r="C441" t="s">
        <v>304</v>
      </c>
    </row>
    <row r="442" spans="3:3" x14ac:dyDescent="0.25">
      <c r="C442" t="s">
        <v>833</v>
      </c>
    </row>
    <row r="443" spans="3:3" x14ac:dyDescent="0.25">
      <c r="C443" t="s">
        <v>860</v>
      </c>
    </row>
    <row r="444" spans="3:3" x14ac:dyDescent="0.25">
      <c r="C444" t="s">
        <v>2290</v>
      </c>
    </row>
    <row r="445" spans="3:3" x14ac:dyDescent="0.25">
      <c r="C445" t="s">
        <v>858</v>
      </c>
    </row>
    <row r="446" spans="3:3" x14ac:dyDescent="0.25">
      <c r="C446" t="s">
        <v>2062</v>
      </c>
    </row>
    <row r="447" spans="3:3" x14ac:dyDescent="0.25">
      <c r="C447" t="s">
        <v>2052</v>
      </c>
    </row>
    <row r="448" spans="3:3" x14ac:dyDescent="0.25">
      <c r="C448" t="s">
        <v>2059</v>
      </c>
    </row>
    <row r="449" spans="3:3" x14ac:dyDescent="0.25">
      <c r="C449" t="s">
        <v>560</v>
      </c>
    </row>
    <row r="450" spans="3:3" x14ac:dyDescent="0.25">
      <c r="C450" t="s">
        <v>568</v>
      </c>
    </row>
    <row r="451" spans="3:3" x14ac:dyDescent="0.25">
      <c r="C451" t="s">
        <v>2492</v>
      </c>
    </row>
    <row r="452" spans="3:3" x14ac:dyDescent="0.25">
      <c r="C452" t="s">
        <v>1487</v>
      </c>
    </row>
    <row r="453" spans="3:3" x14ac:dyDescent="0.25">
      <c r="C453" t="s">
        <v>2196</v>
      </c>
    </row>
    <row r="454" spans="3:3" x14ac:dyDescent="0.25">
      <c r="C454" t="s">
        <v>2314</v>
      </c>
    </row>
    <row r="455" spans="3:3" x14ac:dyDescent="0.25">
      <c r="C455" t="s">
        <v>1914</v>
      </c>
    </row>
    <row r="456" spans="3:3" x14ac:dyDescent="0.25">
      <c r="C456" t="s">
        <v>1222</v>
      </c>
    </row>
    <row r="457" spans="3:3" x14ac:dyDescent="0.25">
      <c r="C457" t="s">
        <v>1524</v>
      </c>
    </row>
    <row r="458" spans="3:3" x14ac:dyDescent="0.25">
      <c r="C458" t="s">
        <v>1612</v>
      </c>
    </row>
    <row r="459" spans="3:3" x14ac:dyDescent="0.25">
      <c r="C459" t="s">
        <v>2324</v>
      </c>
    </row>
    <row r="460" spans="3:3" x14ac:dyDescent="0.25">
      <c r="C460" t="s">
        <v>1544</v>
      </c>
    </row>
    <row r="461" spans="3:3" x14ac:dyDescent="0.25">
      <c r="C461" t="s">
        <v>268</v>
      </c>
    </row>
    <row r="462" spans="3:3" x14ac:dyDescent="0.25">
      <c r="C462" t="s">
        <v>2428</v>
      </c>
    </row>
    <row r="463" spans="3:3" x14ac:dyDescent="0.25">
      <c r="C463" t="s">
        <v>2444</v>
      </c>
    </row>
    <row r="464" spans="3:3" x14ac:dyDescent="0.25">
      <c r="C464" t="s">
        <v>2430</v>
      </c>
    </row>
    <row r="465" spans="3:3" x14ac:dyDescent="0.25">
      <c r="C465" t="s">
        <v>1154</v>
      </c>
    </row>
    <row r="466" spans="3:3" x14ac:dyDescent="0.25">
      <c r="C466" t="s">
        <v>639</v>
      </c>
    </row>
    <row r="467" spans="3:3" x14ac:dyDescent="0.25">
      <c r="C467" t="s">
        <v>815</v>
      </c>
    </row>
    <row r="468" spans="3:3" x14ac:dyDescent="0.25">
      <c r="C468" t="s">
        <v>749</v>
      </c>
    </row>
    <row r="469" spans="3:3" x14ac:dyDescent="0.25">
      <c r="C469" t="s">
        <v>2550</v>
      </c>
    </row>
    <row r="470" spans="3:3" x14ac:dyDescent="0.25">
      <c r="C470" t="s">
        <v>1293</v>
      </c>
    </row>
    <row r="471" spans="3:3" x14ac:dyDescent="0.25">
      <c r="C471" t="s">
        <v>1287</v>
      </c>
    </row>
    <row r="472" spans="3:3" x14ac:dyDescent="0.25">
      <c r="C472" t="s">
        <v>1294</v>
      </c>
    </row>
    <row r="473" spans="3:3" x14ac:dyDescent="0.25">
      <c r="C473" t="s">
        <v>2089</v>
      </c>
    </row>
    <row r="474" spans="3:3" x14ac:dyDescent="0.25">
      <c r="C474" t="s">
        <v>2101</v>
      </c>
    </row>
    <row r="475" spans="3:3" x14ac:dyDescent="0.25">
      <c r="C475" t="s">
        <v>2098</v>
      </c>
    </row>
    <row r="476" spans="3:3" x14ac:dyDescent="0.25">
      <c r="C476" t="s">
        <v>863</v>
      </c>
    </row>
    <row r="477" spans="3:3" x14ac:dyDescent="0.25">
      <c r="C477" t="s">
        <v>2070</v>
      </c>
    </row>
    <row r="478" spans="3:3" x14ac:dyDescent="0.25">
      <c r="C478" t="s">
        <v>1281</v>
      </c>
    </row>
    <row r="479" spans="3:3" x14ac:dyDescent="0.25">
      <c r="C479" t="s">
        <v>1658</v>
      </c>
    </row>
    <row r="480" spans="3:3" x14ac:dyDescent="0.25">
      <c r="C480" t="s">
        <v>1578</v>
      </c>
    </row>
    <row r="481" spans="3:3" x14ac:dyDescent="0.25">
      <c r="C481" t="s">
        <v>1699</v>
      </c>
    </row>
    <row r="482" spans="3:3" x14ac:dyDescent="0.25">
      <c r="C482" t="s">
        <v>1686</v>
      </c>
    </row>
    <row r="483" spans="3:3" x14ac:dyDescent="0.25">
      <c r="C483" t="s">
        <v>801</v>
      </c>
    </row>
    <row r="484" spans="3:3" x14ac:dyDescent="0.25">
      <c r="C484" t="s">
        <v>1987</v>
      </c>
    </row>
    <row r="485" spans="3:3" x14ac:dyDescent="0.25">
      <c r="C485" t="s">
        <v>1773</v>
      </c>
    </row>
    <row r="486" spans="3:3" x14ac:dyDescent="0.25">
      <c r="C486" t="s">
        <v>2448</v>
      </c>
    </row>
    <row r="487" spans="3:3" x14ac:dyDescent="0.25">
      <c r="C487" t="s">
        <v>2190</v>
      </c>
    </row>
    <row r="488" spans="3:3" x14ac:dyDescent="0.25">
      <c r="C488" t="s">
        <v>2316</v>
      </c>
    </row>
    <row r="489" spans="3:3" x14ac:dyDescent="0.25">
      <c r="C489" t="s">
        <v>2188</v>
      </c>
    </row>
    <row r="490" spans="3:3" x14ac:dyDescent="0.25">
      <c r="C490" t="s">
        <v>2487</v>
      </c>
    </row>
    <row r="491" spans="3:3" x14ac:dyDescent="0.25">
      <c r="C491" t="s">
        <v>1354</v>
      </c>
    </row>
    <row r="492" spans="3:3" x14ac:dyDescent="0.25">
      <c r="C492" t="s">
        <v>894</v>
      </c>
    </row>
    <row r="493" spans="3:3" x14ac:dyDescent="0.25">
      <c r="C493" t="s">
        <v>1055</v>
      </c>
    </row>
    <row r="494" spans="3:3" x14ac:dyDescent="0.25">
      <c r="C494" t="s">
        <v>562</v>
      </c>
    </row>
    <row r="495" spans="3:3" x14ac:dyDescent="0.25">
      <c r="C495" t="s">
        <v>2219</v>
      </c>
    </row>
    <row r="496" spans="3:3" x14ac:dyDescent="0.25">
      <c r="C496" t="s">
        <v>2212</v>
      </c>
    </row>
    <row r="497" spans="3:3" x14ac:dyDescent="0.25">
      <c r="C497" t="s">
        <v>2237</v>
      </c>
    </row>
    <row r="498" spans="3:3" x14ac:dyDescent="0.25">
      <c r="C498" t="s">
        <v>1019</v>
      </c>
    </row>
    <row r="499" spans="3:3" x14ac:dyDescent="0.25">
      <c r="C499" t="s">
        <v>1061</v>
      </c>
    </row>
    <row r="500" spans="3:3" x14ac:dyDescent="0.25">
      <c r="C500" t="s">
        <v>2045</v>
      </c>
    </row>
    <row r="501" spans="3:3" x14ac:dyDescent="0.25">
      <c r="C501" t="s">
        <v>2265</v>
      </c>
    </row>
    <row r="502" spans="3:3" x14ac:dyDescent="0.25">
      <c r="C502" t="s">
        <v>1710</v>
      </c>
    </row>
    <row r="503" spans="3:3" x14ac:dyDescent="0.25">
      <c r="C503" t="s">
        <v>1777</v>
      </c>
    </row>
    <row r="504" spans="3:3" x14ac:dyDescent="0.25">
      <c r="C504" t="s">
        <v>524</v>
      </c>
    </row>
    <row r="505" spans="3:3" x14ac:dyDescent="0.25">
      <c r="C505" t="s">
        <v>2215</v>
      </c>
    </row>
    <row r="506" spans="3:3" x14ac:dyDescent="0.25">
      <c r="C506" t="s">
        <v>2653</v>
      </c>
    </row>
    <row r="507" spans="3:3" x14ac:dyDescent="0.25">
      <c r="C507" t="s">
        <v>805</v>
      </c>
    </row>
    <row r="508" spans="3:3" x14ac:dyDescent="0.25">
      <c r="C508" t="s">
        <v>1335</v>
      </c>
    </row>
    <row r="509" spans="3:3" x14ac:dyDescent="0.25">
      <c r="C509" t="s">
        <v>1451</v>
      </c>
    </row>
    <row r="510" spans="3:3" x14ac:dyDescent="0.25">
      <c r="C510" t="s">
        <v>2483</v>
      </c>
    </row>
    <row r="511" spans="3:3" x14ac:dyDescent="0.25">
      <c r="C511" t="s">
        <v>827</v>
      </c>
    </row>
    <row r="512" spans="3:3" x14ac:dyDescent="0.25">
      <c r="C512" t="s">
        <v>1295</v>
      </c>
    </row>
    <row r="513" spans="3:3" x14ac:dyDescent="0.25">
      <c r="C513" t="s">
        <v>1585</v>
      </c>
    </row>
    <row r="514" spans="3:3" x14ac:dyDescent="0.25">
      <c r="C514" t="s">
        <v>1669</v>
      </c>
    </row>
    <row r="515" spans="3:3" x14ac:dyDescent="0.25">
      <c r="C515" t="s">
        <v>835</v>
      </c>
    </row>
    <row r="516" spans="3:3" x14ac:dyDescent="0.25">
      <c r="C516" t="s">
        <v>2073</v>
      </c>
    </row>
    <row r="517" spans="3:3" x14ac:dyDescent="0.25">
      <c r="C517" t="s">
        <v>2253</v>
      </c>
    </row>
    <row r="518" spans="3:3" x14ac:dyDescent="0.25">
      <c r="C518" t="s">
        <v>1427</v>
      </c>
    </row>
    <row r="519" spans="3:3" x14ac:dyDescent="0.25">
      <c r="C519" t="s">
        <v>1244</v>
      </c>
    </row>
    <row r="520" spans="3:3" x14ac:dyDescent="0.25">
      <c r="C520" t="s">
        <v>2005</v>
      </c>
    </row>
    <row r="521" spans="3:3" x14ac:dyDescent="0.25">
      <c r="C521" t="s">
        <v>290</v>
      </c>
    </row>
    <row r="522" spans="3:3" x14ac:dyDescent="0.25">
      <c r="C522" t="s">
        <v>1421</v>
      </c>
    </row>
    <row r="523" spans="3:3" x14ac:dyDescent="0.25">
      <c r="C523" t="s">
        <v>1108</v>
      </c>
    </row>
    <row r="524" spans="3:3" x14ac:dyDescent="0.25">
      <c r="C524" t="s">
        <v>1270</v>
      </c>
    </row>
    <row r="525" spans="3:3" x14ac:dyDescent="0.25">
      <c r="C525" t="s">
        <v>951</v>
      </c>
    </row>
    <row r="526" spans="3:3" x14ac:dyDescent="0.25">
      <c r="C526" t="s">
        <v>1453</v>
      </c>
    </row>
    <row r="527" spans="3:3" x14ac:dyDescent="0.25">
      <c r="C527" t="s">
        <v>1094</v>
      </c>
    </row>
    <row r="528" spans="3:3" x14ac:dyDescent="0.25">
      <c r="C528" t="s">
        <v>1870</v>
      </c>
    </row>
    <row r="529" spans="3:3" x14ac:dyDescent="0.25">
      <c r="C529" t="s">
        <v>1495</v>
      </c>
    </row>
    <row r="530" spans="3:3" x14ac:dyDescent="0.25">
      <c r="C530" t="s">
        <v>302</v>
      </c>
    </row>
    <row r="531" spans="3:3" x14ac:dyDescent="0.25">
      <c r="C531" t="s">
        <v>641</v>
      </c>
    </row>
    <row r="532" spans="3:3" x14ac:dyDescent="0.25">
      <c r="C532" t="s">
        <v>1078</v>
      </c>
    </row>
    <row r="533" spans="3:3" x14ac:dyDescent="0.25">
      <c r="C533" t="s">
        <v>2011</v>
      </c>
    </row>
    <row r="534" spans="3:3" x14ac:dyDescent="0.25">
      <c r="C534" t="s">
        <v>1258</v>
      </c>
    </row>
    <row r="535" spans="3:3" x14ac:dyDescent="0.25">
      <c r="C535" t="s">
        <v>953</v>
      </c>
    </row>
    <row r="536" spans="3:3" x14ac:dyDescent="0.25">
      <c r="C536" t="s">
        <v>2009</v>
      </c>
    </row>
    <row r="537" spans="3:3" x14ac:dyDescent="0.25">
      <c r="C537" t="s">
        <v>943</v>
      </c>
    </row>
    <row r="538" spans="3:3" x14ac:dyDescent="0.25">
      <c r="C538" t="s">
        <v>1517</v>
      </c>
    </row>
    <row r="539" spans="3:3" x14ac:dyDescent="0.25">
      <c r="C539" t="s">
        <v>1690</v>
      </c>
    </row>
    <row r="540" spans="3:3" x14ac:dyDescent="0.25">
      <c r="C540" t="s">
        <v>958</v>
      </c>
    </row>
    <row r="541" spans="3:3" x14ac:dyDescent="0.25">
      <c r="C541" t="s">
        <v>958</v>
      </c>
    </row>
    <row r="542" spans="3:3" x14ac:dyDescent="0.25">
      <c r="C542" t="s">
        <v>904</v>
      </c>
    </row>
    <row r="543" spans="3:3" x14ac:dyDescent="0.25">
      <c r="C543" t="s">
        <v>314</v>
      </c>
    </row>
    <row r="544" spans="3:3" x14ac:dyDescent="0.25">
      <c r="C544" t="s">
        <v>1471</v>
      </c>
    </row>
    <row r="545" spans="3:3" x14ac:dyDescent="0.25">
      <c r="C545" t="s">
        <v>1485</v>
      </c>
    </row>
    <row r="546" spans="3:3" x14ac:dyDescent="0.25">
      <c r="C546" t="s">
        <v>2025</v>
      </c>
    </row>
    <row r="547" spans="3:3" x14ac:dyDescent="0.25">
      <c r="C547" t="s">
        <v>1991</v>
      </c>
    </row>
    <row r="548" spans="3:3" x14ac:dyDescent="0.25">
      <c r="C548" t="s">
        <v>1076</v>
      </c>
    </row>
    <row r="549" spans="3:3" x14ac:dyDescent="0.25">
      <c r="C549" t="s">
        <v>1718</v>
      </c>
    </row>
    <row r="550" spans="3:3" x14ac:dyDescent="0.25">
      <c r="C550" t="s">
        <v>645</v>
      </c>
    </row>
    <row r="551" spans="3:3" x14ac:dyDescent="0.25">
      <c r="C551" t="s">
        <v>2562</v>
      </c>
    </row>
    <row r="552" spans="3:3" x14ac:dyDescent="0.25">
      <c r="C552" t="s">
        <v>1970</v>
      </c>
    </row>
    <row r="553" spans="3:3" x14ac:dyDescent="0.25">
      <c r="C553" t="s">
        <v>384</v>
      </c>
    </row>
    <row r="554" spans="3:3" x14ac:dyDescent="0.25">
      <c r="C554" t="s">
        <v>553</v>
      </c>
    </row>
    <row r="555" spans="3:3" x14ac:dyDescent="0.25">
      <c r="C555" t="s">
        <v>1814</v>
      </c>
    </row>
    <row r="556" spans="3:3" x14ac:dyDescent="0.25">
      <c r="C556" t="s">
        <v>1938</v>
      </c>
    </row>
    <row r="557" spans="3:3" x14ac:dyDescent="0.25">
      <c r="C557" t="s">
        <v>1318</v>
      </c>
    </row>
    <row r="558" spans="3:3" x14ac:dyDescent="0.25">
      <c r="C558" t="s">
        <v>2141</v>
      </c>
    </row>
    <row r="559" spans="3:3" x14ac:dyDescent="0.25">
      <c r="C559" t="s">
        <v>659</v>
      </c>
    </row>
    <row r="560" spans="3:3" x14ac:dyDescent="0.25">
      <c r="C560" t="s">
        <v>2637</v>
      </c>
    </row>
    <row r="561" spans="3:3" x14ac:dyDescent="0.25">
      <c r="C561" t="s">
        <v>637</v>
      </c>
    </row>
    <row r="562" spans="3:3" x14ac:dyDescent="0.25">
      <c r="C562" t="s">
        <v>1638</v>
      </c>
    </row>
    <row r="563" spans="3:3" x14ac:dyDescent="0.25">
      <c r="C563" t="s">
        <v>2336</v>
      </c>
    </row>
    <row r="564" spans="3:3" x14ac:dyDescent="0.25">
      <c r="C564" t="s">
        <v>972</v>
      </c>
    </row>
    <row r="565" spans="3:3" x14ac:dyDescent="0.25">
      <c r="C565" t="s">
        <v>332</v>
      </c>
    </row>
    <row r="566" spans="3:3" x14ac:dyDescent="0.25">
      <c r="C566" t="s">
        <v>1832</v>
      </c>
    </row>
    <row r="567" spans="3:3" x14ac:dyDescent="0.25">
      <c r="C567" t="s">
        <v>348</v>
      </c>
    </row>
    <row r="568" spans="3:3" x14ac:dyDescent="0.25">
      <c r="C568" t="s">
        <v>1168</v>
      </c>
    </row>
    <row r="569" spans="3:3" x14ac:dyDescent="0.25">
      <c r="C569" t="s">
        <v>945</v>
      </c>
    </row>
    <row r="570" spans="3:3" x14ac:dyDescent="0.25">
      <c r="C570" t="s">
        <v>1410</v>
      </c>
    </row>
    <row r="571" spans="3:3" x14ac:dyDescent="0.25">
      <c r="C571" t="s">
        <v>1104</v>
      </c>
    </row>
    <row r="572" spans="3:3" x14ac:dyDescent="0.25">
      <c r="C572" t="s">
        <v>617</v>
      </c>
    </row>
    <row r="573" spans="3:3" x14ac:dyDescent="0.25">
      <c r="C573" t="s">
        <v>923</v>
      </c>
    </row>
    <row r="574" spans="3:3" x14ac:dyDescent="0.25">
      <c r="C574" t="s">
        <v>819</v>
      </c>
    </row>
    <row r="575" spans="3:3" x14ac:dyDescent="0.25">
      <c r="C575" t="s">
        <v>2381</v>
      </c>
    </row>
    <row r="576" spans="3:3" x14ac:dyDescent="0.25">
      <c r="C576" t="s">
        <v>1106</v>
      </c>
    </row>
    <row r="577" spans="3:3" x14ac:dyDescent="0.25">
      <c r="C577" t="s">
        <v>2645</v>
      </c>
    </row>
    <row r="578" spans="3:3" x14ac:dyDescent="0.25">
      <c r="C578" t="s">
        <v>1374</v>
      </c>
    </row>
    <row r="579" spans="3:3" x14ac:dyDescent="0.25">
      <c r="C579" t="s">
        <v>2148</v>
      </c>
    </row>
    <row r="580" spans="3:3" x14ac:dyDescent="0.25">
      <c r="C580" t="s">
        <v>921</v>
      </c>
    </row>
    <row r="581" spans="3:3" x14ac:dyDescent="0.25">
      <c r="C581" t="s">
        <v>310</v>
      </c>
    </row>
    <row r="582" spans="3:3" x14ac:dyDescent="0.25">
      <c r="C582" t="s">
        <v>585</v>
      </c>
    </row>
    <row r="583" spans="3:3" x14ac:dyDescent="0.25">
      <c r="C583" t="s">
        <v>1425</v>
      </c>
    </row>
    <row r="584" spans="3:3" x14ac:dyDescent="0.25">
      <c r="C584" t="s">
        <v>1236</v>
      </c>
    </row>
    <row r="585" spans="3:3" x14ac:dyDescent="0.25">
      <c r="C585" t="s">
        <v>888</v>
      </c>
    </row>
    <row r="586" spans="3:3" x14ac:dyDescent="0.25">
      <c r="C586" t="s">
        <v>324</v>
      </c>
    </row>
    <row r="587" spans="3:3" x14ac:dyDescent="0.25">
      <c r="C587" t="s">
        <v>2572</v>
      </c>
    </row>
    <row r="588" spans="3:3" x14ac:dyDescent="0.25">
      <c r="C588" t="s">
        <v>1469</v>
      </c>
    </row>
    <row r="589" spans="3:3" x14ac:dyDescent="0.25">
      <c r="C589" t="s">
        <v>1238</v>
      </c>
    </row>
    <row r="590" spans="3:3" x14ac:dyDescent="0.25">
      <c r="C590" t="s">
        <v>941</v>
      </c>
    </row>
    <row r="591" spans="3:3" x14ac:dyDescent="0.25">
      <c r="C591" t="s">
        <v>1313</v>
      </c>
    </row>
    <row r="592" spans="3:3" x14ac:dyDescent="0.25">
      <c r="C592" t="s">
        <v>1741</v>
      </c>
    </row>
    <row r="593" spans="3:3" x14ac:dyDescent="0.25">
      <c r="C593" t="s">
        <v>949</v>
      </c>
    </row>
    <row r="594" spans="3:3" x14ac:dyDescent="0.25">
      <c r="C594" t="s">
        <v>1968</v>
      </c>
    </row>
    <row r="595" spans="3:3" x14ac:dyDescent="0.25">
      <c r="C595" t="s">
        <v>1896</v>
      </c>
    </row>
    <row r="596" spans="3:3" x14ac:dyDescent="0.25">
      <c r="C596" t="s">
        <v>947</v>
      </c>
    </row>
    <row r="597" spans="3:3" x14ac:dyDescent="0.25">
      <c r="C597" t="s">
        <v>947</v>
      </c>
    </row>
    <row r="598" spans="3:3" x14ac:dyDescent="0.25">
      <c r="C598" t="s">
        <v>1918</v>
      </c>
    </row>
    <row r="599" spans="3:3" x14ac:dyDescent="0.25">
      <c r="C599" t="s">
        <v>2590</v>
      </c>
    </row>
    <row r="600" spans="3:3" x14ac:dyDescent="0.25">
      <c r="C600" t="s">
        <v>1708</v>
      </c>
    </row>
    <row r="601" spans="3:3" x14ac:dyDescent="0.25">
      <c r="C601" t="s">
        <v>2525</v>
      </c>
    </row>
    <row r="602" spans="3:3" x14ac:dyDescent="0.25">
      <c r="C602" t="s">
        <v>1193</v>
      </c>
    </row>
    <row r="603" spans="3:3" x14ac:dyDescent="0.25">
      <c r="C603" t="s">
        <v>736</v>
      </c>
    </row>
    <row r="604" spans="3:3" x14ac:dyDescent="0.25">
      <c r="C604" t="s">
        <v>902</v>
      </c>
    </row>
    <row r="605" spans="3:3" x14ac:dyDescent="0.25">
      <c r="C605" t="s">
        <v>2127</v>
      </c>
    </row>
    <row r="606" spans="3:3" x14ac:dyDescent="0.25">
      <c r="C606" t="s">
        <v>1122</v>
      </c>
    </row>
    <row r="607" spans="3:3" x14ac:dyDescent="0.25">
      <c r="C607" t="s">
        <v>1021</v>
      </c>
    </row>
    <row r="608" spans="3:3" x14ac:dyDescent="0.25">
      <c r="C608" t="s">
        <v>444</v>
      </c>
    </row>
    <row r="609" spans="3:3" x14ac:dyDescent="0.25">
      <c r="C609" t="s">
        <v>1942</v>
      </c>
    </row>
    <row r="610" spans="3:3" x14ac:dyDescent="0.25">
      <c r="C610" t="s">
        <v>1023</v>
      </c>
    </row>
    <row r="611" spans="3:3" x14ac:dyDescent="0.25">
      <c r="C611" t="s">
        <v>1620</v>
      </c>
    </row>
    <row r="612" spans="3:3" x14ac:dyDescent="0.25">
      <c r="C612" t="s">
        <v>476</v>
      </c>
    </row>
    <row r="613" spans="3:3" x14ac:dyDescent="0.25">
      <c r="C613" t="s">
        <v>1807</v>
      </c>
    </row>
    <row r="614" spans="3:3" x14ac:dyDescent="0.25">
      <c r="C614" t="s">
        <v>1300</v>
      </c>
    </row>
    <row r="615" spans="3:3" x14ac:dyDescent="0.25">
      <c r="C615" t="s">
        <v>2625</v>
      </c>
    </row>
    <row r="616" spans="3:3" x14ac:dyDescent="0.25">
      <c r="C616" t="s">
        <v>1816</v>
      </c>
    </row>
    <row r="617" spans="3:3" x14ac:dyDescent="0.25">
      <c r="C617" t="s">
        <v>1716</v>
      </c>
    </row>
    <row r="618" spans="3:3" x14ac:dyDescent="0.25">
      <c r="C618" t="s">
        <v>882</v>
      </c>
    </row>
    <row r="619" spans="3:3" x14ac:dyDescent="0.25">
      <c r="C619" t="s">
        <v>2302</v>
      </c>
    </row>
    <row r="620" spans="3:3" x14ac:dyDescent="0.25">
      <c r="C620" t="s">
        <v>1260</v>
      </c>
    </row>
    <row r="621" spans="3:3" x14ac:dyDescent="0.25">
      <c r="C621" t="s">
        <v>1138</v>
      </c>
    </row>
    <row r="622" spans="3:3" x14ac:dyDescent="0.25">
      <c r="C622" t="s">
        <v>1575</v>
      </c>
    </row>
    <row r="623" spans="3:3" x14ac:dyDescent="0.25">
      <c r="C623" t="s">
        <v>853</v>
      </c>
    </row>
    <row r="624" spans="3:3" x14ac:dyDescent="0.25">
      <c r="C624" t="s">
        <v>2075</v>
      </c>
    </row>
    <row r="625" spans="3:3" x14ac:dyDescent="0.25">
      <c r="C625" t="s">
        <v>2102</v>
      </c>
    </row>
    <row r="626" spans="3:3" x14ac:dyDescent="0.25">
      <c r="C626" t="s">
        <v>1677</v>
      </c>
    </row>
    <row r="627" spans="3:3" x14ac:dyDescent="0.25">
      <c r="C627" t="s">
        <v>2273</v>
      </c>
    </row>
    <row r="628" spans="3:3" x14ac:dyDescent="0.25">
      <c r="C628" t="s">
        <v>338</v>
      </c>
    </row>
    <row r="629" spans="3:3" x14ac:dyDescent="0.25">
      <c r="C629" t="s">
        <v>2061</v>
      </c>
    </row>
    <row r="630" spans="3:3" x14ac:dyDescent="0.25">
      <c r="C630" t="s">
        <v>416</v>
      </c>
    </row>
    <row r="631" spans="3:3" x14ac:dyDescent="0.25">
      <c r="C631" t="s">
        <v>851</v>
      </c>
    </row>
    <row r="632" spans="3:3" x14ac:dyDescent="0.25">
      <c r="C632" t="s">
        <v>2049</v>
      </c>
    </row>
    <row r="633" spans="3:3" x14ac:dyDescent="0.25">
      <c r="C633" t="s">
        <v>856</v>
      </c>
    </row>
    <row r="634" spans="3:3" x14ac:dyDescent="0.25">
      <c r="C634" t="s">
        <v>1904</v>
      </c>
    </row>
    <row r="635" spans="3:3" x14ac:dyDescent="0.25">
      <c r="C635" t="s">
        <v>2494</v>
      </c>
    </row>
    <row r="636" spans="3:3" x14ac:dyDescent="0.25">
      <c r="C636" t="s">
        <v>821</v>
      </c>
    </row>
    <row r="637" spans="3:3" x14ac:dyDescent="0.25">
      <c r="C637" t="s">
        <v>2615</v>
      </c>
    </row>
    <row r="638" spans="3:3" x14ac:dyDescent="0.25">
      <c r="C638" t="s">
        <v>2452</v>
      </c>
    </row>
    <row r="639" spans="3:3" x14ac:dyDescent="0.25">
      <c r="C639" t="s">
        <v>2475</v>
      </c>
    </row>
    <row r="640" spans="3:3" x14ac:dyDescent="0.25">
      <c r="C640" t="s">
        <v>1894</v>
      </c>
    </row>
    <row r="641" spans="3:3" x14ac:dyDescent="0.25">
      <c r="C641" t="s">
        <v>935</v>
      </c>
    </row>
    <row r="642" spans="3:3" x14ac:dyDescent="0.25">
      <c r="C642" t="s">
        <v>685</v>
      </c>
    </row>
    <row r="643" spans="3:3" x14ac:dyDescent="0.25">
      <c r="C643" t="s">
        <v>312</v>
      </c>
    </row>
    <row r="644" spans="3:3" x14ac:dyDescent="0.25">
      <c r="C644" t="s">
        <v>732</v>
      </c>
    </row>
    <row r="645" spans="3:3" x14ac:dyDescent="0.25">
      <c r="C645" t="s">
        <v>2202</v>
      </c>
    </row>
    <row r="646" spans="3:3" x14ac:dyDescent="0.25">
      <c r="C646" t="s">
        <v>1100</v>
      </c>
    </row>
    <row r="647" spans="3:3" x14ac:dyDescent="0.25">
      <c r="C647" t="s">
        <v>1116</v>
      </c>
    </row>
    <row r="648" spans="3:3" x14ac:dyDescent="0.25">
      <c r="C648" t="s">
        <v>1640</v>
      </c>
    </row>
    <row r="649" spans="3:3" x14ac:dyDescent="0.25">
      <c r="C649" t="s">
        <v>288</v>
      </c>
    </row>
    <row r="650" spans="3:3" x14ac:dyDescent="0.25">
      <c r="C650" t="s">
        <v>1614</v>
      </c>
    </row>
    <row r="651" spans="3:3" x14ac:dyDescent="0.25">
      <c r="C651" t="s">
        <v>1043</v>
      </c>
    </row>
    <row r="652" spans="3:3" x14ac:dyDescent="0.25">
      <c r="C652" t="s">
        <v>2180</v>
      </c>
    </row>
    <row r="653" spans="3:3" x14ac:dyDescent="0.25">
      <c r="C653" t="s">
        <v>705</v>
      </c>
    </row>
    <row r="654" spans="3:3" x14ac:dyDescent="0.25">
      <c r="C654" t="s">
        <v>1321</v>
      </c>
    </row>
    <row r="655" spans="3:3" x14ac:dyDescent="0.25">
      <c r="C655" t="s">
        <v>265</v>
      </c>
    </row>
    <row r="656" spans="3:3" x14ac:dyDescent="0.25">
      <c r="C656" t="s">
        <v>2154</v>
      </c>
    </row>
    <row r="657" spans="3:3" x14ac:dyDescent="0.25">
      <c r="C657" t="s">
        <v>2233</v>
      </c>
    </row>
    <row r="658" spans="3:3" x14ac:dyDescent="0.25">
      <c r="C658" t="s">
        <v>1648</v>
      </c>
    </row>
    <row r="659" spans="3:3" x14ac:dyDescent="0.25">
      <c r="C659" t="s">
        <v>2231</v>
      </c>
    </row>
    <row r="660" spans="3:3" x14ac:dyDescent="0.25">
      <c r="C660" t="s">
        <v>2304</v>
      </c>
    </row>
    <row r="661" spans="3:3" x14ac:dyDescent="0.25">
      <c r="C661" t="s">
        <v>1646</v>
      </c>
    </row>
    <row r="662" spans="3:3" x14ac:dyDescent="0.25">
      <c r="C662" t="s">
        <v>1604</v>
      </c>
    </row>
    <row r="663" spans="3:3" x14ac:dyDescent="0.25">
      <c r="C663" t="s">
        <v>1248</v>
      </c>
    </row>
    <row r="664" spans="3:3" x14ac:dyDescent="0.25">
      <c r="C664" t="s">
        <v>1429</v>
      </c>
    </row>
    <row r="665" spans="3:3" x14ac:dyDescent="0.25">
      <c r="C665" t="s">
        <v>1264</v>
      </c>
    </row>
    <row r="666" spans="3:3" x14ac:dyDescent="0.25">
      <c r="C666" t="s">
        <v>1634</v>
      </c>
    </row>
    <row r="667" spans="3:3" x14ac:dyDescent="0.25">
      <c r="C667" t="s">
        <v>2257</v>
      </c>
    </row>
    <row r="668" spans="3:3" x14ac:dyDescent="0.25">
      <c r="C668" t="s">
        <v>2332</v>
      </c>
    </row>
    <row r="669" spans="3:3" x14ac:dyDescent="0.25">
      <c r="C669" t="s">
        <v>1650</v>
      </c>
    </row>
    <row r="670" spans="3:3" x14ac:dyDescent="0.25">
      <c r="C670" t="s">
        <v>1443</v>
      </c>
    </row>
    <row r="671" spans="3:3" x14ac:dyDescent="0.25">
      <c r="C671" t="s">
        <v>1459</v>
      </c>
    </row>
    <row r="672" spans="3:3" x14ac:dyDescent="0.25">
      <c r="C672" t="s">
        <v>1479</v>
      </c>
    </row>
    <row r="673" spans="3:3" x14ac:dyDescent="0.25">
      <c r="C673" t="s">
        <v>1924</v>
      </c>
    </row>
    <row r="674" spans="3:3" x14ac:dyDescent="0.25">
      <c r="C674" t="s">
        <v>2137</v>
      </c>
    </row>
    <row r="675" spans="3:3" x14ac:dyDescent="0.25">
      <c r="C675" t="s">
        <v>631</v>
      </c>
    </row>
    <row r="676" spans="3:3" x14ac:dyDescent="0.25">
      <c r="C676" t="s">
        <v>1592</v>
      </c>
    </row>
    <row r="677" spans="3:3" x14ac:dyDescent="0.25">
      <c r="C677" t="s">
        <v>2502</v>
      </c>
    </row>
    <row r="678" spans="3:3" x14ac:dyDescent="0.25">
      <c r="C678" t="s">
        <v>2080</v>
      </c>
    </row>
    <row r="679" spans="3:3" x14ac:dyDescent="0.25">
      <c r="C679" t="s">
        <v>1282</v>
      </c>
    </row>
    <row r="680" spans="3:3" x14ac:dyDescent="0.25">
      <c r="C680" t="s">
        <v>848</v>
      </c>
    </row>
    <row r="681" spans="3:3" x14ac:dyDescent="0.25">
      <c r="C681" t="s">
        <v>849</v>
      </c>
    </row>
    <row r="682" spans="3:3" x14ac:dyDescent="0.25">
      <c r="C682" t="s">
        <v>2117</v>
      </c>
    </row>
    <row r="683" spans="3:3" x14ac:dyDescent="0.25">
      <c r="C683" t="s">
        <v>1692</v>
      </c>
    </row>
    <row r="684" spans="3:3" x14ac:dyDescent="0.25">
      <c r="C684" t="s">
        <v>464</v>
      </c>
    </row>
    <row r="685" spans="3:3" x14ac:dyDescent="0.25">
      <c r="C685" t="s">
        <v>1683</v>
      </c>
    </row>
    <row r="686" spans="3:3" x14ac:dyDescent="0.25">
      <c r="C686" t="s">
        <v>1676</v>
      </c>
    </row>
    <row r="687" spans="3:3" x14ac:dyDescent="0.25">
      <c r="C687" t="s">
        <v>1684</v>
      </c>
    </row>
    <row r="688" spans="3:3" x14ac:dyDescent="0.25">
      <c r="C688" t="s">
        <v>1098</v>
      </c>
    </row>
    <row r="689" spans="3:3" x14ac:dyDescent="0.25">
      <c r="C689" t="s">
        <v>1884</v>
      </c>
    </row>
    <row r="690" spans="3:3" x14ac:dyDescent="0.25">
      <c r="C690" t="s">
        <v>2328</v>
      </c>
    </row>
    <row r="691" spans="3:3" x14ac:dyDescent="0.25">
      <c r="C691" t="s">
        <v>1868</v>
      </c>
    </row>
    <row r="692" spans="3:3" x14ac:dyDescent="0.25">
      <c r="C692" t="s">
        <v>2198</v>
      </c>
    </row>
    <row r="693" spans="3:3" x14ac:dyDescent="0.25">
      <c r="C693" t="s">
        <v>1144</v>
      </c>
    </row>
    <row r="694" spans="3:3" x14ac:dyDescent="0.25">
      <c r="C694" t="s">
        <v>1734</v>
      </c>
    </row>
    <row r="695" spans="3:3" x14ac:dyDescent="0.25">
      <c r="C695" t="s">
        <v>1088</v>
      </c>
    </row>
    <row r="696" spans="3:3" x14ac:dyDescent="0.25">
      <c r="C696" t="s">
        <v>879</v>
      </c>
    </row>
    <row r="697" spans="3:3" x14ac:dyDescent="0.25">
      <c r="C697" t="s">
        <v>1511</v>
      </c>
    </row>
    <row r="698" spans="3:3" x14ac:dyDescent="0.25">
      <c r="C698" t="s">
        <v>350</v>
      </c>
    </row>
    <row r="699" spans="3:3" x14ac:dyDescent="0.25">
      <c r="C699" t="s">
        <v>1345</v>
      </c>
    </row>
    <row r="700" spans="3:3" x14ac:dyDescent="0.25">
      <c r="C700" t="s">
        <v>2156</v>
      </c>
    </row>
    <row r="701" spans="3:3" x14ac:dyDescent="0.25">
      <c r="C701" t="s">
        <v>2150</v>
      </c>
    </row>
    <row r="702" spans="3:3" x14ac:dyDescent="0.25">
      <c r="C702" t="s">
        <v>2267</v>
      </c>
    </row>
    <row r="703" spans="3:3" x14ac:dyDescent="0.25">
      <c r="C703" t="s">
        <v>502</v>
      </c>
    </row>
    <row r="704" spans="3:3" x14ac:dyDescent="0.25">
      <c r="C704" t="s">
        <v>1349</v>
      </c>
    </row>
    <row r="705" spans="3:3" x14ac:dyDescent="0.25">
      <c r="C705" t="s">
        <v>647</v>
      </c>
    </row>
    <row r="706" spans="3:3" x14ac:dyDescent="0.25">
      <c r="C706" t="s">
        <v>1120</v>
      </c>
    </row>
    <row r="707" spans="3:3" x14ac:dyDescent="0.25">
      <c r="C707" t="s">
        <v>2371</v>
      </c>
    </row>
    <row r="708" spans="3:3" x14ac:dyDescent="0.25">
      <c r="C708" t="s">
        <v>1519</v>
      </c>
    </row>
    <row r="709" spans="3:3" x14ac:dyDescent="0.25">
      <c r="C709" t="s">
        <v>2123</v>
      </c>
    </row>
    <row r="710" spans="3:3" x14ac:dyDescent="0.25">
      <c r="C710" t="s">
        <v>1130</v>
      </c>
    </row>
    <row r="711" spans="3:3" x14ac:dyDescent="0.25">
      <c r="C711" t="s">
        <v>1947</v>
      </c>
    </row>
    <row r="712" spans="3:3" x14ac:dyDescent="0.25">
      <c r="C712" t="s">
        <v>280</v>
      </c>
    </row>
    <row r="713" spans="3:3" x14ac:dyDescent="0.25">
      <c r="C713" t="s">
        <v>908</v>
      </c>
    </row>
    <row r="714" spans="3:3" x14ac:dyDescent="0.25">
      <c r="C714" t="s">
        <v>1041</v>
      </c>
    </row>
    <row r="715" spans="3:3" x14ac:dyDescent="0.25">
      <c r="C715" t="s">
        <v>964</v>
      </c>
    </row>
    <row r="716" spans="3:3" x14ac:dyDescent="0.25">
      <c r="C716" t="s">
        <v>1908</v>
      </c>
    </row>
    <row r="717" spans="3:3" x14ac:dyDescent="0.25">
      <c r="C717" t="s">
        <v>599</v>
      </c>
    </row>
    <row r="718" spans="3:3" x14ac:dyDescent="0.25">
      <c r="C718" t="s">
        <v>1499</v>
      </c>
    </row>
    <row r="719" spans="3:3" x14ac:dyDescent="0.25">
      <c r="C719" t="s">
        <v>1152</v>
      </c>
    </row>
    <row r="720" spans="3:3" x14ac:dyDescent="0.25">
      <c r="C720" t="s">
        <v>1728</v>
      </c>
    </row>
    <row r="721" spans="3:3" x14ac:dyDescent="0.25">
      <c r="C721" t="s">
        <v>306</v>
      </c>
    </row>
    <row r="722" spans="3:3" x14ac:dyDescent="0.25">
      <c r="C722" t="s">
        <v>2162</v>
      </c>
    </row>
    <row r="723" spans="3:3" x14ac:dyDescent="0.25">
      <c r="C723" t="s">
        <v>956</v>
      </c>
    </row>
    <row r="724" spans="3:3" x14ac:dyDescent="0.25">
      <c r="C724" t="s">
        <v>1051</v>
      </c>
    </row>
    <row r="725" spans="3:3" x14ac:dyDescent="0.25">
      <c r="C725" t="s">
        <v>450</v>
      </c>
    </row>
    <row r="726" spans="3:3" x14ac:dyDescent="0.25">
      <c r="C726" t="s">
        <v>448</v>
      </c>
    </row>
    <row r="727" spans="3:3" x14ac:dyDescent="0.25">
      <c r="C727" t="s">
        <v>532</v>
      </c>
    </row>
    <row r="728" spans="3:3" x14ac:dyDescent="0.25">
      <c r="C728" t="s">
        <v>1417</v>
      </c>
    </row>
    <row r="729" spans="3:3" x14ac:dyDescent="0.25">
      <c r="C729" t="s">
        <v>274</v>
      </c>
    </row>
    <row r="730" spans="3:3" x14ac:dyDescent="0.25">
      <c r="C730" t="s">
        <v>850</v>
      </c>
    </row>
    <row r="731" spans="3:3" x14ac:dyDescent="0.25">
      <c r="C731" t="s">
        <v>364</v>
      </c>
    </row>
    <row r="732" spans="3:3" x14ac:dyDescent="0.25">
      <c r="C732" t="s">
        <v>1694</v>
      </c>
    </row>
    <row r="733" spans="3:3" x14ac:dyDescent="0.25">
      <c r="C733" t="s">
        <v>1681</v>
      </c>
    </row>
    <row r="734" spans="3:3" x14ac:dyDescent="0.25">
      <c r="C734" t="s">
        <v>1679</v>
      </c>
    </row>
    <row r="735" spans="3:3" x14ac:dyDescent="0.25">
      <c r="C735" t="s">
        <v>1691</v>
      </c>
    </row>
    <row r="736" spans="3:3" x14ac:dyDescent="0.25">
      <c r="C736" t="s">
        <v>1687</v>
      </c>
    </row>
    <row r="737" spans="3:3" x14ac:dyDescent="0.25">
      <c r="C737" t="s">
        <v>1680</v>
      </c>
    </row>
    <row r="738" spans="3:3" x14ac:dyDescent="0.25">
      <c r="C738" t="s">
        <v>825</v>
      </c>
    </row>
    <row r="739" spans="3:3" x14ac:dyDescent="0.25">
      <c r="C739" t="s">
        <v>468</v>
      </c>
    </row>
    <row r="740" spans="3:3" x14ac:dyDescent="0.25">
      <c r="C740" t="s">
        <v>847</v>
      </c>
    </row>
    <row r="741" spans="3:3" x14ac:dyDescent="0.25">
      <c r="C741" t="s">
        <v>2071</v>
      </c>
    </row>
    <row r="742" spans="3:3" x14ac:dyDescent="0.25">
      <c r="C742" t="s">
        <v>830</v>
      </c>
    </row>
    <row r="743" spans="3:3" x14ac:dyDescent="0.25">
      <c r="C743" t="s">
        <v>832</v>
      </c>
    </row>
    <row r="744" spans="3:3" x14ac:dyDescent="0.25">
      <c r="C744" t="s">
        <v>2387</v>
      </c>
    </row>
    <row r="745" spans="3:3" x14ac:dyDescent="0.25">
      <c r="C745" t="s">
        <v>2369</v>
      </c>
    </row>
    <row r="746" spans="3:3" x14ac:dyDescent="0.25">
      <c r="C746" t="s">
        <v>1366</v>
      </c>
    </row>
    <row r="747" spans="3:3" x14ac:dyDescent="0.25">
      <c r="C747" t="s">
        <v>2043</v>
      </c>
    </row>
    <row r="748" spans="3:3" x14ac:dyDescent="0.25">
      <c r="C748" t="s">
        <v>573</v>
      </c>
    </row>
    <row r="749" spans="3:3" x14ac:dyDescent="0.25">
      <c r="C749" t="s">
        <v>2587</v>
      </c>
    </row>
    <row r="750" spans="3:3" x14ac:dyDescent="0.25">
      <c r="C750" t="s">
        <v>2542</v>
      </c>
    </row>
    <row r="751" spans="3:3" x14ac:dyDescent="0.25">
      <c r="C751" t="s">
        <v>719</v>
      </c>
    </row>
    <row r="752" spans="3:3" x14ac:dyDescent="0.25">
      <c r="C752" t="s">
        <v>1035</v>
      </c>
    </row>
    <row r="753" spans="3:3" x14ac:dyDescent="0.25">
      <c r="C753" t="s">
        <v>1408</v>
      </c>
    </row>
    <row r="754" spans="3:3" x14ac:dyDescent="0.25">
      <c r="C754" t="s">
        <v>2414</v>
      </c>
    </row>
    <row r="755" spans="3:3" x14ac:dyDescent="0.25">
      <c r="C755" t="s">
        <v>2434</v>
      </c>
    </row>
    <row r="756" spans="3:3" x14ac:dyDescent="0.25">
      <c r="C756" t="s">
        <v>877</v>
      </c>
    </row>
    <row r="757" spans="3:3" x14ac:dyDescent="0.25">
      <c r="C757" t="s">
        <v>1864</v>
      </c>
    </row>
    <row r="758" spans="3:3" x14ac:dyDescent="0.25">
      <c r="C758" t="s">
        <v>1254</v>
      </c>
    </row>
    <row r="759" spans="3:3" x14ac:dyDescent="0.25">
      <c r="C759" t="s">
        <v>1714</v>
      </c>
    </row>
    <row r="760" spans="3:3" x14ac:dyDescent="0.25">
      <c r="C760" t="s">
        <v>886</v>
      </c>
    </row>
    <row r="761" spans="3:3" x14ac:dyDescent="0.25">
      <c r="C761" t="s">
        <v>1162</v>
      </c>
    </row>
    <row r="762" spans="3:3" x14ac:dyDescent="0.25">
      <c r="C762" t="s">
        <v>869</v>
      </c>
    </row>
    <row r="763" spans="3:3" x14ac:dyDescent="0.25">
      <c r="C763" t="s">
        <v>1846</v>
      </c>
    </row>
    <row r="764" spans="3:3" x14ac:dyDescent="0.25">
      <c r="C764" t="s">
        <v>422</v>
      </c>
    </row>
    <row r="765" spans="3:3" x14ac:dyDescent="0.25">
      <c r="C765" t="s">
        <v>1818</v>
      </c>
    </row>
    <row r="766" spans="3:3" x14ac:dyDescent="0.25">
      <c r="C766" t="s">
        <v>629</v>
      </c>
    </row>
    <row r="767" spans="3:3" x14ac:dyDescent="0.25">
      <c r="C767" t="s">
        <v>2465</v>
      </c>
    </row>
    <row r="768" spans="3:3" x14ac:dyDescent="0.25">
      <c r="C768" t="s">
        <v>474</v>
      </c>
    </row>
    <row r="769" spans="3:3" x14ac:dyDescent="0.25">
      <c r="C769" t="s">
        <v>2172</v>
      </c>
    </row>
    <row r="770" spans="3:3" x14ac:dyDescent="0.25">
      <c r="C770" t="s">
        <v>1756</v>
      </c>
    </row>
    <row r="771" spans="3:3" x14ac:dyDescent="0.25">
      <c r="C771" t="s">
        <v>1010</v>
      </c>
    </row>
    <row r="772" spans="3:3" x14ac:dyDescent="0.25">
      <c r="C772" t="s">
        <v>966</v>
      </c>
    </row>
    <row r="773" spans="3:3" x14ac:dyDescent="0.25">
      <c r="C773" t="s">
        <v>1029</v>
      </c>
    </row>
    <row r="774" spans="3:3" x14ac:dyDescent="0.25">
      <c r="C774" t="s">
        <v>1477</v>
      </c>
    </row>
    <row r="775" spans="3:3" x14ac:dyDescent="0.25">
      <c r="C775" t="s">
        <v>768</v>
      </c>
    </row>
    <row r="776" spans="3:3" x14ac:dyDescent="0.25">
      <c r="C776" t="s">
        <v>1803</v>
      </c>
    </row>
    <row r="777" spans="3:3" x14ac:dyDescent="0.25">
      <c r="C777" t="s">
        <v>504</v>
      </c>
    </row>
    <row r="778" spans="3:3" x14ac:dyDescent="0.25">
      <c r="C778" t="s">
        <v>691</v>
      </c>
    </row>
    <row r="779" spans="3:3" x14ac:dyDescent="0.25">
      <c r="C779" t="s">
        <v>2033</v>
      </c>
    </row>
    <row r="780" spans="3:3" x14ac:dyDescent="0.25">
      <c r="C780" t="s">
        <v>1874</v>
      </c>
    </row>
    <row r="781" spans="3:3" x14ac:dyDescent="0.25">
      <c r="C781" t="s">
        <v>1568</v>
      </c>
    </row>
    <row r="782" spans="3:3" x14ac:dyDescent="0.25">
      <c r="C782" t="s">
        <v>1552</v>
      </c>
    </row>
    <row r="783" spans="3:3" x14ac:dyDescent="0.25">
      <c r="C783" t="s">
        <v>723</v>
      </c>
    </row>
    <row r="784" spans="3:3" x14ac:dyDescent="0.25">
      <c r="C784" t="s">
        <v>346</v>
      </c>
    </row>
    <row r="785" spans="3:3" x14ac:dyDescent="0.25">
      <c r="C785" t="s">
        <v>2454</v>
      </c>
    </row>
    <row r="786" spans="3:3" x14ac:dyDescent="0.25">
      <c r="C786" t="s">
        <v>1342</v>
      </c>
    </row>
    <row r="787" spans="3:3" x14ac:dyDescent="0.25">
      <c r="C787" t="s">
        <v>775</v>
      </c>
    </row>
    <row r="788" spans="3:3" x14ac:dyDescent="0.25">
      <c r="C788" t="s">
        <v>2353</v>
      </c>
    </row>
    <row r="789" spans="3:3" x14ac:dyDescent="0.25">
      <c r="C789" t="s">
        <v>1175</v>
      </c>
    </row>
    <row r="790" spans="3:3" x14ac:dyDescent="0.25">
      <c r="C790" t="s">
        <v>1175</v>
      </c>
    </row>
    <row r="791" spans="3:3" x14ac:dyDescent="0.25">
      <c r="C791" t="s">
        <v>1037</v>
      </c>
    </row>
    <row r="792" spans="3:3" x14ac:dyDescent="0.25">
      <c r="C792" t="s">
        <v>1118</v>
      </c>
    </row>
    <row r="793" spans="3:3" x14ac:dyDescent="0.25">
      <c r="C793" t="s">
        <v>1352</v>
      </c>
    </row>
    <row r="794" spans="3:3" x14ac:dyDescent="0.25">
      <c r="C794" t="s">
        <v>665</v>
      </c>
    </row>
    <row r="795" spans="3:3" x14ac:dyDescent="0.25">
      <c r="C795" t="s">
        <v>358</v>
      </c>
    </row>
    <row r="796" spans="3:3" x14ac:dyDescent="0.25">
      <c r="C796" t="s">
        <v>530</v>
      </c>
    </row>
    <row r="797" spans="3:3" x14ac:dyDescent="0.25">
      <c r="C797" t="s">
        <v>2239</v>
      </c>
    </row>
    <row r="798" spans="3:3" x14ac:dyDescent="0.25">
      <c r="C798" t="s">
        <v>2521</v>
      </c>
    </row>
    <row r="799" spans="3:3" x14ac:dyDescent="0.25">
      <c r="C799" t="s">
        <v>1540</v>
      </c>
    </row>
    <row r="800" spans="3:3" x14ac:dyDescent="0.25">
      <c r="C800" t="s">
        <v>1550</v>
      </c>
    </row>
    <row r="801" spans="3:3" x14ac:dyDescent="0.25">
      <c r="C801" t="s">
        <v>2357</v>
      </c>
    </row>
    <row r="802" spans="3:3" x14ac:dyDescent="0.25">
      <c r="C802" t="s">
        <v>2467</v>
      </c>
    </row>
    <row r="803" spans="3:3" x14ac:dyDescent="0.25">
      <c r="C803" t="s">
        <v>2418</v>
      </c>
    </row>
    <row r="804" spans="3:3" x14ac:dyDescent="0.25">
      <c r="C804" t="s">
        <v>372</v>
      </c>
    </row>
    <row r="805" spans="3:3" x14ac:dyDescent="0.25">
      <c r="C805" t="s">
        <v>2178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2564</v>
      </c>
    </row>
    <row r="809" spans="3:3" x14ac:dyDescent="0.25">
      <c r="C809" t="s">
        <v>1920</v>
      </c>
    </row>
    <row r="810" spans="3:3" x14ac:dyDescent="0.25">
      <c r="C810" t="s">
        <v>726</v>
      </c>
    </row>
    <row r="811" spans="3:3" x14ac:dyDescent="0.25">
      <c r="C811" t="s">
        <v>1025</v>
      </c>
    </row>
    <row r="812" spans="3:3" x14ac:dyDescent="0.25">
      <c r="C812" t="s">
        <v>1226</v>
      </c>
    </row>
    <row r="813" spans="3:3" x14ac:dyDescent="0.25">
      <c r="C813" t="s">
        <v>490</v>
      </c>
    </row>
    <row r="814" spans="3:3" x14ac:dyDescent="0.25">
      <c r="C814" t="s">
        <v>2527</v>
      </c>
    </row>
    <row r="815" spans="3:3" x14ac:dyDescent="0.25">
      <c r="C815" t="s">
        <v>486</v>
      </c>
    </row>
    <row r="816" spans="3:3" x14ac:dyDescent="0.25">
      <c r="C816" t="s">
        <v>623</v>
      </c>
    </row>
    <row r="817" spans="3:3" x14ac:dyDescent="0.25">
      <c r="C817" t="s">
        <v>707</v>
      </c>
    </row>
    <row r="818" spans="3:3" x14ac:dyDescent="0.25">
      <c r="C818" t="s">
        <v>1156</v>
      </c>
    </row>
    <row r="819" spans="3:3" x14ac:dyDescent="0.25">
      <c r="C819" t="s">
        <v>2176</v>
      </c>
    </row>
    <row r="820" spans="3:3" x14ac:dyDescent="0.25">
      <c r="C820" t="s">
        <v>1437</v>
      </c>
    </row>
    <row r="821" spans="3:3" x14ac:dyDescent="0.25">
      <c r="C821" t="s">
        <v>1878</v>
      </c>
    </row>
    <row r="822" spans="3:3" x14ac:dyDescent="0.25">
      <c r="C822" t="s">
        <v>2326</v>
      </c>
    </row>
    <row r="823" spans="3:3" x14ac:dyDescent="0.25">
      <c r="C823" t="s">
        <v>695</v>
      </c>
    </row>
    <row r="824" spans="3:3" x14ac:dyDescent="0.25">
      <c r="C824" t="s">
        <v>2412</v>
      </c>
    </row>
    <row r="825" spans="3:3" x14ac:dyDescent="0.25">
      <c r="C825" t="s">
        <v>1564</v>
      </c>
    </row>
    <row r="826" spans="3:3" x14ac:dyDescent="0.25">
      <c r="C826" t="s">
        <v>1388</v>
      </c>
    </row>
    <row r="827" spans="3:3" x14ac:dyDescent="0.25">
      <c r="C827" t="s">
        <v>1922</v>
      </c>
    </row>
    <row r="828" spans="3:3" x14ac:dyDescent="0.25">
      <c r="C828" t="s">
        <v>1370</v>
      </c>
    </row>
    <row r="829" spans="3:3" x14ac:dyDescent="0.25">
      <c r="C829" t="s">
        <v>2539</v>
      </c>
    </row>
    <row r="830" spans="3:3" x14ac:dyDescent="0.25">
      <c r="C830" t="s">
        <v>1548</v>
      </c>
    </row>
    <row r="831" spans="3:3" x14ac:dyDescent="0.25">
      <c r="C831" t="s">
        <v>545</v>
      </c>
    </row>
    <row r="832" spans="3:3" x14ac:dyDescent="0.25">
      <c r="C832" t="s">
        <v>669</v>
      </c>
    </row>
    <row r="833" spans="3:3" x14ac:dyDescent="0.25">
      <c r="C833" t="s">
        <v>2506</v>
      </c>
    </row>
    <row r="834" spans="3:3" x14ac:dyDescent="0.25">
      <c r="C834" t="s">
        <v>2578</v>
      </c>
    </row>
    <row r="835" spans="3:3" x14ac:dyDescent="0.25">
      <c r="C835" t="s">
        <v>454</v>
      </c>
    </row>
    <row r="836" spans="3:3" x14ac:dyDescent="0.25">
      <c r="C836" t="s">
        <v>2568</v>
      </c>
    </row>
    <row r="837" spans="3:3" x14ac:dyDescent="0.25">
      <c r="C837" t="s">
        <v>1825</v>
      </c>
    </row>
    <row r="838" spans="3:3" x14ac:dyDescent="0.25">
      <c r="C838" t="s">
        <v>1848</v>
      </c>
    </row>
    <row r="839" spans="3:3" x14ac:dyDescent="0.25">
      <c r="C839" t="s">
        <v>773</v>
      </c>
    </row>
    <row r="840" spans="3:3" x14ac:dyDescent="0.25">
      <c r="C840" t="s">
        <v>1673</v>
      </c>
    </row>
    <row r="841" spans="3:3" x14ac:dyDescent="0.25">
      <c r="C841" t="s">
        <v>1288</v>
      </c>
    </row>
    <row r="842" spans="3:3" x14ac:dyDescent="0.25">
      <c r="C842" t="s">
        <v>2066</v>
      </c>
    </row>
    <row r="843" spans="3:3" x14ac:dyDescent="0.25">
      <c r="C843" t="s">
        <v>360</v>
      </c>
    </row>
    <row r="844" spans="3:3" x14ac:dyDescent="0.25">
      <c r="C844" t="s">
        <v>2275</v>
      </c>
    </row>
    <row r="845" spans="3:3" x14ac:dyDescent="0.25">
      <c r="C845" t="s">
        <v>840</v>
      </c>
    </row>
    <row r="846" spans="3:3" x14ac:dyDescent="0.25">
      <c r="C846" t="s">
        <v>1059</v>
      </c>
    </row>
    <row r="847" spans="3:3" x14ac:dyDescent="0.25">
      <c r="C847" t="s">
        <v>396</v>
      </c>
    </row>
    <row r="848" spans="3:3" x14ac:dyDescent="0.25">
      <c r="C848" t="s">
        <v>1049</v>
      </c>
    </row>
    <row r="849" spans="3:3" x14ac:dyDescent="0.25">
      <c r="C849" t="s">
        <v>1588</v>
      </c>
    </row>
    <row r="850" spans="3:3" x14ac:dyDescent="0.25">
      <c r="C850" t="s">
        <v>442</v>
      </c>
    </row>
    <row r="851" spans="3:3" x14ac:dyDescent="0.25">
      <c r="C851" t="s">
        <v>2292</v>
      </c>
    </row>
    <row r="852" spans="3:3" x14ac:dyDescent="0.25">
      <c r="C852" t="s">
        <v>1286</v>
      </c>
    </row>
    <row r="853" spans="3:3" x14ac:dyDescent="0.25">
      <c r="C853" t="s">
        <v>390</v>
      </c>
    </row>
    <row r="854" spans="3:3" x14ac:dyDescent="0.25">
      <c r="C854" t="s">
        <v>2055</v>
      </c>
    </row>
    <row r="855" spans="3:3" x14ac:dyDescent="0.25">
      <c r="C855" t="s">
        <v>2023</v>
      </c>
    </row>
    <row r="856" spans="3:3" x14ac:dyDescent="0.25">
      <c r="C856" t="s">
        <v>1579</v>
      </c>
    </row>
    <row r="857" spans="3:3" x14ac:dyDescent="0.25">
      <c r="C857" t="s">
        <v>2067</v>
      </c>
    </row>
    <row r="858" spans="3:3" x14ac:dyDescent="0.25">
      <c r="C858" t="s">
        <v>2286</v>
      </c>
    </row>
    <row r="859" spans="3:3" x14ac:dyDescent="0.25">
      <c r="C859" t="s">
        <v>271</v>
      </c>
    </row>
    <row r="860" spans="3:3" x14ac:dyDescent="0.25">
      <c r="C860" t="s">
        <v>1278</v>
      </c>
    </row>
    <row r="861" spans="3:3" x14ac:dyDescent="0.25">
      <c r="C861" t="s">
        <v>1276</v>
      </c>
    </row>
    <row r="862" spans="3:3" x14ac:dyDescent="0.25">
      <c r="C862" t="s">
        <v>1273</v>
      </c>
    </row>
    <row r="863" spans="3:3" x14ac:dyDescent="0.25">
      <c r="C863" t="s">
        <v>1279</v>
      </c>
    </row>
    <row r="864" spans="3:3" x14ac:dyDescent="0.25">
      <c r="C864" t="s">
        <v>2109</v>
      </c>
    </row>
    <row r="865" spans="3:3" x14ac:dyDescent="0.25">
      <c r="C865" t="s">
        <v>408</v>
      </c>
    </row>
    <row r="866" spans="3:3" x14ac:dyDescent="0.25">
      <c r="C866" t="s">
        <v>1664</v>
      </c>
    </row>
    <row r="867" spans="3:3" x14ac:dyDescent="0.25">
      <c r="C867" t="s">
        <v>1654</v>
      </c>
    </row>
    <row r="868" spans="3:3" x14ac:dyDescent="0.25">
      <c r="C868" t="s">
        <v>1670</v>
      </c>
    </row>
    <row r="869" spans="3:3" x14ac:dyDescent="0.25">
      <c r="C869" t="s">
        <v>1668</v>
      </c>
    </row>
    <row r="870" spans="3:3" x14ac:dyDescent="0.25">
      <c r="C870" t="s">
        <v>2081</v>
      </c>
    </row>
    <row r="871" spans="3:3" x14ac:dyDescent="0.25">
      <c r="C871" t="s">
        <v>2111</v>
      </c>
    </row>
    <row r="872" spans="3:3" x14ac:dyDescent="0.25">
      <c r="C872" t="s">
        <v>2094</v>
      </c>
    </row>
    <row r="873" spans="3:3" x14ac:dyDescent="0.25">
      <c r="C873" t="s">
        <v>2087</v>
      </c>
    </row>
    <row r="874" spans="3:3" x14ac:dyDescent="0.25">
      <c r="C874" t="s">
        <v>1597</v>
      </c>
    </row>
    <row r="875" spans="3:3" x14ac:dyDescent="0.25">
      <c r="C875" t="s">
        <v>1289</v>
      </c>
    </row>
    <row r="876" spans="3:3" x14ac:dyDescent="0.25">
      <c r="C876" t="s">
        <v>1659</v>
      </c>
    </row>
    <row r="877" spans="3:3" x14ac:dyDescent="0.25">
      <c r="C877" t="s">
        <v>1274</v>
      </c>
    </row>
    <row r="878" spans="3:3" x14ac:dyDescent="0.25">
      <c r="C878" t="s">
        <v>1297</v>
      </c>
    </row>
    <row r="879" spans="3:3" x14ac:dyDescent="0.25">
      <c r="C879" t="s">
        <v>2100</v>
      </c>
    </row>
    <row r="880" spans="3:3" x14ac:dyDescent="0.25">
      <c r="C880" t="s">
        <v>1674</v>
      </c>
    </row>
    <row r="881" spans="3:3" x14ac:dyDescent="0.25">
      <c r="C881" t="s">
        <v>1584</v>
      </c>
    </row>
    <row r="882" spans="3:3" x14ac:dyDescent="0.25">
      <c r="C882" t="s">
        <v>2106</v>
      </c>
    </row>
    <row r="883" spans="3:3" x14ac:dyDescent="0.25">
      <c r="C883" t="s">
        <v>1581</v>
      </c>
    </row>
    <row r="884" spans="3:3" x14ac:dyDescent="0.25">
      <c r="C884" t="s">
        <v>1765</v>
      </c>
    </row>
    <row r="885" spans="3:3" x14ac:dyDescent="0.25">
      <c r="C885" t="s">
        <v>1812</v>
      </c>
    </row>
    <row r="886" spans="3:3" x14ac:dyDescent="0.25">
      <c r="C886" t="s">
        <v>1398</v>
      </c>
    </row>
    <row r="887" spans="3:3" x14ac:dyDescent="0.25">
      <c r="C887" t="s">
        <v>1266</v>
      </c>
    </row>
    <row r="888" spans="3:3" x14ac:dyDescent="0.25">
      <c r="C888" t="s">
        <v>583</v>
      </c>
    </row>
    <row r="889" spans="3:3" x14ac:dyDescent="0.25">
      <c r="C889" t="s">
        <v>558</v>
      </c>
    </row>
    <row r="890" spans="3:3" x14ac:dyDescent="0.25">
      <c r="C890" t="s">
        <v>1382</v>
      </c>
    </row>
    <row r="891" spans="3:3" x14ac:dyDescent="0.25">
      <c r="C891" t="s">
        <v>791</v>
      </c>
    </row>
    <row r="892" spans="3:3" x14ac:dyDescent="0.25">
      <c r="C892" t="s">
        <v>2585</v>
      </c>
    </row>
    <row r="893" spans="3:3" x14ac:dyDescent="0.25">
      <c r="C893" t="s">
        <v>1788</v>
      </c>
    </row>
    <row r="894" spans="3:3" x14ac:dyDescent="0.25">
      <c r="C894" t="s">
        <v>2365</v>
      </c>
    </row>
    <row r="895" spans="3:3" x14ac:dyDescent="0.25">
      <c r="C895" t="s">
        <v>619</v>
      </c>
    </row>
    <row r="896" spans="3:3" x14ac:dyDescent="0.25">
      <c r="C896" t="s">
        <v>673</v>
      </c>
    </row>
    <row r="897" spans="3:3" x14ac:dyDescent="0.25">
      <c r="C897" t="s">
        <v>2217</v>
      </c>
    </row>
    <row r="898" spans="3:3" x14ac:dyDescent="0.25">
      <c r="C898" t="s">
        <v>1364</v>
      </c>
    </row>
    <row r="899" spans="3:3" x14ac:dyDescent="0.25">
      <c r="C899" t="s">
        <v>783</v>
      </c>
    </row>
    <row r="900" spans="3:3" x14ac:dyDescent="0.25">
      <c r="C900" t="s">
        <v>1834</v>
      </c>
    </row>
    <row r="901" spans="3:3" x14ac:dyDescent="0.25">
      <c r="C901" t="s">
        <v>1332</v>
      </c>
    </row>
    <row r="902" spans="3:3" x14ac:dyDescent="0.25">
      <c r="C902" t="s">
        <v>1761</v>
      </c>
    </row>
    <row r="903" spans="3:3" x14ac:dyDescent="0.25">
      <c r="C903" t="s">
        <v>1002</v>
      </c>
    </row>
    <row r="904" spans="3:3" x14ac:dyDescent="0.25">
      <c r="C904" t="s">
        <v>500</v>
      </c>
    </row>
    <row r="905" spans="3:3" x14ac:dyDescent="0.25">
      <c r="C905" t="s">
        <v>1033</v>
      </c>
    </row>
    <row r="906" spans="3:3" x14ac:dyDescent="0.25">
      <c r="C906" t="s">
        <v>777</v>
      </c>
    </row>
    <row r="907" spans="3:3" x14ac:dyDescent="0.25">
      <c r="C907" t="s">
        <v>986</v>
      </c>
    </row>
    <row r="908" spans="3:3" x14ac:dyDescent="0.25">
      <c r="C908" t="s">
        <v>743</v>
      </c>
    </row>
    <row r="909" spans="3:3" x14ac:dyDescent="0.25">
      <c r="C909" t="s">
        <v>2400</v>
      </c>
    </row>
    <row r="910" spans="3:3" x14ac:dyDescent="0.25">
      <c r="C910" t="s">
        <v>340</v>
      </c>
    </row>
    <row r="911" spans="3:3" x14ac:dyDescent="0.25">
      <c r="C911" t="s">
        <v>591</v>
      </c>
    </row>
    <row r="912" spans="3:3" x14ac:dyDescent="0.25">
      <c r="C912" t="s">
        <v>2135</v>
      </c>
    </row>
    <row r="913" spans="3:3" x14ac:dyDescent="0.25">
      <c r="C913" t="s">
        <v>614</v>
      </c>
    </row>
    <row r="914" spans="3:3" x14ac:dyDescent="0.25">
      <c r="C914" t="s">
        <v>1210</v>
      </c>
    </row>
    <row r="915" spans="3:3" x14ac:dyDescent="0.25">
      <c r="C915" t="s">
        <v>1854</v>
      </c>
    </row>
    <row r="916" spans="3:3" x14ac:dyDescent="0.25">
      <c r="C916" t="s">
        <v>752</v>
      </c>
    </row>
    <row r="917" spans="3:3" x14ac:dyDescent="0.25">
      <c r="C917" t="s">
        <v>988</v>
      </c>
    </row>
    <row r="918" spans="3:3" x14ac:dyDescent="0.25">
      <c r="C918" t="s">
        <v>896</v>
      </c>
    </row>
    <row r="919" spans="3:3" x14ac:dyDescent="0.25">
      <c r="C919" t="s">
        <v>484</v>
      </c>
    </row>
    <row r="920" spans="3:3" x14ac:dyDescent="0.25">
      <c r="C920" t="s">
        <v>703</v>
      </c>
    </row>
    <row r="921" spans="3:3" x14ac:dyDescent="0.25">
      <c r="C921" t="s">
        <v>2229</v>
      </c>
    </row>
    <row r="922" spans="3:3" x14ac:dyDescent="0.25">
      <c r="C922" t="s">
        <v>892</v>
      </c>
    </row>
    <row r="923" spans="3:3" x14ac:dyDescent="0.25">
      <c r="C923" t="s">
        <v>414</v>
      </c>
    </row>
    <row r="924" spans="3:3" x14ac:dyDescent="0.25">
      <c r="C924" t="s">
        <v>770</v>
      </c>
    </row>
    <row r="925" spans="3:3" x14ac:dyDescent="0.25">
      <c r="C925" t="s">
        <v>667</v>
      </c>
    </row>
    <row r="926" spans="3:3" x14ac:dyDescent="0.25">
      <c r="C926" t="s">
        <v>1045</v>
      </c>
    </row>
    <row r="927" spans="3:3" x14ac:dyDescent="0.25">
      <c r="C927" t="s">
        <v>1413</v>
      </c>
    </row>
    <row r="928" spans="3:3" x14ac:dyDescent="0.25">
      <c r="C928" t="s">
        <v>1291</v>
      </c>
    </row>
    <row r="929" spans="3:3" x14ac:dyDescent="0.25">
      <c r="C929" t="s">
        <v>2104</v>
      </c>
    </row>
    <row r="930" spans="3:3" x14ac:dyDescent="0.25">
      <c r="C930" t="s">
        <v>2092</v>
      </c>
    </row>
    <row r="931" spans="3:3" x14ac:dyDescent="0.25">
      <c r="C931" t="s">
        <v>2096</v>
      </c>
    </row>
    <row r="932" spans="3:3" x14ac:dyDescent="0.25">
      <c r="C932" t="s">
        <v>2050</v>
      </c>
    </row>
    <row r="933" spans="3:3" x14ac:dyDescent="0.25">
      <c r="C933" t="s">
        <v>834</v>
      </c>
    </row>
    <row r="934" spans="3:3" x14ac:dyDescent="0.25">
      <c r="C934" t="s">
        <v>336</v>
      </c>
    </row>
    <row r="935" spans="3:3" x14ac:dyDescent="0.25">
      <c r="C935" t="s">
        <v>1666</v>
      </c>
    </row>
    <row r="936" spans="3:3" x14ac:dyDescent="0.25">
      <c r="C936" t="s">
        <v>1665</v>
      </c>
    </row>
    <row r="937" spans="3:3" x14ac:dyDescent="0.25">
      <c r="C937" t="s">
        <v>1653</v>
      </c>
    </row>
    <row r="938" spans="3:3" x14ac:dyDescent="0.25">
      <c r="C938" t="s">
        <v>861</v>
      </c>
    </row>
    <row r="939" spans="3:3" x14ac:dyDescent="0.25">
      <c r="C939" t="s">
        <v>354</v>
      </c>
    </row>
    <row r="940" spans="3:3" x14ac:dyDescent="0.25">
      <c r="C940" t="s">
        <v>2007</v>
      </c>
    </row>
    <row r="941" spans="3:3" x14ac:dyDescent="0.25">
      <c r="C941" t="s">
        <v>2259</v>
      </c>
    </row>
    <row r="942" spans="3:3" x14ac:dyDescent="0.25">
      <c r="C942" t="s">
        <v>2504</v>
      </c>
    </row>
    <row r="943" spans="3:3" x14ac:dyDescent="0.25">
      <c r="C943" t="s">
        <v>1379</v>
      </c>
    </row>
    <row r="944" spans="3:3" x14ac:dyDescent="0.25">
      <c r="C944" t="s">
        <v>534</v>
      </c>
    </row>
    <row r="945" spans="3:3" x14ac:dyDescent="0.25">
      <c r="C945" t="s">
        <v>1934</v>
      </c>
    </row>
    <row r="946" spans="3:3" x14ac:dyDescent="0.25">
      <c r="C946" t="s">
        <v>277</v>
      </c>
    </row>
    <row r="947" spans="3:3" x14ac:dyDescent="0.25">
      <c r="C947" t="s">
        <v>1220</v>
      </c>
    </row>
    <row r="948" spans="3:3" x14ac:dyDescent="0.25">
      <c r="C948" t="s">
        <v>1177</v>
      </c>
    </row>
    <row r="949" spans="3:3" x14ac:dyDescent="0.25">
      <c r="C949" t="s">
        <v>2001</v>
      </c>
    </row>
    <row r="950" spans="3:3" x14ac:dyDescent="0.25">
      <c r="C950" t="s">
        <v>867</v>
      </c>
    </row>
    <row r="951" spans="3:3" x14ac:dyDescent="0.25">
      <c r="C951" t="s">
        <v>2463</v>
      </c>
    </row>
    <row r="952" spans="3:3" x14ac:dyDescent="0.25">
      <c r="C952" t="s">
        <v>2641</v>
      </c>
    </row>
    <row r="953" spans="3:3" x14ac:dyDescent="0.25">
      <c r="C953" t="s">
        <v>2485</v>
      </c>
    </row>
    <row r="954" spans="3:3" x14ac:dyDescent="0.25">
      <c r="C954" t="s">
        <v>1189</v>
      </c>
    </row>
    <row r="955" spans="3:3" x14ac:dyDescent="0.25">
      <c r="C955" t="s">
        <v>2241</v>
      </c>
    </row>
    <row r="956" spans="3:3" x14ac:dyDescent="0.25">
      <c r="C956" t="s">
        <v>1949</v>
      </c>
    </row>
    <row r="957" spans="3:3" x14ac:dyDescent="0.25">
      <c r="C957" t="s">
        <v>1898</v>
      </c>
    </row>
    <row r="958" spans="3:3" x14ac:dyDescent="0.25">
      <c r="C958" t="s">
        <v>1736</v>
      </c>
    </row>
    <row r="959" spans="3:3" x14ac:dyDescent="0.25">
      <c r="C959" t="s">
        <v>2416</v>
      </c>
    </row>
    <row r="960" spans="3:3" x14ac:dyDescent="0.25">
      <c r="C960" t="s">
        <v>2633</v>
      </c>
    </row>
    <row r="961" spans="3:3" x14ac:dyDescent="0.25">
      <c r="C961" t="s">
        <v>2649</v>
      </c>
    </row>
    <row r="962" spans="3:3" x14ac:dyDescent="0.25">
      <c r="C962" t="s">
        <v>1722</v>
      </c>
    </row>
    <row r="963" spans="3:3" x14ac:dyDescent="0.25">
      <c r="C963" t="s">
        <v>506</v>
      </c>
    </row>
    <row r="964" spans="3:3" x14ac:dyDescent="0.25">
      <c r="C964" t="s">
        <v>1671</v>
      </c>
    </row>
    <row r="965" spans="3:3" x14ac:dyDescent="0.25">
      <c r="C965" t="s">
        <v>1696</v>
      </c>
    </row>
    <row r="966" spans="3:3" x14ac:dyDescent="0.25">
      <c r="C966" t="s">
        <v>1296</v>
      </c>
    </row>
    <row r="967" spans="3:3" x14ac:dyDescent="0.25">
      <c r="C967" t="s">
        <v>1467</v>
      </c>
    </row>
    <row r="968" spans="3:3" x14ac:dyDescent="0.25">
      <c r="C968" t="s">
        <v>625</v>
      </c>
    </row>
    <row r="969" spans="3:3" x14ac:dyDescent="0.25">
      <c r="C969" t="s">
        <v>1926</v>
      </c>
    </row>
    <row r="970" spans="3:3" x14ac:dyDescent="0.25">
      <c r="C970" t="s">
        <v>2194</v>
      </c>
    </row>
    <row r="971" spans="3:3" x14ac:dyDescent="0.25">
      <c r="C971" t="s">
        <v>910</v>
      </c>
    </row>
    <row r="972" spans="3:3" x14ac:dyDescent="0.25">
      <c r="C972" t="s">
        <v>1230</v>
      </c>
    </row>
    <row r="973" spans="3:3" x14ac:dyDescent="0.25">
      <c r="C973" t="s">
        <v>1403</v>
      </c>
    </row>
    <row r="974" spans="3:3" x14ac:dyDescent="0.25">
      <c r="C974" t="s">
        <v>2204</v>
      </c>
    </row>
    <row r="975" spans="3:3" x14ac:dyDescent="0.25">
      <c r="C975" t="s">
        <v>1198</v>
      </c>
    </row>
    <row r="976" spans="3:3" x14ac:dyDescent="0.25">
      <c r="C976" t="s">
        <v>1232</v>
      </c>
    </row>
    <row r="977" spans="3:3" x14ac:dyDescent="0.25">
      <c r="C977" t="s">
        <v>627</v>
      </c>
    </row>
    <row r="978" spans="3:3" x14ac:dyDescent="0.25">
      <c r="C978" t="s">
        <v>697</v>
      </c>
    </row>
    <row r="979" spans="3:3" x14ac:dyDescent="0.25">
      <c r="C979" t="s">
        <v>1063</v>
      </c>
    </row>
    <row r="980" spans="3:3" x14ac:dyDescent="0.25">
      <c r="C980" t="s">
        <v>683</v>
      </c>
    </row>
    <row r="981" spans="3:3" x14ac:dyDescent="0.25">
      <c r="C981" t="s">
        <v>1526</v>
      </c>
    </row>
    <row r="982" spans="3:3" x14ac:dyDescent="0.25">
      <c r="C982" t="s">
        <v>663</v>
      </c>
    </row>
    <row r="983" spans="3:3" x14ac:dyDescent="0.25">
      <c r="C983" t="s">
        <v>677</v>
      </c>
    </row>
    <row r="984" spans="3:3" x14ac:dyDescent="0.25">
      <c r="C984" t="s">
        <v>2192</v>
      </c>
    </row>
    <row r="985" spans="3:3" x14ac:dyDescent="0.25">
      <c r="C985" t="s">
        <v>1164</v>
      </c>
    </row>
    <row r="986" spans="3:3" x14ac:dyDescent="0.25">
      <c r="C986" t="s">
        <v>1039</v>
      </c>
    </row>
    <row r="987" spans="3:3" x14ac:dyDescent="0.25">
      <c r="C987" t="s">
        <v>1148</v>
      </c>
    </row>
    <row r="988" spans="3:3" x14ac:dyDescent="0.25">
      <c r="C988" t="s">
        <v>1252</v>
      </c>
    </row>
    <row r="989" spans="3:3" x14ac:dyDescent="0.25">
      <c r="C989" t="s">
        <v>713</v>
      </c>
    </row>
    <row r="990" spans="3:3" x14ac:dyDescent="0.25">
      <c r="C990" t="s">
        <v>709</v>
      </c>
    </row>
    <row r="991" spans="3:3" x14ac:dyDescent="0.25">
      <c r="C991" t="s">
        <v>1688</v>
      </c>
    </row>
    <row r="992" spans="3:3" x14ac:dyDescent="0.25">
      <c r="C992" t="s">
        <v>1693</v>
      </c>
    </row>
    <row r="993" spans="3:3" x14ac:dyDescent="0.25">
      <c r="C993" t="s">
        <v>460</v>
      </c>
    </row>
    <row r="994" spans="3:3" x14ac:dyDescent="0.25">
      <c r="C994" t="s">
        <v>320</v>
      </c>
    </row>
    <row r="995" spans="3:3" x14ac:dyDescent="0.25">
      <c r="C995" t="s">
        <v>2069</v>
      </c>
    </row>
    <row r="996" spans="3:3" x14ac:dyDescent="0.25">
      <c r="C996" t="s">
        <v>2060</v>
      </c>
    </row>
    <row r="997" spans="3:3" x14ac:dyDescent="0.25">
      <c r="C997" t="s">
        <v>392</v>
      </c>
    </row>
    <row r="998" spans="3:3" x14ac:dyDescent="0.25">
      <c r="C998" t="s">
        <v>845</v>
      </c>
    </row>
    <row r="999" spans="3:3" x14ac:dyDescent="0.25">
      <c r="C999" t="s">
        <v>1830</v>
      </c>
    </row>
    <row r="1000" spans="3:3" x14ac:dyDescent="0.25">
      <c r="C1000" t="s">
        <v>1483</v>
      </c>
    </row>
    <row r="1001" spans="3:3" x14ac:dyDescent="0.25">
      <c r="C1001" t="s">
        <v>2597</v>
      </c>
    </row>
    <row r="1002" spans="3:3" x14ac:dyDescent="0.25">
      <c r="C1002" t="s">
        <v>539</v>
      </c>
    </row>
    <row r="1003" spans="3:3" x14ac:dyDescent="0.25">
      <c r="C1003" t="s">
        <v>1749</v>
      </c>
    </row>
    <row r="1004" spans="3:3" x14ac:dyDescent="0.25">
      <c r="C1004" t="s">
        <v>2570</v>
      </c>
    </row>
    <row r="1005" spans="3:3" x14ac:dyDescent="0.25">
      <c r="C1005" t="s">
        <v>2623</v>
      </c>
    </row>
    <row r="1006" spans="3:3" x14ac:dyDescent="0.25">
      <c r="C1006" t="s">
        <v>1082</v>
      </c>
    </row>
    <row r="1007" spans="3:3" x14ac:dyDescent="0.25">
      <c r="C1007" t="s">
        <v>543</v>
      </c>
    </row>
    <row r="1008" spans="3:3" x14ac:dyDescent="0.25">
      <c r="C1008" t="s">
        <v>547</v>
      </c>
    </row>
    <row r="1009" spans="3:3" x14ac:dyDescent="0.25">
      <c r="C1009" t="s">
        <v>2582</v>
      </c>
    </row>
    <row r="1010" spans="3:3" x14ac:dyDescent="0.25">
      <c r="C1010" t="s">
        <v>328</v>
      </c>
    </row>
    <row r="1011" spans="3:3" x14ac:dyDescent="0.25">
      <c r="C1011" t="s">
        <v>1558</v>
      </c>
    </row>
    <row r="1012" spans="3:3" x14ac:dyDescent="0.25">
      <c r="C1012" t="s">
        <v>2422</v>
      </c>
    </row>
    <row r="1013" spans="3:3" x14ac:dyDescent="0.25">
      <c r="C1013" t="s">
        <v>2146</v>
      </c>
    </row>
    <row r="1014" spans="3:3" x14ac:dyDescent="0.25">
      <c r="C1014" t="s">
        <v>603</v>
      </c>
    </row>
    <row r="1015" spans="3:3" x14ac:dyDescent="0.25">
      <c r="C1015" t="s">
        <v>1632</v>
      </c>
    </row>
    <row r="1016" spans="3:3" x14ac:dyDescent="0.25">
      <c r="C1016" t="s">
        <v>2442</v>
      </c>
    </row>
    <row r="1017" spans="3:3" x14ac:dyDescent="0.25">
      <c r="C1017" t="s">
        <v>1997</v>
      </c>
    </row>
    <row r="1018" spans="3:3" x14ac:dyDescent="0.25">
      <c r="C1018" t="s">
        <v>2377</v>
      </c>
    </row>
    <row r="1019" spans="3:3" x14ac:dyDescent="0.25">
      <c r="C1019" t="s">
        <v>2223</v>
      </c>
    </row>
    <row r="1020" spans="3:3" x14ac:dyDescent="0.25">
      <c r="C1020" t="s">
        <v>466</v>
      </c>
    </row>
    <row r="1021" spans="3:3" x14ac:dyDescent="0.25">
      <c r="C1021" t="s">
        <v>1767</v>
      </c>
    </row>
    <row r="1022" spans="3:3" x14ac:dyDescent="0.25">
      <c r="C1022" t="s">
        <v>1132</v>
      </c>
    </row>
    <row r="1023" spans="3:3" x14ac:dyDescent="0.25">
      <c r="C1023" t="s">
        <v>440</v>
      </c>
    </row>
    <row r="1024" spans="3:3" x14ac:dyDescent="0.25">
      <c r="C1024" t="s">
        <v>480</v>
      </c>
    </row>
    <row r="1025" spans="3:3" x14ac:dyDescent="0.25">
      <c r="C1025" t="s">
        <v>2438</v>
      </c>
    </row>
    <row r="1026" spans="3:3" x14ac:dyDescent="0.25">
      <c r="C1026" t="s">
        <v>884</v>
      </c>
    </row>
    <row r="1027" spans="3:3" x14ac:dyDescent="0.25">
      <c r="C1027" t="s">
        <v>526</v>
      </c>
    </row>
    <row r="1028" spans="3:3" x14ac:dyDescent="0.25">
      <c r="C1028" t="s">
        <v>571</v>
      </c>
    </row>
    <row r="1029" spans="3:3" x14ac:dyDescent="0.25">
      <c r="C1029" t="s">
        <v>1966</v>
      </c>
    </row>
    <row r="1030" spans="3:3" x14ac:dyDescent="0.25">
      <c r="C1030" t="s">
        <v>518</v>
      </c>
    </row>
    <row r="1031" spans="3:3" x14ac:dyDescent="0.25">
      <c r="C1031" t="s">
        <v>2546</v>
      </c>
    </row>
    <row r="1032" spans="3:3" x14ac:dyDescent="0.25">
      <c r="C1032" t="s">
        <v>1515</v>
      </c>
    </row>
    <row r="1033" spans="3:3" x14ac:dyDescent="0.25">
      <c r="C1033" t="s">
        <v>1702</v>
      </c>
    </row>
    <row r="1034" spans="3:3" x14ac:dyDescent="0.25">
      <c r="C1034" t="s">
        <v>1538</v>
      </c>
    </row>
    <row r="1035" spans="3:3" x14ac:dyDescent="0.25">
      <c r="C1035" t="s">
        <v>939</v>
      </c>
    </row>
    <row r="1036" spans="3:3" x14ac:dyDescent="0.25">
      <c r="C1036" t="s">
        <v>1339</v>
      </c>
    </row>
    <row r="1037" spans="3:3" x14ac:dyDescent="0.25">
      <c r="C1037" t="s">
        <v>2359</v>
      </c>
    </row>
    <row r="1038" spans="3:3" x14ac:dyDescent="0.25">
      <c r="C1038" t="s">
        <v>1805</v>
      </c>
    </row>
    <row r="1039" spans="3:3" x14ac:dyDescent="0.25">
      <c r="C1039" t="s">
        <v>701</v>
      </c>
    </row>
    <row r="1040" spans="3:3" x14ac:dyDescent="0.25">
      <c r="C1040" t="s">
        <v>2035</v>
      </c>
    </row>
    <row r="1041" spans="3:3" x14ac:dyDescent="0.25">
      <c r="C1041" t="s">
        <v>2164</v>
      </c>
    </row>
    <row r="1042" spans="3:3" x14ac:dyDescent="0.25">
      <c r="C1042" t="s">
        <v>1880</v>
      </c>
    </row>
    <row r="1043" spans="3:3" x14ac:dyDescent="0.25">
      <c r="C1043" t="s">
        <v>1080</v>
      </c>
    </row>
    <row r="1044" spans="3:3" x14ac:dyDescent="0.25">
      <c r="C1044" t="s">
        <v>2383</v>
      </c>
    </row>
    <row r="1045" spans="3:3" x14ac:dyDescent="0.25">
      <c r="C1045" t="s">
        <v>2221</v>
      </c>
    </row>
    <row r="1046" spans="3:3" x14ac:dyDescent="0.25">
      <c r="C1046" t="s">
        <v>2594</v>
      </c>
    </row>
    <row r="1047" spans="3:3" x14ac:dyDescent="0.25">
      <c r="C1047" t="s">
        <v>556</v>
      </c>
    </row>
    <row r="1048" spans="3:3" x14ac:dyDescent="0.25">
      <c r="C1048" t="s">
        <v>356</v>
      </c>
    </row>
    <row r="1049" spans="3:3" x14ac:dyDescent="0.25">
      <c r="C1049" t="s">
        <v>1667</v>
      </c>
    </row>
    <row r="1050" spans="3:3" x14ac:dyDescent="0.25">
      <c r="C1050" t="s">
        <v>1283</v>
      </c>
    </row>
    <row r="1051" spans="3:3" x14ac:dyDescent="0.25">
      <c r="C1051" t="s">
        <v>292</v>
      </c>
    </row>
    <row r="1052" spans="3:3" x14ac:dyDescent="0.25">
      <c r="C1052" t="s">
        <v>836</v>
      </c>
    </row>
    <row r="1053" spans="3:3" x14ac:dyDescent="0.25">
      <c r="C1053" t="s">
        <v>1576</v>
      </c>
    </row>
    <row r="1054" spans="3:3" x14ac:dyDescent="0.25">
      <c r="C1054" t="s">
        <v>2051</v>
      </c>
    </row>
    <row r="1055" spans="3:3" x14ac:dyDescent="0.25">
      <c r="C1055" t="s">
        <v>374</v>
      </c>
    </row>
    <row r="1056" spans="3:3" x14ac:dyDescent="0.25">
      <c r="C1056" t="s">
        <v>452</v>
      </c>
    </row>
    <row r="1057" spans="3:3" x14ac:dyDescent="0.25">
      <c r="C1057" t="s">
        <v>2056</v>
      </c>
    </row>
    <row r="1058" spans="3:3" x14ac:dyDescent="0.25">
      <c r="C1058" t="s">
        <v>2048</v>
      </c>
    </row>
    <row r="1059" spans="3:3" x14ac:dyDescent="0.25">
      <c r="C1059" t="s">
        <v>859</v>
      </c>
    </row>
    <row r="1060" spans="3:3" x14ac:dyDescent="0.25">
      <c r="C1060" t="s">
        <v>1208</v>
      </c>
    </row>
    <row r="1061" spans="3:3" x14ac:dyDescent="0.25">
      <c r="C1061" t="s">
        <v>2479</v>
      </c>
    </row>
    <row r="1062" spans="3:3" x14ac:dyDescent="0.25">
      <c r="C1062" t="s">
        <v>1775</v>
      </c>
    </row>
    <row r="1063" spans="3:3" x14ac:dyDescent="0.25">
      <c r="C1063" t="s">
        <v>927</v>
      </c>
    </row>
    <row r="1064" spans="3:3" x14ac:dyDescent="0.25">
      <c r="C1064" t="s">
        <v>1012</v>
      </c>
    </row>
    <row r="1065" spans="3:3" x14ac:dyDescent="0.25">
      <c r="C1065" t="s">
        <v>809</v>
      </c>
    </row>
    <row r="1066" spans="3:3" x14ac:dyDescent="0.25">
      <c r="C1066" t="s">
        <v>2404</v>
      </c>
    </row>
    <row r="1067" spans="3:3" x14ac:dyDescent="0.25">
      <c r="C1067" t="s">
        <v>1930</v>
      </c>
    </row>
    <row r="1068" spans="3:3" x14ac:dyDescent="0.25">
      <c r="C1068" t="s">
        <v>2531</v>
      </c>
    </row>
    <row r="1069" spans="3:3" x14ac:dyDescent="0.25">
      <c r="C1069" t="s">
        <v>2576</v>
      </c>
    </row>
    <row r="1070" spans="3:3" x14ac:dyDescent="0.25">
      <c r="C1070" t="s">
        <v>2566</v>
      </c>
    </row>
    <row r="1071" spans="3:3" x14ac:dyDescent="0.25">
      <c r="C1071" t="s">
        <v>2225</v>
      </c>
    </row>
    <row r="1072" spans="3:3" x14ac:dyDescent="0.25">
      <c r="C1072" t="s">
        <v>1126</v>
      </c>
    </row>
    <row r="1073" spans="3:3" x14ac:dyDescent="0.25">
      <c r="C1073" t="s">
        <v>551</v>
      </c>
    </row>
    <row r="1074" spans="3:3" x14ac:dyDescent="0.25">
      <c r="C1074" t="s">
        <v>2512</v>
      </c>
    </row>
    <row r="1075" spans="3:3" x14ac:dyDescent="0.25">
      <c r="C1075" t="s">
        <v>1781</v>
      </c>
    </row>
    <row r="1076" spans="3:3" x14ac:dyDescent="0.25">
      <c r="C1076" t="s">
        <v>2647</v>
      </c>
    </row>
    <row r="1077" spans="3:3" x14ac:dyDescent="0.25">
      <c r="C1077" t="s">
        <v>890</v>
      </c>
    </row>
    <row r="1078" spans="3:3" x14ac:dyDescent="0.25">
      <c r="C1078" t="s">
        <v>1546</v>
      </c>
    </row>
    <row r="1079" spans="3:3" x14ac:dyDescent="0.25">
      <c r="C1079" t="s">
        <v>1084</v>
      </c>
    </row>
    <row r="1080" spans="3:3" x14ac:dyDescent="0.25">
      <c r="C1080" t="s">
        <v>1196</v>
      </c>
    </row>
    <row r="1081" spans="3:3" x14ac:dyDescent="0.25">
      <c r="C1081" t="s">
        <v>1554</v>
      </c>
    </row>
    <row r="1082" spans="3:3" x14ac:dyDescent="0.25">
      <c r="C1082" t="s">
        <v>1747</v>
      </c>
    </row>
    <row r="1083" spans="3:3" x14ac:dyDescent="0.25">
      <c r="C1083" t="s">
        <v>1112</v>
      </c>
    </row>
    <row r="1084" spans="3:3" x14ac:dyDescent="0.25">
      <c r="C1084" t="s">
        <v>1528</v>
      </c>
    </row>
    <row r="1085" spans="3:3" x14ac:dyDescent="0.25">
      <c r="C1085" t="s">
        <v>2243</v>
      </c>
    </row>
    <row r="1086" spans="3:3" x14ac:dyDescent="0.25">
      <c r="C1086" t="s">
        <v>721</v>
      </c>
    </row>
    <row r="1087" spans="3:3" x14ac:dyDescent="0.25">
      <c r="C1087" t="s">
        <v>974</v>
      </c>
    </row>
    <row r="1088" spans="3:3" x14ac:dyDescent="0.25">
      <c r="C1088" t="s">
        <v>1536</v>
      </c>
    </row>
    <row r="1089" spans="3:3" x14ac:dyDescent="0.25">
      <c r="C1089" t="s">
        <v>789</v>
      </c>
    </row>
    <row r="1090" spans="3:3" x14ac:dyDescent="0.25">
      <c r="C1090" t="s">
        <v>728</v>
      </c>
    </row>
    <row r="1091" spans="3:3" x14ac:dyDescent="0.25">
      <c r="C1091" t="s">
        <v>1910</v>
      </c>
    </row>
    <row r="1092" spans="3:3" x14ac:dyDescent="0.25">
      <c r="C1092" t="s">
        <v>436</v>
      </c>
    </row>
    <row r="1093" spans="3:3" x14ac:dyDescent="0.25">
      <c r="C1093" t="s">
        <v>2143</v>
      </c>
    </row>
    <row r="1094" spans="3:3" x14ac:dyDescent="0.25">
      <c r="C1094" t="s">
        <v>300</v>
      </c>
    </row>
    <row r="1095" spans="3:3" x14ac:dyDescent="0.25">
      <c r="C1095" t="s">
        <v>2560</v>
      </c>
    </row>
    <row r="1096" spans="3:3" x14ac:dyDescent="0.25">
      <c r="C1096" t="s">
        <v>1566</v>
      </c>
    </row>
    <row r="1097" spans="3:3" x14ac:dyDescent="0.25">
      <c r="C1097" t="s">
        <v>990</v>
      </c>
    </row>
    <row r="1098" spans="3:3" x14ac:dyDescent="0.25">
      <c r="C1098" t="s">
        <v>2627</v>
      </c>
    </row>
    <row r="1099" spans="3:3" x14ac:dyDescent="0.25">
      <c r="C1099" t="s">
        <v>2481</v>
      </c>
    </row>
    <row r="1100" spans="3:3" x14ac:dyDescent="0.25">
      <c r="C1100" t="s">
        <v>689</v>
      </c>
    </row>
    <row r="1101" spans="3:3" x14ac:dyDescent="0.25">
      <c r="C1101" t="s">
        <v>787</v>
      </c>
    </row>
    <row r="1102" spans="3:3" x14ac:dyDescent="0.25">
      <c r="C1102" t="s">
        <v>1794</v>
      </c>
    </row>
    <row r="1103" spans="3:3" x14ac:dyDescent="0.25">
      <c r="C1103" t="s">
        <v>2556</v>
      </c>
    </row>
    <row r="1104" spans="3:3" x14ac:dyDescent="0.25">
      <c r="C1104" t="s">
        <v>1072</v>
      </c>
    </row>
    <row r="1105" spans="3:3" x14ac:dyDescent="0.25">
      <c r="C1105" t="s">
        <v>1882</v>
      </c>
    </row>
    <row r="1106" spans="3:3" x14ac:dyDescent="0.25">
      <c r="C1106" t="s">
        <v>1902</v>
      </c>
    </row>
    <row r="1107" spans="3:3" x14ac:dyDescent="0.25">
      <c r="C1107" t="s">
        <v>1610</v>
      </c>
    </row>
    <row r="1108" spans="3:3" x14ac:dyDescent="0.25">
      <c r="C1108" t="s">
        <v>2450</v>
      </c>
    </row>
    <row r="1109" spans="3:3" x14ac:dyDescent="0.25">
      <c r="C1109" t="s">
        <v>2361</v>
      </c>
    </row>
    <row r="1110" spans="3:3" x14ac:dyDescent="0.25">
      <c r="C1110" t="s">
        <v>1657</v>
      </c>
    </row>
    <row r="1111" spans="3:3" x14ac:dyDescent="0.25">
      <c r="C1111" t="s">
        <v>2068</v>
      </c>
    </row>
    <row r="1112" spans="3:3" x14ac:dyDescent="0.25">
      <c r="C1112" t="s">
        <v>1655</v>
      </c>
    </row>
    <row r="1113" spans="3:3" x14ac:dyDescent="0.25">
      <c r="C1113" t="s">
        <v>2115</v>
      </c>
    </row>
    <row r="1114" spans="3:3" x14ac:dyDescent="0.25">
      <c r="C1114" t="s">
        <v>2110</v>
      </c>
    </row>
    <row r="1115" spans="3:3" x14ac:dyDescent="0.25">
      <c r="C1115" t="s">
        <v>2058</v>
      </c>
    </row>
    <row r="1116" spans="3:3" x14ac:dyDescent="0.25">
      <c r="C1116" t="s">
        <v>2103</v>
      </c>
    </row>
    <row r="1117" spans="3:3" x14ac:dyDescent="0.25">
      <c r="C1117" t="s">
        <v>1685</v>
      </c>
    </row>
    <row r="1118" spans="3:3" x14ac:dyDescent="0.25">
      <c r="C1118" t="s">
        <v>842</v>
      </c>
    </row>
    <row r="1119" spans="3:3" x14ac:dyDescent="0.25">
      <c r="C1119" t="s">
        <v>430</v>
      </c>
    </row>
    <row r="1120" spans="3:3" x14ac:dyDescent="0.25">
      <c r="C1120" t="s">
        <v>1678</v>
      </c>
    </row>
    <row r="1121" spans="3:3" x14ac:dyDescent="0.25">
      <c r="C1121" t="s">
        <v>844</v>
      </c>
    </row>
    <row r="1122" spans="3:3" x14ac:dyDescent="0.25">
      <c r="C1122" t="s">
        <v>841</v>
      </c>
    </row>
    <row r="1123" spans="3:3" x14ac:dyDescent="0.25">
      <c r="C1123" t="s">
        <v>2074</v>
      </c>
    </row>
    <row r="1124" spans="3:3" x14ac:dyDescent="0.25">
      <c r="C1124" t="s">
        <v>2116</v>
      </c>
    </row>
    <row r="1125" spans="3:3" x14ac:dyDescent="0.25">
      <c r="C1125" t="s">
        <v>1928</v>
      </c>
    </row>
    <row r="1126" spans="3:3" x14ac:dyDescent="0.25">
      <c r="C1126" t="s">
        <v>2529</v>
      </c>
    </row>
    <row r="1127" spans="3:3" x14ac:dyDescent="0.25">
      <c r="C1127" t="s">
        <v>2338</v>
      </c>
    </row>
    <row r="1128" spans="3:3" x14ac:dyDescent="0.25">
      <c r="C1128" t="s">
        <v>605</v>
      </c>
    </row>
    <row r="1129" spans="3:3" x14ac:dyDescent="0.25">
      <c r="C1129" t="s">
        <v>1860</v>
      </c>
    </row>
    <row r="1130" spans="3:3" x14ac:dyDescent="0.25">
      <c r="C1130" t="s">
        <v>1070</v>
      </c>
    </row>
    <row r="1131" spans="3:3" x14ac:dyDescent="0.25">
      <c r="C1131" t="s">
        <v>994</v>
      </c>
    </row>
    <row r="1132" spans="3:3" x14ac:dyDescent="0.25">
      <c r="C1132" t="s">
        <v>906</v>
      </c>
    </row>
    <row r="1133" spans="3:3" x14ac:dyDescent="0.25">
      <c r="C1133" t="s">
        <v>740</v>
      </c>
    </row>
    <row r="1134" spans="3:3" x14ac:dyDescent="0.25">
      <c r="C1134" t="s">
        <v>1096</v>
      </c>
    </row>
    <row r="1135" spans="3:3" x14ac:dyDescent="0.25">
      <c r="C1135" t="s">
        <v>1166</v>
      </c>
    </row>
    <row r="1136" spans="3:3" x14ac:dyDescent="0.25">
      <c r="C1136" t="s">
        <v>334</v>
      </c>
    </row>
    <row r="1137" spans="3:3" x14ac:dyDescent="0.25">
      <c r="C1137" t="s">
        <v>1068</v>
      </c>
    </row>
    <row r="1138" spans="3:3" x14ac:dyDescent="0.25">
      <c r="C1138" t="s">
        <v>968</v>
      </c>
    </row>
    <row r="1139" spans="3:3" x14ac:dyDescent="0.25">
      <c r="C1139" t="s">
        <v>2152</v>
      </c>
    </row>
    <row r="1140" spans="3:3" x14ac:dyDescent="0.25">
      <c r="C1140" t="s">
        <v>1047</v>
      </c>
    </row>
    <row r="1141" spans="3:3" x14ac:dyDescent="0.25">
      <c r="C1141" t="s">
        <v>1602</v>
      </c>
    </row>
    <row r="1142" spans="3:3" x14ac:dyDescent="0.25">
      <c r="C1142" t="s">
        <v>1906</v>
      </c>
    </row>
    <row r="1143" spans="3:3" x14ac:dyDescent="0.25">
      <c r="C1143" t="s">
        <v>326</v>
      </c>
    </row>
    <row r="1144" spans="3:3" x14ac:dyDescent="0.25">
      <c r="C1144" t="s">
        <v>1128</v>
      </c>
    </row>
    <row r="1145" spans="3:3" x14ac:dyDescent="0.25">
      <c r="C1145" t="s">
        <v>1823</v>
      </c>
    </row>
    <row r="1146" spans="3:3" x14ac:dyDescent="0.25">
      <c r="C1146" t="s">
        <v>1636</v>
      </c>
    </row>
    <row r="1147" spans="3:3" x14ac:dyDescent="0.25">
      <c r="C1147" t="s">
        <v>1315</v>
      </c>
    </row>
    <row r="1148" spans="3:3" x14ac:dyDescent="0.25">
      <c r="C1148" t="s">
        <v>2261</v>
      </c>
    </row>
    <row r="1149" spans="3:3" x14ac:dyDescent="0.25">
      <c r="C1149" t="s">
        <v>2227</v>
      </c>
    </row>
    <row r="1150" spans="3:3" x14ac:dyDescent="0.25">
      <c r="C1150" t="s">
        <v>2251</v>
      </c>
    </row>
    <row r="1151" spans="3:3" x14ac:dyDescent="0.25">
      <c r="C1151" t="s">
        <v>745</v>
      </c>
    </row>
    <row r="1152" spans="3:3" x14ac:dyDescent="0.25">
      <c r="C1152" t="s">
        <v>2247</v>
      </c>
    </row>
    <row r="1153" spans="3:3" x14ac:dyDescent="0.25">
      <c r="C1153" t="s">
        <v>2263</v>
      </c>
    </row>
    <row r="1154" spans="3:3" x14ac:dyDescent="0.25">
      <c r="C1154" t="s">
        <v>785</v>
      </c>
    </row>
    <row r="1155" spans="3:3" x14ac:dyDescent="0.25">
      <c r="C1155" t="s">
        <v>1102</v>
      </c>
    </row>
    <row r="1156" spans="3:3" x14ac:dyDescent="0.25">
      <c r="C1156" t="s">
        <v>912</v>
      </c>
    </row>
    <row r="1157" spans="3:3" x14ac:dyDescent="0.25">
      <c r="C1157" t="s">
        <v>1445</v>
      </c>
    </row>
    <row r="1158" spans="3:3" x14ac:dyDescent="0.25">
      <c r="C1158" t="s">
        <v>1852</v>
      </c>
    </row>
    <row r="1159" spans="3:3" x14ac:dyDescent="0.25">
      <c r="C1159" t="s">
        <v>2514</v>
      </c>
    </row>
    <row r="1160" spans="3:3" x14ac:dyDescent="0.25">
      <c r="C1160" t="s">
        <v>1828</v>
      </c>
    </row>
    <row r="1161" spans="3:3" x14ac:dyDescent="0.25">
      <c r="C1161" t="s">
        <v>1983</v>
      </c>
    </row>
    <row r="1162" spans="3:3" x14ac:dyDescent="0.25">
      <c r="C1162" t="s">
        <v>1866</v>
      </c>
    </row>
    <row r="1163" spans="3:3" x14ac:dyDescent="0.25">
      <c r="C1163" t="s">
        <v>1146</v>
      </c>
    </row>
    <row r="1164" spans="3:3" x14ac:dyDescent="0.25">
      <c r="C1164" t="s">
        <v>1616</v>
      </c>
    </row>
    <row r="1165" spans="3:3" x14ac:dyDescent="0.25">
      <c r="C1165" t="s">
        <v>1622</v>
      </c>
    </row>
    <row r="1166" spans="3:3" x14ac:dyDescent="0.25">
      <c r="C1166" t="s">
        <v>2548</v>
      </c>
    </row>
    <row r="1167" spans="3:3" x14ac:dyDescent="0.25">
      <c r="C1167" t="s">
        <v>671</v>
      </c>
    </row>
    <row r="1168" spans="3:3" x14ac:dyDescent="0.25">
      <c r="C1168" t="s">
        <v>2255</v>
      </c>
    </row>
    <row r="1169" spans="3:3" x14ac:dyDescent="0.25">
      <c r="C1169" t="s">
        <v>2090</v>
      </c>
    </row>
    <row r="1170" spans="3:3" x14ac:dyDescent="0.25">
      <c r="C1170" t="s">
        <v>1284</v>
      </c>
    </row>
    <row r="1171" spans="3:3" x14ac:dyDescent="0.25">
      <c r="C1171" t="s">
        <v>854</v>
      </c>
    </row>
    <row r="1172" spans="3:3" x14ac:dyDescent="0.25">
      <c r="C1172" t="s">
        <v>2053</v>
      </c>
    </row>
    <row r="1173" spans="3:3" x14ac:dyDescent="0.25">
      <c r="C1173" t="s">
        <v>1292</v>
      </c>
    </row>
    <row r="1174" spans="3:3" x14ac:dyDescent="0.25">
      <c r="C1174" t="s">
        <v>2063</v>
      </c>
    </row>
    <row r="1175" spans="3:3" x14ac:dyDescent="0.25">
      <c r="C1175" t="s">
        <v>2457</v>
      </c>
    </row>
    <row r="1176" spans="3:3" x14ac:dyDescent="0.25">
      <c r="C1176" t="s">
        <v>2613</v>
      </c>
    </row>
    <row r="1177" spans="3:3" x14ac:dyDescent="0.25">
      <c r="C1177" t="s">
        <v>2605</v>
      </c>
    </row>
    <row r="1178" spans="3:3" x14ac:dyDescent="0.25">
      <c r="C1178" t="s">
        <v>342</v>
      </c>
    </row>
    <row r="1179" spans="3:3" x14ac:dyDescent="0.25">
      <c r="C1179" t="s">
        <v>607</v>
      </c>
    </row>
    <row r="1180" spans="3:3" x14ac:dyDescent="0.25">
      <c r="C1180" t="s">
        <v>1136</v>
      </c>
    </row>
    <row r="1181" spans="3:3" x14ac:dyDescent="0.25">
      <c r="C1181" t="s">
        <v>1140</v>
      </c>
    </row>
    <row r="1182" spans="3:3" x14ac:dyDescent="0.25">
      <c r="C1182" t="s">
        <v>382</v>
      </c>
    </row>
    <row r="1183" spans="3:3" x14ac:dyDescent="0.25">
      <c r="C1183" t="s">
        <v>2306</v>
      </c>
    </row>
    <row r="1184" spans="3:3" x14ac:dyDescent="0.25">
      <c r="C1184" t="s">
        <v>2312</v>
      </c>
    </row>
    <row r="1185" spans="3:3" x14ac:dyDescent="0.25">
      <c r="C1185" t="s">
        <v>352</v>
      </c>
    </row>
    <row r="1186" spans="3:3" x14ac:dyDescent="0.25">
      <c r="C1186" t="s">
        <v>2298</v>
      </c>
    </row>
    <row r="1187" spans="3:3" x14ac:dyDescent="0.25">
      <c r="C1187" t="s">
        <v>294</v>
      </c>
    </row>
    <row r="1188" spans="3:3" x14ac:dyDescent="0.25">
      <c r="C1188" t="s">
        <v>2057</v>
      </c>
    </row>
    <row r="1189" spans="3:3" x14ac:dyDescent="0.25">
      <c r="C1189" t="s">
        <v>838</v>
      </c>
    </row>
    <row r="1190" spans="3:3" x14ac:dyDescent="0.25">
      <c r="C1190" t="s">
        <v>1384</v>
      </c>
    </row>
    <row r="1191" spans="3:3" x14ac:dyDescent="0.25">
      <c r="C1191" t="s">
        <v>925</v>
      </c>
    </row>
    <row r="1192" spans="3:3" x14ac:dyDescent="0.25">
      <c r="C1192" t="s">
        <v>1624</v>
      </c>
    </row>
    <row r="1193" spans="3:3" x14ac:dyDescent="0.25">
      <c r="C1193" t="s">
        <v>1505</v>
      </c>
    </row>
    <row r="1194" spans="3:3" x14ac:dyDescent="0.25">
      <c r="C1194" t="s">
        <v>2537</v>
      </c>
    </row>
    <row r="1195" spans="3:3" x14ac:dyDescent="0.25">
      <c r="C1195" t="s">
        <v>1240</v>
      </c>
    </row>
    <row r="1196" spans="3:3" x14ac:dyDescent="0.25">
      <c r="C1196" t="s">
        <v>1489</v>
      </c>
    </row>
    <row r="1197" spans="3:3" x14ac:dyDescent="0.25">
      <c r="C1197" t="s">
        <v>1501</v>
      </c>
    </row>
    <row r="1198" spans="3:3" x14ac:dyDescent="0.25">
      <c r="C1198" t="s">
        <v>366</v>
      </c>
    </row>
    <row r="1199" spans="3:3" x14ac:dyDescent="0.25">
      <c r="C1199" t="s">
        <v>1185</v>
      </c>
    </row>
    <row r="1200" spans="3:3" x14ac:dyDescent="0.25">
      <c r="C1200" t="s">
        <v>1836</v>
      </c>
    </row>
    <row r="1201" spans="3:3" x14ac:dyDescent="0.25">
      <c r="C1201" t="s">
        <v>1360</v>
      </c>
    </row>
    <row r="1202" spans="3:3" x14ac:dyDescent="0.25">
      <c r="C1202" t="s">
        <v>846</v>
      </c>
    </row>
    <row r="1203" spans="3:3" x14ac:dyDescent="0.25">
      <c r="C1203" t="s">
        <v>823</v>
      </c>
    </row>
    <row r="1204" spans="3:3" x14ac:dyDescent="0.25">
      <c r="C1204" t="s">
        <v>822</v>
      </c>
    </row>
    <row r="1205" spans="3:3" x14ac:dyDescent="0.25">
      <c r="C1205" t="s">
        <v>862</v>
      </c>
    </row>
    <row r="1206" spans="3:3" x14ac:dyDescent="0.25">
      <c r="C1206" t="s">
        <v>699</v>
      </c>
    </row>
    <row r="1207" spans="3:3" x14ac:dyDescent="0.25">
      <c r="C1207" t="s">
        <v>2496</v>
      </c>
    </row>
    <row r="1208" spans="3:3" x14ac:dyDescent="0.25">
      <c r="C1208" t="s">
        <v>2340</v>
      </c>
    </row>
    <row r="1209" spans="3:3" x14ac:dyDescent="0.25">
      <c r="C1209" t="s">
        <v>1974</v>
      </c>
    </row>
    <row r="1210" spans="3:3" x14ac:dyDescent="0.25">
      <c r="C1210" t="s">
        <v>1763</v>
      </c>
    </row>
    <row r="1211" spans="3:3" x14ac:dyDescent="0.25">
      <c r="C1211" t="s">
        <v>512</v>
      </c>
    </row>
    <row r="1212" spans="3:3" x14ac:dyDescent="0.25">
      <c r="C1212" t="s">
        <v>1212</v>
      </c>
    </row>
    <row r="1213" spans="3:3" x14ac:dyDescent="0.25">
      <c r="C1213" t="s">
        <v>2170</v>
      </c>
    </row>
    <row r="1214" spans="3:3" x14ac:dyDescent="0.25">
      <c r="C1214" t="s">
        <v>1170</v>
      </c>
    </row>
    <row r="1215" spans="3:3" x14ac:dyDescent="0.25">
      <c r="C1215" t="s">
        <v>1509</v>
      </c>
    </row>
    <row r="1216" spans="3:3" x14ac:dyDescent="0.25">
      <c r="C1216" t="s">
        <v>1242</v>
      </c>
    </row>
    <row r="1217" spans="3:3" x14ac:dyDescent="0.25">
      <c r="C1217" t="s">
        <v>931</v>
      </c>
    </row>
    <row r="1218" spans="3:3" x14ac:dyDescent="0.25">
      <c r="C1218" t="s">
        <v>2355</v>
      </c>
    </row>
    <row r="1219" spans="3:3" x14ac:dyDescent="0.25">
      <c r="C1219" t="s">
        <v>1618</v>
      </c>
    </row>
    <row r="1220" spans="3:3" x14ac:dyDescent="0.25">
      <c r="C1220" t="s">
        <v>2249</v>
      </c>
    </row>
    <row r="1221" spans="3:3" x14ac:dyDescent="0.25">
      <c r="C1221" t="s">
        <v>1606</v>
      </c>
    </row>
    <row r="1222" spans="3:3" x14ac:dyDescent="0.25">
      <c r="C1222" t="s">
        <v>1630</v>
      </c>
    </row>
    <row r="1223" spans="3:3" x14ac:dyDescent="0.25">
      <c r="C1223" t="s">
        <v>438</v>
      </c>
    </row>
    <row r="1224" spans="3:3" x14ac:dyDescent="0.25">
      <c r="C1224" t="s">
        <v>566</v>
      </c>
    </row>
    <row r="1225" spans="3:3" x14ac:dyDescent="0.25">
      <c r="C1225" t="s">
        <v>2410</v>
      </c>
    </row>
    <row r="1226" spans="3:3" x14ac:dyDescent="0.25">
      <c r="C1226" t="s">
        <v>1008</v>
      </c>
    </row>
    <row r="1227" spans="3:3" x14ac:dyDescent="0.25">
      <c r="C1227" t="s">
        <v>1698</v>
      </c>
    </row>
    <row r="1228" spans="3:3" x14ac:dyDescent="0.25">
      <c r="C1228" t="s">
        <v>852</v>
      </c>
    </row>
    <row r="1229" spans="3:3" x14ac:dyDescent="0.25">
      <c r="C1229" t="s">
        <v>1277</v>
      </c>
    </row>
    <row r="1230" spans="3:3" x14ac:dyDescent="0.25">
      <c r="C1230" t="s">
        <v>1660</v>
      </c>
    </row>
    <row r="1231" spans="3:3" x14ac:dyDescent="0.25">
      <c r="C1231" t="s">
        <v>1651</v>
      </c>
    </row>
    <row r="1232" spans="3:3" x14ac:dyDescent="0.25">
      <c r="C1232" t="s">
        <v>2284</v>
      </c>
    </row>
    <row r="1233" spans="3:3" x14ac:dyDescent="0.25">
      <c r="C1233" t="s">
        <v>1593</v>
      </c>
    </row>
    <row r="1234" spans="3:3" x14ac:dyDescent="0.25">
      <c r="C1234" t="s">
        <v>2084</v>
      </c>
    </row>
    <row r="1235" spans="3:3" x14ac:dyDescent="0.25">
      <c r="C1235" t="s">
        <v>2395</v>
      </c>
    </row>
    <row r="1236" spans="3:3" x14ac:dyDescent="0.25">
      <c r="C1236" t="s">
        <v>549</v>
      </c>
    </row>
    <row r="1237" spans="3:3" x14ac:dyDescent="0.25">
      <c r="C1237" t="s">
        <v>2461</v>
      </c>
    </row>
    <row r="1238" spans="3:3" x14ac:dyDescent="0.25">
      <c r="C1238" t="s">
        <v>730</v>
      </c>
    </row>
    <row r="1239" spans="3:3" x14ac:dyDescent="0.25">
      <c r="C1239" t="s">
        <v>1769</v>
      </c>
    </row>
    <row r="1240" spans="3:3" x14ac:dyDescent="0.25">
      <c r="C1240" t="s">
        <v>508</v>
      </c>
    </row>
    <row r="1241" spans="3:3" x14ac:dyDescent="0.25">
      <c r="C1241" t="s">
        <v>1590</v>
      </c>
    </row>
    <row r="1242" spans="3:3" x14ac:dyDescent="0.25">
      <c r="C1242" t="s">
        <v>1580</v>
      </c>
    </row>
    <row r="1243" spans="3:3" x14ac:dyDescent="0.25">
      <c r="C1243" t="s">
        <v>1587</v>
      </c>
    </row>
    <row r="1244" spans="3:3" x14ac:dyDescent="0.25">
      <c r="C1244" t="s">
        <v>2105</v>
      </c>
    </row>
    <row r="1245" spans="3:3" x14ac:dyDescent="0.25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2026-06-23T17:21:59Z</dcterms:modified>
  <cp:category/>
  <cp:contentStatus/>
</cp:coreProperties>
</file>