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964" documentId="8_{DE49DC6A-C840-492B-B227-19D455AF6A7E}" xr6:coauthVersionLast="47" xr6:coauthVersionMax="47" xr10:uidLastSave="{2B02D8CB-BFCE-4988-801A-0F7FF885C5A8}"/>
  <bookViews>
    <workbookView xWindow="-120" yWindow="-120" windowWidth="29040" windowHeight="15720" tabRatio="695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AG92" i="20"/>
  <c r="S93" i="20"/>
  <c r="AA93" i="20"/>
  <c r="V93" i="20"/>
  <c r="AD93" i="20"/>
  <c r="AE93" i="20"/>
  <c r="AG93" i="20"/>
  <c r="S94" i="20"/>
  <c r="AA94" i="20"/>
  <c r="AC94" i="20"/>
  <c r="V94" i="20"/>
  <c r="AD94" i="20"/>
  <c r="AF94" i="20"/>
  <c r="AG94" i="20"/>
  <c r="S95" i="20"/>
  <c r="AA95" i="20"/>
  <c r="V95" i="20"/>
  <c r="AD95" i="20"/>
  <c r="AE95" i="20"/>
  <c r="AG95" i="20"/>
  <c r="Z96" i="20"/>
  <c r="AA96" i="20"/>
  <c r="V96" i="20"/>
  <c r="AD96" i="20"/>
  <c r="AF96" i="20"/>
  <c r="AG96" i="20"/>
  <c r="AA97" i="20"/>
  <c r="AC97" i="20"/>
  <c r="V97" i="20"/>
  <c r="AD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 s="1"/>
  <c r="T90" i="20"/>
  <c r="AB90" i="20"/>
  <c r="U90" i="20"/>
  <c r="W90" i="20"/>
  <c r="X90" i="20"/>
  <c r="AF90" i="20" s="1"/>
  <c r="R91" i="20"/>
  <c r="Z91" i="20" s="1"/>
  <c r="T91" i="20"/>
  <c r="AB91" i="20"/>
  <c r="U91" i="20"/>
  <c r="W91" i="20"/>
  <c r="X91" i="20"/>
  <c r="AF91" i="20" s="1"/>
  <c r="R92" i="20"/>
  <c r="Z92" i="20" s="1"/>
  <c r="T92" i="20"/>
  <c r="AB92" i="20"/>
  <c r="U92" i="20"/>
  <c r="AC92" i="20" s="1"/>
  <c r="W92" i="20"/>
  <c r="AE92" i="20" s="1"/>
  <c r="X92" i="20"/>
  <c r="AF92" i="20" s="1"/>
  <c r="Y92" i="20"/>
  <c r="R93" i="20"/>
  <c r="Z93" i="20" s="1"/>
  <c r="T93" i="20"/>
  <c r="AB93" i="20"/>
  <c r="U93" i="20"/>
  <c r="AC93" i="20" s="1"/>
  <c r="W93" i="20"/>
  <c r="X93" i="20"/>
  <c r="AF93" i="20" s="1"/>
  <c r="Y93" i="20"/>
  <c r="R94" i="20"/>
  <c r="Z94" i="20" s="1"/>
  <c r="T94" i="20"/>
  <c r="AB94" i="20"/>
  <c r="U94" i="20"/>
  <c r="W94" i="20"/>
  <c r="AE94" i="20" s="1"/>
  <c r="X94" i="20"/>
  <c r="Y94" i="20"/>
  <c r="R95" i="20"/>
  <c r="Z95" i="20" s="1"/>
  <c r="T95" i="20"/>
  <c r="AB95" i="20"/>
  <c r="U95" i="20"/>
  <c r="AC95" i="20" s="1"/>
  <c r="W95" i="20"/>
  <c r="X95" i="20"/>
  <c r="AF95" i="20" s="1"/>
  <c r="Y95" i="20"/>
  <c r="R96" i="20"/>
  <c r="S96" i="20"/>
  <c r="T96" i="20"/>
  <c r="AB96" i="20" s="1"/>
  <c r="U96" i="20"/>
  <c r="AC96" i="20" s="1"/>
  <c r="W96" i="20"/>
  <c r="AE96" i="20" s="1"/>
  <c r="X96" i="20"/>
  <c r="Y96" i="20"/>
  <c r="R97" i="20"/>
  <c r="Z97" i="20" s="1"/>
  <c r="S97" i="20"/>
  <c r="T97" i="20"/>
  <c r="AB97" i="20" s="1"/>
  <c r="U97" i="20"/>
  <c r="W97" i="20"/>
  <c r="AE97" i="20" s="1"/>
  <c r="X97" i="20"/>
  <c r="AF97" i="20" s="1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<sst xmlns="http://schemas.openxmlformats.org/spreadsheetml/2006/main" count="16711" uniqueCount="2883">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</sst>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abSelected="1" workbookViewId="0">
      <selection activeCell="G17" sqref="G10:G17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4" sqref="C134:E134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89" t="s">
        <v>274</v>
      </c>
      <c r="C2" s="90"/>
      <c r="D2" s="91"/>
      <c r="F2" s="89" t="s">
        <v>277</v>
      </c>
      <c r="G2" s="90"/>
      <c r="H2" s="91"/>
      <c r="J2" s="89" t="s">
        <v>280</v>
      </c>
      <c r="K2" s="90"/>
      <c r="L2" s="91"/>
      <c r="N2" s="89" t="s">
        <v>283</v>
      </c>
      <c r="O2" s="90"/>
      <c r="P2" s="91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86" t="s">
        <v>286</v>
      </c>
      <c r="C27" s="87"/>
      <c r="D27" s="88"/>
      <c r="E27" s="17"/>
      <c r="F27" s="86" t="s">
        <v>289</v>
      </c>
      <c r="G27" s="87"/>
      <c r="H27" s="88"/>
      <c r="I27" s="17"/>
      <c r="J27" s="86" t="s">
        <v>292</v>
      </c>
      <c r="K27" s="87"/>
      <c r="L27" s="88"/>
      <c r="M27" s="17"/>
      <c r="N27" s="86" t="s">
        <v>295</v>
      </c>
      <c r="O27" s="87"/>
      <c r="P27" s="88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N9" sqref="N9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374</v>
      </c>
      <c r="C16" s="29" t="s">
        <v>40</v>
      </c>
      <c r="D16" s="30" t="str">
        <f>VLOOKUP($C16,Fixtures!A:I,2,FALSE)</f>
        <v>ALG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2695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USA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479</v>
      </c>
      <c r="C19" s="34" t="s">
        <v>61</v>
      </c>
      <c r="D19" s="30" t="str">
        <f>VLOOKUP($C19,Fixtures!A:I,2,FALSE)</f>
        <v>SEN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PAR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0"/>
      <c r="B20" s="81"/>
      <c r="C20" s="82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3"/>
      <c r="B21" s="84"/>
      <c r="C21" s="85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MEX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2695</v>
      </c>
      <c r="O16" s="31">
        <f>VLOOKUP($B16,PickedPlayers!D:Q,10,FALSE)</f>
        <v>0</v>
      </c>
      <c r="P16" s="30" t="str">
        <f>VLOOKUP($C16,Fixtures!A:I,6,FALSE)</f>
        <v>USA</v>
      </c>
      <c r="Q16" s="20" t="s">
        <v>2695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POR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NOR</v>
      </c>
      <c r="Q18" s="20" t="s">
        <v>2691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499</v>
      </c>
      <c r="C19" s="34" t="s">
        <v>109</v>
      </c>
      <c r="D19" s="30" t="str">
        <f>VLOOKUP($C19,Fixtures!A:I,2,FALSE)</f>
        <v>CRO</v>
      </c>
      <c r="E19" s="35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2695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2692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0"/>
      <c r="B20" s="81"/>
      <c r="C20" s="82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3"/>
      <c r="B21" s="84"/>
      <c r="C21" s="85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activeCell="Q5" sqref="Q5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515</v>
      </c>
      <c r="C19" s="34" t="s">
        <v>109</v>
      </c>
      <c r="D19" s="30" t="str">
        <f>VLOOKUP($C19,Fixtures!A:I,2,FALSE)</f>
        <v>CRO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MEX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0"/>
      <c r="B20" s="81"/>
      <c r="C20" s="82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3"/>
      <c r="B21" s="84"/>
      <c r="C21" s="85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A2" sqref="A2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2700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2695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328</v>
      </c>
      <c r="C11" s="29" t="s">
        <v>40</v>
      </c>
      <c r="D11" s="30" t="str">
        <f>VLOOKUP($C11,Fixtures!A:I,2,FALSE)</f>
        <v>ALG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2691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2685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EGY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MEX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2685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PAR</v>
      </c>
      <c r="Q14" s="20" t="s">
        <v>2691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2695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BRA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COL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503</v>
      </c>
      <c r="C18" s="29" t="s">
        <v>62</v>
      </c>
      <c r="D18" s="30" t="str">
        <f>VLOOKUP($C18,Fixtures!A:I,2,FALSE)</f>
        <v>TUN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527</v>
      </c>
      <c r="C19" s="34" t="s">
        <v>82</v>
      </c>
      <c r="D19" s="30" t="str">
        <f>VLOOKUP($C19,Fixtures!A:I,2,FALSE)</f>
        <v>MEX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2685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0"/>
      <c r="B20" s="81"/>
      <c r="C20" s="82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3"/>
      <c r="B21" s="84"/>
      <c r="C21" s="85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idden="1" x14ac:dyDescent="0.25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N19" sqref="N19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2698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2695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2691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2691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2690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2690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2690</v>
      </c>
      <c r="O17" s="31">
        <f>VLOOKUP($B17,PickedPlayers!D:Q,10,FALSE)</f>
        <v>0</v>
      </c>
      <c r="P17" s="30" t="str">
        <f>VLOOKUP($C17,Fixtures!A:I,6,FALSE)</f>
        <v>SPA</v>
      </c>
      <c r="Q17" s="20" t="s">
        <v>2688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489</v>
      </c>
      <c r="C19" s="34" t="s">
        <v>153</v>
      </c>
      <c r="D19" s="30" t="str">
        <f>VLOOKUP($C19,Fixtures!A:I,2,FALSE)</f>
        <v>SOU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ENG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52"/>
      <c r="B21" s="53"/>
      <c r="C21" s="53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N15" sqref="N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2882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2685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2677</v>
      </c>
      <c r="B15" s="19" t="s">
        <v>290</v>
      </c>
      <c r="C15" s="29" t="s">
        <v>40</v>
      </c>
      <c r="D15" s="30" t="str">
        <f>VLOOKUP($C15,Fixtures!A:I,2,FALSE)</f>
        <v>ALG</v>
      </c>
      <c r="E15" s="48" t="s">
        <v>2692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2692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2689</v>
      </c>
      <c r="O16" s="31">
        <f>VLOOKUP($B16,PickedPlayers!D:Q,10,FALSE)</f>
        <v>0</v>
      </c>
      <c r="P16" s="30" t="str">
        <f>VLOOKUP($C16,Fixtures!A:I,6,FALSE)</f>
        <v>NOR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2695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out</v>
      </c>
      <c r="Q17" s="20" t="s">
        <v>2690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PAR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491</v>
      </c>
      <c r="C19" s="34" t="s">
        <v>123</v>
      </c>
      <c r="D19" s="30" t="str">
        <f>VLOOKUP($C19,Fixtures!A:I,2,FALSE)</f>
        <v>CAP</v>
      </c>
      <c r="E19" s="35" t="s">
        <v>2691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2690</v>
      </c>
      <c r="O19" s="31">
        <f>VLOOKUP($B19,PickedPlayers!D:Q,10,FALSE)</f>
        <v>0</v>
      </c>
      <c r="P19" s="30" t="str">
        <f>VLOOKUP($C19,Fixtures!A:I,6,FALSE)</f>
        <v>POR</v>
      </c>
      <c r="Q19" s="35" t="s">
        <v>2695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52"/>
      <c r="B21" s="53"/>
      <c r="C21" s="53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N17" sqref="N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2678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SWI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2692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2692</v>
      </c>
      <c r="O18" s="31">
        <f>VLOOKUP($B18,PickedPlayers!D:Q,10,FALSE)</f>
        <v>0</v>
      </c>
      <c r="P18" s="30" t="str">
        <f>VLOOKUP($C18,Fixtures!A:I,6,FALSE)</f>
        <v>ARG</v>
      </c>
      <c r="Q18" s="20" t="s">
        <v>2695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483</v>
      </c>
      <c r="C19" s="34" t="s">
        <v>69</v>
      </c>
      <c r="D19" s="30" t="str">
        <f>VLOOKUP($C19,Fixtures!A:I,2,FALSE)</f>
        <v>JAP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2695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0"/>
      <c r="B20" s="81"/>
      <c r="C20" s="82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83"/>
      <c r="B21" s="84"/>
      <c r="C21" s="85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C14" sqref="C14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7" t="s">
        <v>2700</v>
      </c>
      <c r="B1" s="78"/>
      <c r="C1" s="79"/>
      <c r="D1" s="71" t="s">
        <v>2679</v>
      </c>
      <c r="E1" s="72"/>
      <c r="F1" s="73"/>
      <c r="G1" s="74" t="s">
        <v>2680</v>
      </c>
      <c r="H1" s="75"/>
      <c r="I1" s="76"/>
      <c r="J1" s="74" t="s">
        <v>2681</v>
      </c>
      <c r="K1" s="75"/>
      <c r="L1" s="76"/>
      <c r="M1" s="74" t="s">
        <v>36</v>
      </c>
      <c r="N1" s="75"/>
      <c r="O1" s="76"/>
      <c r="P1" s="74" t="s">
        <v>23</v>
      </c>
      <c r="Q1" s="75"/>
      <c r="R1" s="76"/>
      <c r="S1" s="74" t="s">
        <v>17</v>
      </c>
      <c r="T1" s="75"/>
      <c r="U1" s="76"/>
      <c r="V1" s="74" t="s">
        <v>13</v>
      </c>
      <c r="W1" s="75"/>
      <c r="X1" s="76"/>
      <c r="Y1" s="74" t="s">
        <v>9</v>
      </c>
      <c r="Z1" s="75"/>
      <c r="AA1" s="76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2691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2690</v>
      </c>
      <c r="O11" s="31">
        <f>VLOOKUP($B11,PickedPlayers!D:Q,10,FALSE)</f>
        <v>0</v>
      </c>
      <c r="P11" s="30" t="str">
        <f>VLOOKUP($C11,Fixtures!A:I,6,FALSE)</f>
        <v>PAR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420</v>
      </c>
      <c r="C12" s="29" t="s">
        <v>40</v>
      </c>
      <c r="D12" s="30" t="str">
        <f>VLOOKUP($C12,Fixtures!A:I,2,FALSE)</f>
        <v>ALG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481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2701</v>
      </c>
      <c r="C14" s="29" t="s">
        <v>40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EGY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SPA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2695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2692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495</v>
      </c>
      <c r="C18" s="29" t="s">
        <v>109</v>
      </c>
      <c r="D18" s="30" t="str">
        <f>VLOOKUP($C18,Fixtures!A:I,2,FALSE)</f>
        <v>CRO</v>
      </c>
      <c r="E18" s="20" t="s">
        <v>2695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2689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2689</v>
      </c>
      <c r="O18" s="31">
        <f>VLOOKUP($B18,PickedPlayers!D:Q,10,FALSE)</f>
        <v>0</v>
      </c>
      <c r="P18" s="30" t="str">
        <f>VLOOKUP($C18,Fixtures!A:I,6,FALSE)</f>
        <v>MEX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2677</v>
      </c>
      <c r="B19" s="33" t="s">
        <v>535</v>
      </c>
      <c r="C19" s="34" t="s">
        <v>113</v>
      </c>
      <c r="D19" s="30" t="str">
        <f>VLOOKUP($C19,Fixtures!A:I,2,FALSE)</f>
        <v>EGY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2685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35" t="s">
        <v>2687</v>
      </c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5"/>
      <c r="E20" s="66"/>
      <c r="F20" s="67"/>
      <c r="G20" s="65"/>
      <c r="H20" s="66"/>
      <c r="I20" s="67"/>
      <c r="J20" s="65"/>
      <c r="K20" s="66"/>
      <c r="L20" s="67"/>
      <c r="M20" s="65"/>
      <c r="N20" s="66"/>
      <c r="O20" s="67"/>
      <c r="P20" s="65"/>
      <c r="Q20" s="66"/>
      <c r="R20" s="67"/>
      <c r="S20" s="65"/>
      <c r="T20" s="66"/>
      <c r="U20" s="67"/>
      <c r="V20" s="65"/>
      <c r="W20" s="66"/>
      <c r="X20" s="67"/>
      <c r="Y20" s="65"/>
      <c r="Z20" s="66"/>
      <c r="AA20" s="67"/>
    </row>
    <row r="21" spans="1:27" s="18" customFormat="1" ht="15.75" thickBot="1" x14ac:dyDescent="0.3">
      <c r="A21" s="52"/>
      <c r="B21" s="53"/>
      <c r="C21" s="53"/>
      <c r="D21" s="68"/>
      <c r="E21" s="69"/>
      <c r="F21" s="70"/>
      <c r="G21" s="68"/>
      <c r="H21" s="69"/>
      <c r="I21" s="70"/>
      <c r="J21" s="68"/>
      <c r="K21" s="69"/>
      <c r="L21" s="70"/>
      <c r="M21" s="68"/>
      <c r="N21" s="69"/>
      <c r="O21" s="70"/>
      <c r="P21" s="68"/>
      <c r="Q21" s="69"/>
      <c r="R21" s="70"/>
      <c r="S21" s="68"/>
      <c r="T21" s="69"/>
      <c r="U21" s="70"/>
      <c r="V21" s="68"/>
      <c r="W21" s="69"/>
      <c r="X21" s="70"/>
      <c r="Y21" s="68"/>
      <c r="Z21" s="69"/>
      <c r="AA21" s="70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75" activePane="bottomLeft" state="frozen"/>
      <selection activeCell="C1" sqref="C1"/>
      <selection pane="bottomLeft" activeCell="N90" sqref="N90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 t="s">
        <v>2717</v>
      </c>
      <c r="O92" s="39" t="s">
        <v>2713</v>
      </c>
      <c r="P92" s="39"/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e">
        <f t="shared" si="27"/>
        <v>#VALUE!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str">
        <f t="shared" si="35"/>
        <v/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 t="s">
        <v>2717</v>
      </c>
      <c r="O93" s="39" t="s">
        <v>2717</v>
      </c>
      <c r="P93" s="39"/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e">
        <f t="shared" si="27"/>
        <v>#VALUE!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str">
        <f t="shared" si="35"/>
        <v/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 t="s">
        <v>2727</v>
      </c>
      <c r="O94" s="39" t="s">
        <v>2727</v>
      </c>
      <c r="P94" s="39"/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e">
        <f t="shared" si="27"/>
        <v>#VALUE!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str">
        <f t="shared" si="35"/>
        <v/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 t="s">
        <v>2717</v>
      </c>
      <c r="O95" s="39" t="s">
        <v>2717</v>
      </c>
      <c r="P95" s="39"/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e">
        <f t="shared" si="27"/>
        <v>#VALUE!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str">
        <f t="shared" si="35"/>
        <v/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/>
      <c r="K96" s="39" t="s">
        <v>2734</v>
      </c>
      <c r="L96" s="39" t="s">
        <v>2738</v>
      </c>
      <c r="M96" s="39" t="s">
        <v>2715</v>
      </c>
      <c r="N96" s="39" t="s">
        <v>2712</v>
      </c>
      <c r="O96" s="39" t="s">
        <v>2712</v>
      </c>
      <c r="P96" s="39"/>
      <c r="Q96" s="3" t="e">
        <f t="shared" si="19"/>
        <v>#VALUE!</v>
      </c>
      <c r="R96" s="3" t="str">
        <f t="shared" si="20"/>
        <v>H</v>
      </c>
      <c r="S96" s="3" t="e">
        <f t="shared" si="21"/>
        <v>#VALUE!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e">
        <f t="shared" si="27"/>
        <v>#VALUE!</v>
      </c>
      <c r="Z96" s="3" t="e">
        <f t="shared" si="28"/>
        <v>#VALUE!</v>
      </c>
      <c r="AA96" s="3" t="str">
        <f t="shared" si="29"/>
        <v/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str">
        <f t="shared" si="35"/>
        <v/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/>
      <c r="K97" s="39" t="s">
        <v>2715</v>
      </c>
      <c r="L97" s="39" t="s">
        <v>2713</v>
      </c>
      <c r="M97" s="39" t="s">
        <v>2713</v>
      </c>
      <c r="N97" s="39" t="s">
        <v>2717</v>
      </c>
      <c r="O97" s="39" t="s">
        <v>2717</v>
      </c>
      <c r="P97" s="39"/>
      <c r="Q97" s="3" t="e">
        <f t="shared" si="19"/>
        <v>#VALUE!</v>
      </c>
      <c r="R97" s="3" t="str">
        <f t="shared" si="20"/>
        <v>H</v>
      </c>
      <c r="S97" s="3" t="e">
        <f t="shared" si="21"/>
        <v>#VALUE!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e">
        <f t="shared" si="27"/>
        <v>#VALUE!</v>
      </c>
      <c r="Z97" s="3" t="e">
        <f t="shared" si="28"/>
        <v>#VALUE!</v>
      </c>
      <c r="AA97" s="3" t="str">
        <f t="shared" si="29"/>
        <v/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2783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7" workbookViewId="0">
      <selection activeCell="F53" sqref="F5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2793</v>
      </c>
      <c r="H3" s="3" t="s">
        <v>2793</v>
      </c>
      <c r="I3" s="3" t="s">
        <v>2793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2793</v>
      </c>
      <c r="H6" s="3" t="s">
        <v>2793</v>
      </c>
      <c r="I6" s="3" t="s">
        <v>2793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2793</v>
      </c>
      <c r="G7" s="3" t="s">
        <v>2793</v>
      </c>
      <c r="H7" s="3" t="s">
        <v>2793</v>
      </c>
      <c r="I7" s="3" t="s">
        <v>2793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2793</v>
      </c>
      <c r="H8" s="3" t="s">
        <v>2793</v>
      </c>
      <c r="I8" s="3" t="s">
        <v>2793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2793</v>
      </c>
      <c r="H9" s="3" t="s">
        <v>2793</v>
      </c>
      <c r="I9" s="3" t="s">
        <v>2793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2793</v>
      </c>
      <c r="H11" s="3" t="s">
        <v>2793</v>
      </c>
      <c r="I11" s="3" t="s">
        <v>2793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2793</v>
      </c>
      <c r="H17" s="3" t="s">
        <v>2793</v>
      </c>
      <c r="I17" s="3" t="s">
        <v>2793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2793</v>
      </c>
      <c r="H18" s="3" t="s">
        <v>2793</v>
      </c>
      <c r="I18" s="3" t="s">
        <v>2793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2793</v>
      </c>
      <c r="H19" s="3" t="s">
        <v>2793</v>
      </c>
      <c r="I19" s="3" t="s">
        <v>2793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2793</v>
      </c>
      <c r="H28" s="3" t="s">
        <v>2793</v>
      </c>
      <c r="I28" s="3" t="s">
        <v>2793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2793</v>
      </c>
      <c r="H29" s="3" t="s">
        <v>2793</v>
      </c>
      <c r="I29" s="3" t="s">
        <v>2793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2793</v>
      </c>
      <c r="H32" s="3" t="s">
        <v>2793</v>
      </c>
      <c r="I32" s="3" t="s">
        <v>2793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2793</v>
      </c>
      <c r="H34" s="3" t="s">
        <v>2793</v>
      </c>
      <c r="I34" s="3" t="s">
        <v>2793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2793</v>
      </c>
      <c r="H35" s="3" t="s">
        <v>2793</v>
      </c>
      <c r="I35" s="3" t="s">
        <v>2793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2793</v>
      </c>
      <c r="H42" s="3" t="s">
        <v>2793</v>
      </c>
      <c r="I42" s="3" t="s">
        <v>2793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2793</v>
      </c>
      <c r="H44" s="3" t="s">
        <v>2793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2793</v>
      </c>
      <c r="H47" s="3" t="s">
        <v>2793</v>
      </c>
      <c r="I47" s="3" t="s">
        <v>2793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43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37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40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12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2026-07-04T23:09:48Z</dcterms:modified>
  <cp:category/>
  <cp:contentStatus/>
</cp:coreProperties>
</file>