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250" documentId="8_{DE49DC6A-C840-492B-B227-19D455AF6A7E}" xr6:coauthVersionLast="47" xr6:coauthVersionMax="47" xr10:uidLastSave="{0D9F3A67-6C56-45A8-8D5C-2E9A310DFCC2}"/>
  <bookViews>
    <workbookView xWindow="-120" yWindow="-120" windowWidth="29040" windowHeight="15720" tabRatio="695" firstSheet="1" activeTab="8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Z10" i="20"/>
  <c r="S10" i="20"/>
  <c r="AA10" i="20"/>
  <c r="T10" i="20"/>
  <c r="AB10" i="20"/>
  <c r="U10" i="20"/>
  <c r="AC10" i="20"/>
  <c r="V10" i="20"/>
  <c r="AD10" i="20"/>
  <c r="W10" i="20"/>
  <c r="AE10" i="20"/>
  <c r="X10" i="20"/>
  <c r="AF10" i="20"/>
  <c r="R11" i="20"/>
  <c r="Z11" i="20"/>
  <c r="S11" i="20"/>
  <c r="AA11" i="20"/>
  <c r="T11" i="20"/>
  <c r="AB11" i="20"/>
  <c r="U11" i="20"/>
  <c r="AC11" i="20"/>
  <c r="V11" i="20"/>
  <c r="AD11" i="20"/>
  <c r="W11" i="20"/>
  <c r="AE11" i="20"/>
  <c r="X11" i="20"/>
  <c r="AF11" i="20"/>
  <c r="R12" i="20"/>
  <c r="Z12" i="20"/>
  <c r="S12" i="20"/>
  <c r="AA12" i="20"/>
  <c r="T12" i="20"/>
  <c r="AB12" i="20"/>
  <c r="U12" i="20"/>
  <c r="AC12" i="20"/>
  <c r="V12" i="20"/>
  <c r="AD12" i="20"/>
  <c r="W12" i="20"/>
  <c r="AE12" i="20"/>
  <c r="X12" i="20"/>
  <c r="AF12" i="20"/>
  <c r="R13" i="20"/>
  <c r="Z13" i="20"/>
  <c r="S13" i="20"/>
  <c r="AA13" i="20"/>
  <c r="T13" i="20"/>
  <c r="AB13" i="20"/>
  <c r="U13" i="20"/>
  <c r="AC13" i="20"/>
  <c r="V13" i="20"/>
  <c r="AD13" i="20"/>
  <c r="W13" i="20"/>
  <c r="AE13" i="20"/>
  <c r="X13" i="20"/>
  <c r="AF13" i="20"/>
  <c r="R14" i="20"/>
  <c r="Z14" i="20"/>
  <c r="S14" i="20"/>
  <c r="AA14" i="20"/>
  <c r="T14" i="20"/>
  <c r="AB14" i="20"/>
  <c r="U14" i="20"/>
  <c r="AC14" i="20"/>
  <c r="V14" i="20"/>
  <c r="AD14" i="20"/>
  <c r="W14" i="20"/>
  <c r="AE14" i="20"/>
  <c r="X14" i="20"/>
  <c r="AF14" i="20"/>
  <c r="R15" i="20"/>
  <c r="Z15" i="20"/>
  <c r="S15" i="20"/>
  <c r="AA15" i="20"/>
  <c r="T15" i="20"/>
  <c r="AB15" i="20"/>
  <c r="U15" i="20"/>
  <c r="AC15" i="20"/>
  <c r="V15" i="20"/>
  <c r="AD15" i="20"/>
  <c r="W15" i="20"/>
  <c r="AE15" i="20"/>
  <c r="X15" i="20"/>
  <c r="AF15" i="20"/>
  <c r="R16" i="20"/>
  <c r="Z16" i="20"/>
  <c r="S16" i="20"/>
  <c r="AA16" i="20"/>
  <c r="T16" i="20"/>
  <c r="AB16" i="20"/>
  <c r="U16" i="20"/>
  <c r="AC16" i="20"/>
  <c r="V16" i="20"/>
  <c r="AD16" i="20"/>
  <c r="W16" i="20"/>
  <c r="AE16" i="20"/>
  <c r="X16" i="20"/>
  <c r="AF16" i="20"/>
  <c r="R17" i="20"/>
  <c r="Z17" i="20"/>
  <c r="S17" i="20"/>
  <c r="AA17" i="20"/>
  <c r="T17" i="20"/>
  <c r="AB17" i="20"/>
  <c r="U17" i="20"/>
  <c r="AC17" i="20"/>
  <c r="V17" i="20"/>
  <c r="AD17" i="20"/>
  <c r="W17" i="20"/>
  <c r="AE17" i="20"/>
  <c r="X17" i="20"/>
  <c r="AF17" i="20"/>
  <c r="R18" i="20"/>
  <c r="Z18" i="20"/>
  <c r="S18" i="20"/>
  <c r="AA18" i="20"/>
  <c r="T18" i="20"/>
  <c r="AB18" i="20"/>
  <c r="U18" i="20"/>
  <c r="AC18" i="20"/>
  <c r="V18" i="20"/>
  <c r="AD18" i="20"/>
  <c r="W18" i="20"/>
  <c r="AE18" i="20"/>
  <c r="X18" i="20"/>
  <c r="AF18" i="20"/>
  <c r="R19" i="20"/>
  <c r="Z19" i="20"/>
  <c r="S19" i="20"/>
  <c r="AA19" i="20"/>
  <c r="T19" i="20"/>
  <c r="AB19" i="20"/>
  <c r="U19" i="20"/>
  <c r="AC19" i="20"/>
  <c r="V19" i="20"/>
  <c r="AD19" i="20"/>
  <c r="W19" i="20"/>
  <c r="AE19" i="20"/>
  <c r="X19" i="20"/>
  <c r="AF19" i="20"/>
  <c r="R20" i="20"/>
  <c r="Z20" i="20"/>
  <c r="S20" i="20"/>
  <c r="AA20" i="20"/>
  <c r="T20" i="20"/>
  <c r="AB20" i="20"/>
  <c r="U20" i="20"/>
  <c r="AC20" i="20"/>
  <c r="V20" i="20"/>
  <c r="AD20" i="20"/>
  <c r="W20" i="20"/>
  <c r="AE20" i="20"/>
  <c r="X20" i="20"/>
  <c r="AF20" i="20"/>
  <c r="Y20" i="20"/>
  <c r="AG20" i="20"/>
  <c r="R21" i="20"/>
  <c r="Z21" i="20"/>
  <c r="S21" i="20"/>
  <c r="AA21" i="20"/>
  <c r="T21" i="20"/>
  <c r="AB21" i="20"/>
  <c r="U21" i="20"/>
  <c r="AC21" i="20"/>
  <c r="V21" i="20"/>
  <c r="AD21" i="20"/>
  <c r="W21" i="20"/>
  <c r="AE21" i="20"/>
  <c r="X21" i="20"/>
  <c r="AF21" i="20"/>
  <c r="Y21" i="20"/>
  <c r="AG21" i="20"/>
  <c r="R22" i="20"/>
  <c r="Z22" i="20"/>
  <c r="S22" i="20"/>
  <c r="AA22" i="20"/>
  <c r="T22" i="20"/>
  <c r="AB22" i="20"/>
  <c r="U22" i="20"/>
  <c r="AC22" i="20"/>
  <c r="V22" i="20"/>
  <c r="AD22" i="20"/>
  <c r="W22" i="20"/>
  <c r="AE22" i="20"/>
  <c r="X22" i="20"/>
  <c r="AF22" i="20"/>
  <c r="Y22" i="20"/>
  <c r="AG22" i="20"/>
  <c r="R23" i="20"/>
  <c r="Z23" i="20"/>
  <c r="S23" i="20"/>
  <c r="AA23" i="20"/>
  <c r="T23" i="20"/>
  <c r="AB23" i="20"/>
  <c r="U23" i="20"/>
  <c r="AC23" i="20"/>
  <c r="V23" i="20"/>
  <c r="AD23" i="20"/>
  <c r="W23" i="20"/>
  <c r="AE23" i="20"/>
  <c r="X23" i="20"/>
  <c r="AF23" i="20"/>
  <c r="Y23" i="20"/>
  <c r="AG23" i="20"/>
  <c r="R24" i="20"/>
  <c r="Z24" i="20"/>
  <c r="S24" i="20"/>
  <c r="AA24" i="20"/>
  <c r="T24" i="20"/>
  <c r="AB24" i="20"/>
  <c r="U24" i="20"/>
  <c r="AC24" i="20"/>
  <c r="V24" i="20"/>
  <c r="AD24" i="20"/>
  <c r="W24" i="20"/>
  <c r="AE24" i="20"/>
  <c r="X24" i="20"/>
  <c r="AF24" i="20"/>
  <c r="Y24" i="20"/>
  <c r="AG24" i="20"/>
  <c r="R25" i="20"/>
  <c r="Z25" i="20"/>
  <c r="S25" i="20"/>
  <c r="AA25" i="20"/>
  <c r="T25" i="20"/>
  <c r="AB25" i="20"/>
  <c r="U25" i="20"/>
  <c r="AC25" i="20"/>
  <c r="V25" i="20"/>
  <c r="AD25" i="20"/>
  <c r="W25" i="20"/>
  <c r="AE25" i="20"/>
  <c r="X25" i="20"/>
  <c r="AF25" i="20"/>
  <c r="Y25" i="20"/>
  <c r="AG25" i="20"/>
  <c r="Z26" i="20"/>
  <c r="AB26" i="20"/>
  <c r="AC26" i="20"/>
  <c r="V26" i="20"/>
  <c r="AD26" i="20"/>
  <c r="W26" i="20"/>
  <c r="AE26" i="20"/>
  <c r="AF26" i="20"/>
  <c r="Z27" i="20"/>
  <c r="AB27" i="20"/>
  <c r="AC27" i="20"/>
  <c r="V27" i="20"/>
  <c r="AD27" i="20"/>
  <c r="W27" i="20"/>
  <c r="AE27" i="20"/>
  <c r="AF27" i="20"/>
  <c r="Z28" i="20"/>
  <c r="AB28" i="20"/>
  <c r="AC28" i="20"/>
  <c r="V28" i="20"/>
  <c r="AD28" i="20"/>
  <c r="W28" i="20"/>
  <c r="AE28" i="20"/>
  <c r="AF28" i="20"/>
  <c r="Z29" i="20"/>
  <c r="AB29" i="20"/>
  <c r="AC29" i="20"/>
  <c r="V29" i="20"/>
  <c r="AD29" i="20"/>
  <c r="W29" i="20"/>
  <c r="AE29" i="20"/>
  <c r="AF29" i="20"/>
  <c r="Z30" i="20"/>
  <c r="AB30" i="20"/>
  <c r="AC30" i="20"/>
  <c r="V30" i="20"/>
  <c r="AD30" i="20"/>
  <c r="W30" i="20"/>
  <c r="AE30" i="20"/>
  <c r="AF30" i="20"/>
  <c r="Z31" i="20"/>
  <c r="AB31" i="20"/>
  <c r="AC31" i="20"/>
  <c r="V31" i="20"/>
  <c r="AD31" i="20"/>
  <c r="W31" i="20"/>
  <c r="AE31" i="20"/>
  <c r="AF31" i="20"/>
  <c r="Z32" i="20"/>
  <c r="AB32" i="20"/>
  <c r="AC32" i="20"/>
  <c r="V32" i="20"/>
  <c r="AD32" i="20"/>
  <c r="W32" i="20"/>
  <c r="AE32" i="20"/>
  <c r="AF32" i="20"/>
  <c r="Z33" i="20"/>
  <c r="AB33" i="20"/>
  <c r="AC33" i="20"/>
  <c r="AD33" i="20"/>
  <c r="AE33" i="20"/>
  <c r="AF33" i="20"/>
  <c r="Z34" i="20"/>
  <c r="AB34" i="20"/>
  <c r="AC34" i="20"/>
  <c r="AD34" i="20"/>
  <c r="AE34" i="20"/>
  <c r="AF34" i="20"/>
  <c r="AG34" i="20"/>
  <c r="Z35" i="20"/>
  <c r="AB35" i="20"/>
  <c r="AC35" i="20"/>
  <c r="AD35" i="20"/>
  <c r="AE35" i="20"/>
  <c r="AF35" i="20"/>
  <c r="AG35" i="20"/>
  <c r="Z36" i="20"/>
  <c r="AB36" i="20"/>
  <c r="AC36" i="20"/>
  <c r="AD36" i="20"/>
  <c r="AE36" i="20"/>
  <c r="AF36" i="20"/>
  <c r="AG36" i="20"/>
  <c r="Z37" i="20"/>
  <c r="AB37" i="20"/>
  <c r="AC37" i="20"/>
  <c r="AD37" i="20"/>
  <c r="AE37" i="20"/>
  <c r="AF37" i="20"/>
  <c r="AG37" i="20"/>
  <c r="Z38" i="20"/>
  <c r="AB38" i="20"/>
  <c r="AC38" i="20"/>
  <c r="AD38" i="20"/>
  <c r="AE38" i="20"/>
  <c r="AF38" i="20"/>
  <c r="AG38" i="20"/>
  <c r="Z39" i="20"/>
  <c r="AB39" i="20"/>
  <c r="AC39" i="20"/>
  <c r="AD39" i="20"/>
  <c r="AE39" i="20"/>
  <c r="AF39" i="20"/>
  <c r="AG39" i="20"/>
  <c r="Z40" i="20"/>
  <c r="AB40" i="20"/>
  <c r="AC40" i="20"/>
  <c r="AD40" i="20"/>
  <c r="AE40" i="20"/>
  <c r="AF40" i="20"/>
  <c r="AG40" i="20"/>
  <c r="Z41" i="20"/>
  <c r="AB41" i="20"/>
  <c r="AC41" i="20"/>
  <c r="AD41" i="20"/>
  <c r="AE41" i="20"/>
  <c r="AF41" i="20"/>
  <c r="AG41" i="20"/>
  <c r="Z42" i="20"/>
  <c r="AB42" i="20"/>
  <c r="AC42" i="20"/>
  <c r="AD42" i="20"/>
  <c r="AE42" i="20"/>
  <c r="AF42" i="20"/>
  <c r="AG42" i="20"/>
  <c r="Z43" i="20"/>
  <c r="AB43" i="20"/>
  <c r="AC43" i="20"/>
  <c r="AD43" i="20"/>
  <c r="AE43" i="20"/>
  <c r="AF43" i="20"/>
  <c r="AG43" i="20"/>
  <c r="Z44" i="20"/>
  <c r="AB44" i="20"/>
  <c r="AC44" i="20"/>
  <c r="AD44" i="20"/>
  <c r="AE44" i="20"/>
  <c r="AF44" i="20"/>
  <c r="AG44" i="20"/>
  <c r="Z45" i="20"/>
  <c r="AB45" i="20"/>
  <c r="AC45" i="20"/>
  <c r="AD45" i="20"/>
  <c r="AE45" i="20"/>
  <c r="AF45" i="20"/>
  <c r="AG45" i="20"/>
  <c r="Z46" i="20"/>
  <c r="AB46" i="20"/>
  <c r="AC46" i="20"/>
  <c r="AD46" i="20"/>
  <c r="AE46" i="20"/>
  <c r="AF46" i="20"/>
  <c r="AG46" i="20"/>
  <c r="Z47" i="20"/>
  <c r="AB47" i="20"/>
  <c r="AC47" i="20"/>
  <c r="AD47" i="20"/>
  <c r="AE47" i="20"/>
  <c r="AF47" i="20"/>
  <c r="AG47" i="20"/>
  <c r="Z48" i="20"/>
  <c r="AB48" i="20"/>
  <c r="AC48" i="20"/>
  <c r="AD48" i="20"/>
  <c r="AE48" i="20"/>
  <c r="AF48" i="20"/>
  <c r="AG48" i="20"/>
  <c r="Z49" i="20"/>
  <c r="AB49" i="20"/>
  <c r="AC49" i="20"/>
  <c r="AD49" i="20"/>
  <c r="AE49" i="20"/>
  <c r="AF49" i="20"/>
  <c r="AG49" i="20"/>
  <c r="Z50" i="20"/>
  <c r="AA50" i="20"/>
  <c r="AB50" i="20"/>
  <c r="AC50" i="20"/>
  <c r="AD50" i="20"/>
  <c r="AE50" i="20"/>
  <c r="AF50" i="20"/>
  <c r="AG50" i="20"/>
  <c r="Z51" i="20"/>
  <c r="AA51" i="20"/>
  <c r="AB51" i="20"/>
  <c r="AC51" i="20"/>
  <c r="AD51" i="20"/>
  <c r="AE51" i="20"/>
  <c r="AF51" i="20"/>
  <c r="AG51" i="20"/>
  <c r="Z52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Z54" i="20"/>
  <c r="AA54" i="20"/>
  <c r="AB54" i="20"/>
  <c r="AC54" i="20"/>
  <c r="AD54" i="20"/>
  <c r="AE54" i="20"/>
  <c r="AF54" i="20"/>
  <c r="AG54" i="20"/>
  <c r="Z55" i="20"/>
  <c r="AA55" i="20"/>
  <c r="AB55" i="20"/>
  <c r="AC55" i="20"/>
  <c r="AD55" i="20"/>
  <c r="AE55" i="20"/>
  <c r="AF55" i="20"/>
  <c r="AG55" i="20"/>
  <c r="Z56" i="20"/>
  <c r="AA56" i="20"/>
  <c r="AB56" i="20"/>
  <c r="AC56" i="20"/>
  <c r="AD56" i="20"/>
  <c r="AE56" i="20"/>
  <c r="AF56" i="20"/>
  <c r="AG56" i="20"/>
  <c r="Z57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Z59" i="20"/>
  <c r="AA59" i="20"/>
  <c r="AB59" i="20"/>
  <c r="AC59" i="20"/>
  <c r="AD59" i="20"/>
  <c r="AE59" i="20"/>
  <c r="AF59" i="20"/>
  <c r="AG59" i="20"/>
  <c r="Z60" i="20"/>
  <c r="AA60" i="20"/>
  <c r="AB60" i="20"/>
  <c r="AC60" i="20"/>
  <c r="AD60" i="20"/>
  <c r="AE60" i="20"/>
  <c r="AF60" i="20"/>
  <c r="AG60" i="20"/>
  <c r="Z61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Z64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Z67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Z70" i="20"/>
  <c r="AA70" i="20"/>
  <c r="AB70" i="20"/>
  <c r="AC70" i="20"/>
  <c r="AD70" i="20"/>
  <c r="AE70" i="20"/>
  <c r="AF70" i="20"/>
  <c r="AG70" i="20"/>
  <c r="Z71" i="20"/>
  <c r="AA71" i="20"/>
  <c r="AB71" i="20"/>
  <c r="AC71" i="20"/>
  <c r="AD71" i="20"/>
  <c r="AE71" i="20"/>
  <c r="AF71" i="20"/>
  <c r="AG71" i="20"/>
  <c r="Z72" i="20"/>
  <c r="AA72" i="20"/>
  <c r="AB72" i="20"/>
  <c r="AC72" i="20"/>
  <c r="AD72" i="20"/>
  <c r="AE72" i="20"/>
  <c r="AF72" i="20"/>
  <c r="AG72" i="20"/>
  <c r="Z73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AG15" i="20"/>
  <c r="Y16" i="20"/>
  <c r="AG16" i="20"/>
  <c r="Y17" i="20"/>
  <c r="AG17" i="20"/>
  <c r="Y18" i="20"/>
  <c r="AG18" i="20"/>
  <c r="Y19" i="20"/>
  <c r="AG19" i="20"/>
  <c r="R26" i="20"/>
  <c r="S26" i="20"/>
  <c r="AA26" i="20" s="1"/>
  <c r="T26" i="20"/>
  <c r="U26" i="20"/>
  <c r="X26" i="20"/>
  <c r="Y26" i="20"/>
  <c r="AG26" i="20" s="1"/>
  <c r="R27" i="20"/>
  <c r="S27" i="20"/>
  <c r="AA27" i="20" s="1"/>
  <c r="T27" i="20"/>
  <c r="U27" i="20"/>
  <c r="X27" i="20"/>
  <c r="Y27" i="20"/>
  <c r="AG27" i="20" s="1"/>
  <c r="R28" i="20"/>
  <c r="S28" i="20"/>
  <c r="AA28" i="20" s="1"/>
  <c r="T28" i="20"/>
  <c r="U28" i="20"/>
  <c r="X28" i="20"/>
  <c r="Y28" i="20"/>
  <c r="AG28" i="20" s="1"/>
  <c r="R29" i="20"/>
  <c r="S29" i="20"/>
  <c r="AA29" i="20" s="1"/>
  <c r="T29" i="20"/>
  <c r="U29" i="20"/>
  <c r="X29" i="20"/>
  <c r="Y29" i="20"/>
  <c r="AG29" i="20" s="1"/>
  <c r="R30" i="20"/>
  <c r="S30" i="20"/>
  <c r="AA30" i="20" s="1"/>
  <c r="T30" i="20"/>
  <c r="U30" i="20"/>
  <c r="X30" i="20"/>
  <c r="Y30" i="20"/>
  <c r="AG30" i="20" s="1"/>
  <c r="R31" i="20"/>
  <c r="S31" i="20"/>
  <c r="AA31" i="20" s="1"/>
  <c r="T31" i="20"/>
  <c r="U31" i="20"/>
  <c r="X31" i="20"/>
  <c r="Y31" i="20"/>
  <c r="AG31" i="20" s="1"/>
  <c r="R32" i="20"/>
  <c r="S32" i="20"/>
  <c r="AA32" i="20" s="1"/>
  <c r="T32" i="20"/>
  <c r="U32" i="20"/>
  <c r="X32" i="20"/>
  <c r="Y32" i="20"/>
  <c r="AG32" i="20" s="1"/>
  <c r="R33" i="20"/>
  <c r="S33" i="20"/>
  <c r="AA33" i="20" s="1"/>
  <c r="T33" i="20"/>
  <c r="U33" i="20"/>
  <c r="V33" i="20"/>
  <c r="W33" i="20"/>
  <c r="X33" i="20"/>
  <c r="Y33" i="20"/>
  <c r="AG33" i="20" s="1"/>
  <c r="R34" i="20"/>
  <c r="S34" i="20"/>
  <c r="AA34" i="20" s="1"/>
  <c r="T34" i="20"/>
  <c r="U34" i="20"/>
  <c r="V34" i="20"/>
  <c r="W34" i="20"/>
  <c r="X34" i="20"/>
  <c r="Y34" i="20"/>
  <c r="R35" i="20"/>
  <c r="S35" i="20"/>
  <c r="AA35" i="20" s="1"/>
  <c r="T35" i="20"/>
  <c r="U35" i="20"/>
  <c r="V35" i="20"/>
  <c r="W35" i="20"/>
  <c r="X35" i="20"/>
  <c r="Y35" i="20"/>
  <c r="R36" i="20"/>
  <c r="S36" i="20"/>
  <c r="AA36" i="20" s="1"/>
  <c r="T36" i="20"/>
  <c r="U36" i="20"/>
  <c r="V36" i="20"/>
  <c r="W36" i="20"/>
  <c r="X36" i="20"/>
  <c r="Y36" i="20"/>
  <c r="R37" i="20"/>
  <c r="S37" i="20"/>
  <c r="AA37" i="20" s="1"/>
  <c r="T37" i="20"/>
  <c r="U37" i="20"/>
  <c r="V37" i="20"/>
  <c r="W37" i="20"/>
  <c r="X37" i="20"/>
  <c r="Y37" i="20"/>
  <c r="R38" i="20"/>
  <c r="S38" i="20"/>
  <c r="AA38" i="20" s="1"/>
  <c r="T38" i="20"/>
  <c r="U38" i="20"/>
  <c r="V38" i="20"/>
  <c r="W38" i="20"/>
  <c r="X38" i="20"/>
  <c r="Y38" i="20"/>
  <c r="R39" i="20"/>
  <c r="S39" i="20"/>
  <c r="AA39" i="20" s="1"/>
  <c r="T39" i="20"/>
  <c r="U39" i="20"/>
  <c r="V39" i="20"/>
  <c r="W39" i="20"/>
  <c r="X39" i="20"/>
  <c r="Y39" i="20"/>
  <c r="R40" i="20"/>
  <c r="S40" i="20"/>
  <c r="AA40" i="20" s="1"/>
  <c r="T40" i="20"/>
  <c r="U40" i="20"/>
  <c r="V40" i="20"/>
  <c r="W40" i="20"/>
  <c r="X40" i="20"/>
  <c r="Y40" i="20"/>
  <c r="R41" i="20"/>
  <c r="S41" i="20"/>
  <c r="AA41" i="20" s="1"/>
  <c r="T41" i="20"/>
  <c r="U41" i="20"/>
  <c r="V41" i="20"/>
  <c r="W41" i="20"/>
  <c r="X41" i="20"/>
  <c r="Y41" i="20"/>
  <c r="R42" i="20"/>
  <c r="S42" i="20"/>
  <c r="AA42" i="20" s="1"/>
  <c r="T42" i="20"/>
  <c r="U42" i="20"/>
  <c r="V42" i="20"/>
  <c r="W42" i="20"/>
  <c r="X42" i="20"/>
  <c r="Y42" i="20"/>
  <c r="R43" i="20"/>
  <c r="S43" i="20"/>
  <c r="AA43" i="20" s="1"/>
  <c r="T43" i="20"/>
  <c r="U43" i="20"/>
  <c r="V43" i="20"/>
  <c r="W43" i="20"/>
  <c r="X43" i="20"/>
  <c r="Y43" i="20"/>
  <c r="R44" i="20"/>
  <c r="S44" i="20"/>
  <c r="AA44" i="20" s="1"/>
  <c r="T44" i="20"/>
  <c r="U44" i="20"/>
  <c r="V44" i="20"/>
  <c r="W44" i="20"/>
  <c r="X44" i="20"/>
  <c r="Y44" i="20"/>
  <c r="R45" i="20"/>
  <c r="S45" i="20"/>
  <c r="AA45" i="20" s="1"/>
  <c r="T45" i="20"/>
  <c r="U45" i="20"/>
  <c r="V45" i="20"/>
  <c r="W45" i="20"/>
  <c r="X45" i="20"/>
  <c r="Y45" i="20"/>
  <c r="R46" i="20"/>
  <c r="S46" i="20"/>
  <c r="AA46" i="20" s="1"/>
  <c r="T46" i="20"/>
  <c r="U46" i="20"/>
  <c r="V46" i="20"/>
  <c r="W46" i="20"/>
  <c r="X46" i="20"/>
  <c r="Y46" i="20"/>
  <c r="R47" i="20"/>
  <c r="S47" i="20"/>
  <c r="AA47" i="20" s="1"/>
  <c r="T47" i="20"/>
  <c r="U47" i="20"/>
  <c r="V47" i="20"/>
  <c r="W47" i="20"/>
  <c r="X47" i="20"/>
  <c r="Y47" i="20"/>
  <c r="R48" i="20"/>
  <c r="S48" i="20"/>
  <c r="AA48" i="20" s="1"/>
  <c r="T48" i="20"/>
  <c r="U48" i="20"/>
  <c r="V48" i="20"/>
  <c r="W48" i="20"/>
  <c r="X48" i="20"/>
  <c r="Y48" i="20"/>
  <c r="R49" i="20"/>
  <c r="S49" i="20"/>
  <c r="AA49" i="20" s="1"/>
  <c r="T49" i="20"/>
  <c r="U49" i="20"/>
  <c r="V49" i="20"/>
  <c r="W49" i="20"/>
  <c r="X49" i="20"/>
  <c r="Y49" i="20"/>
  <c r="R50" i="20"/>
  <c r="S50" i="20"/>
  <c r="T50" i="20"/>
  <c r="U50" i="20"/>
  <c r="V50" i="20"/>
  <c r="W50" i="20"/>
  <c r="X50" i="20"/>
  <c r="Y50" i="20"/>
  <c r="R51" i="20"/>
  <c r="S51" i="20"/>
  <c r="T51" i="20"/>
  <c r="U51" i="20"/>
  <c r="V51" i="20"/>
  <c r="W51" i="20"/>
  <c r="X51" i="20"/>
  <c r="Y51" i="20"/>
  <c r="R52" i="20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S54" i="20"/>
  <c r="T54" i="20"/>
  <c r="U54" i="20"/>
  <c r="V54" i="20"/>
  <c r="W54" i="20"/>
  <c r="X54" i="20"/>
  <c r="Y54" i="20"/>
  <c r="R55" i="20"/>
  <c r="S55" i="20"/>
  <c r="T55" i="20"/>
  <c r="U55" i="20"/>
  <c r="V55" i="20"/>
  <c r="W55" i="20"/>
  <c r="X55" i="20"/>
  <c r="Y55" i="20"/>
  <c r="R56" i="20"/>
  <c r="S56" i="20"/>
  <c r="T56" i="20"/>
  <c r="U56" i="20"/>
  <c r="V56" i="20"/>
  <c r="W56" i="20"/>
  <c r="X56" i="20"/>
  <c r="Y56" i="20"/>
  <c r="R57" i="20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S59" i="20"/>
  <c r="T59" i="20"/>
  <c r="U59" i="20"/>
  <c r="V59" i="20"/>
  <c r="W59" i="20"/>
  <c r="X59" i="20"/>
  <c r="Y59" i="20"/>
  <c r="R60" i="20"/>
  <c r="S60" i="20"/>
  <c r="T60" i="20"/>
  <c r="U60" i="20"/>
  <c r="V60" i="20"/>
  <c r="W60" i="20"/>
  <c r="X60" i="20"/>
  <c r="Y60" i="20"/>
  <c r="R61" i="20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S70" i="20"/>
  <c r="T70" i="20"/>
  <c r="U70" i="20"/>
  <c r="V70" i="20"/>
  <c r="W70" i="20"/>
  <c r="X70" i="20"/>
  <c r="Y70" i="20"/>
  <c r="R71" i="20"/>
  <c r="S71" i="20"/>
  <c r="T71" i="20"/>
  <c r="U71" i="20"/>
  <c r="V71" i="20"/>
  <c r="W71" i="20"/>
  <c r="X71" i="20"/>
  <c r="Y71" i="20"/>
  <c r="R72" i="20"/>
  <c r="S72" i="20"/>
  <c r="T72" i="20"/>
  <c r="U72" i="20"/>
  <c r="V72" i="20"/>
  <c r="W72" i="20"/>
  <c r="X72" i="20"/>
  <c r="Y72" i="20"/>
  <c r="R73" i="20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F33" i="9"/>
  <c r="G33" i="9" s="1"/>
  <c r="F34" i="9"/>
  <c r="G34" i="9" s="1"/>
  <c r="F35" i="9"/>
  <c r="G35" i="9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F45" i="9"/>
  <c r="G45" i="9" s="1"/>
  <c r="F46" i="9"/>
  <c r="G46" i="9" s="1"/>
  <c r="F47" i="9"/>
  <c r="G47" i="9" s="1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 s="1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 s="1"/>
  <c r="F3" i="2"/>
  <c r="H4" i="3" s="1"/>
  <c r="G3" i="2"/>
  <c r="N5" i="10" s="1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 s="1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 s="1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 s="1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 s="1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 s="1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 s="1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 s="1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 s="1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 s="1"/>
  <c r="G47" i="2"/>
  <c r="O9" i="3" s="1"/>
  <c r="F48" i="2"/>
  <c r="D9" i="3" s="1"/>
  <c r="G48" i="2"/>
  <c r="C9" i="3" s="1"/>
  <c r="F49" i="2"/>
  <c r="H9" i="3" s="1"/>
  <c r="G49" i="2"/>
  <c r="G9" i="3" s="1"/>
  <c r="F50" i="2"/>
  <c r="H35" i="3" s="1"/>
  <c r="G50" i="2"/>
  <c r="G35" i="3" s="1"/>
  <c r="F51" i="2"/>
  <c r="D35" i="3" s="1"/>
  <c r="G51" i="2"/>
  <c r="C35" i="3" s="1"/>
  <c r="F52" i="2"/>
  <c r="P35" i="3" s="1"/>
  <c r="G52" i="2"/>
  <c r="O35" i="3" s="1"/>
  <c r="F53" i="2"/>
  <c r="L35" i="3" s="1"/>
  <c r="G53" i="2"/>
  <c r="K35" i="3" s="1"/>
  <c r="F54" i="2"/>
  <c r="H10" i="3" s="1"/>
  <c r="G54" i="2"/>
  <c r="G10" i="3" s="1"/>
  <c r="F55" i="2"/>
  <c r="D10" i="3" s="1"/>
  <c r="G55" i="2"/>
  <c r="C10" i="3" s="1"/>
  <c r="F56" i="2"/>
  <c r="P10" i="3" s="1"/>
  <c r="G56" i="2"/>
  <c r="O10" i="3" s="1"/>
  <c r="F57" i="2"/>
  <c r="L10" i="3" s="1"/>
  <c r="G57" i="2"/>
  <c r="K10" i="3" s="1"/>
  <c r="F58" i="2"/>
  <c r="L11" i="3" s="1"/>
  <c r="G58" i="2"/>
  <c r="K11" i="3" s="1"/>
  <c r="F59" i="2"/>
  <c r="P11" i="3" s="1"/>
  <c r="G59" i="2"/>
  <c r="O11" i="3" s="1"/>
  <c r="F60" i="2"/>
  <c r="D11" i="3" s="1"/>
  <c r="G60" i="2"/>
  <c r="C11" i="3" s="1"/>
  <c r="F61" i="2"/>
  <c r="H11" i="3" s="1"/>
  <c r="G61" i="2"/>
  <c r="G11" i="3" s="1"/>
  <c r="F62" i="2"/>
  <c r="L36" i="3" s="1"/>
  <c r="G62" i="2"/>
  <c r="K36" i="3" s="1"/>
  <c r="F63" i="2"/>
  <c r="P36" i="3" s="1"/>
  <c r="G63" i="2"/>
  <c r="O36" i="3" s="1"/>
  <c r="F64" i="2"/>
  <c r="D36" i="3" s="1"/>
  <c r="G64" i="2"/>
  <c r="C36" i="3" s="1"/>
  <c r="F65" i="2"/>
  <c r="H36" i="3" s="1"/>
  <c r="G65" i="2"/>
  <c r="G36" i="3" s="1"/>
  <c r="F66" i="2"/>
  <c r="L12" i="3" s="1"/>
  <c r="G66" i="2"/>
  <c r="K12" i="3" s="1"/>
  <c r="F67" i="2"/>
  <c r="P12" i="3" s="1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 s="1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 s="1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C23" i="3" l="1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 l="1"/>
  <c r="G24" i="3"/>
  <c r="G23" i="3"/>
  <c r="G25" i="3"/>
</calcChain>
</file>

<file path=xl/sharedStrings.xml><?xml version="1.0" encoding="utf-8"?>
<sst xmlns="http://schemas.openxmlformats.org/spreadsheetml/2006/main" count="15536" uniqueCount="2834">
  <si>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</si>
  <si>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</si>
  <si>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</si>
  <si>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</si>
  <si>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</si>
  <si>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</si>
  <si>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</si>
  <si>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</si>
  <si>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</si>
  <si>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</si>
  <si>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</si>
  <si>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</si>
  <si>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</si>
  <si>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</si>
  <si>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</si>
  <si>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</si>
  <si>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</si>
  <si>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</si>
  <si>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</si>
  <si>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</si>
  <si>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</si>
  <si>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</si>
  <si>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</si>
  <si>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</si>
  <si>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</si>
  <si>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</si>
  <si>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</si>
  <si>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</si>
  <si>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</si>
  <si>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</si>
  <si>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</si>
  <si>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</si>
  <si>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</si>
  <si>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</si>
  <si>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</si>
  <si>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</si>
  <si>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</si>
  <si>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</si>
  <si>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</si>
  <si>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</si>
  <si>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</si>
  <si>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</si>
  <si>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</si>
  <si>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</si>
  <si>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</si>
  <si>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</si>
  <si>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</si>
  <si>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</si>
  <si>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</si>
  <si>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</si>
  <si>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</si>
  <si>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</si>
  <si>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</si>
  <si>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</si>
  <si>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</si>
  <si>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</si>
  <si>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</si>
  <si>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</si>
  <si>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</si>
  <si>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</si>
  <si>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</si>
  <si>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</si>
  <si>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</si>
  <si>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</si>
  <si>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</si>
  <si>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</si>
  <si>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</si>
  <si>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</si>
  <si>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</si>
  <si>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</si>
  <si>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</si>
  <si>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</si>
  <si>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</si>
  <si>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</si>
  <si>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</si>
  <si>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</si>
  <si>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</si>
  <si>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</si>
  <si>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</si>
  <si>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</si>
  <si>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</si>
  <si>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</si>
  <si>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</si>
  <si>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</si>
  <si>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</si>
  <si>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</si>
  <si>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</si>
  <si>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</si>
  <si>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</si>
  <si>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</si>
  <si>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</si>
  <si>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</si>
  <si>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</si>
  <si>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</si>
  <si>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</si>
  <si>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</si>
  <si>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</si>
  <si>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</si>
  <si>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</si>
  <si>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</si>
  <si>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</si>
  <si>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</si>
  <si>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</si>
  <si>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</si>
  <si>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</si>
  <si>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</si>
  <si>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</si>
  <si>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</si>
  <si>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</si>
  <si>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</si>
  <si>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</si>
  <si>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</si>
  <si>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</si>
  <si>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</si>
  <si>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</si>
  <si>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</si>
  <si>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</si>
  <si>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</si>
  <si>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</si>
  <si>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</si>
  <si>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</si>
  <si>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</si>
  <si>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</si>
  <si>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</si>
  <si>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</si>
  <si>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</si>
  <si>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</si>
  <si>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</si>
  <si>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</si>
  <si>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</si>
  <si>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</si>
  <si>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</si>
  <si>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</si>
  <si>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</si>
  <si>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</si>
  <si>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</si>
  <si>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</si>
  <si>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</si>
  <si>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</si>
  <si>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</si>
  <si>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</si>
  <si>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</si>
  <si>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</si>
  <si>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</si>
  <si>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</si>
  <si>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</si>
  <si>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</si>
  <si>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</si>
  <si>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</si>
  <si>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</si>
  <si>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</si>
  <si>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</si>
  <si>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</si>
  <si>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</si>
  <si>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</si>
  <si>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</si>
  <si>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</si>
  <si>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</si>
  <si>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</si>
  <si>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</si>
  <si>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</si>
  <si>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</si>
  <si>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</si>
  <si>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</si>
  <si>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</si>
  <si>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</si>
  <si>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</si>
  <si>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</si>
  <si>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</si>
  <si>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</si>
  <si>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</si>
  <si>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</si>
  <si>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</si>
  <si>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</si>
  <si>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</si>
  <si>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</si>
  <si>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</si>
  <si>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</si>
  <si>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</si>
  <si>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</si>
  <si>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</si>
  <si>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</si>
  <si>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</si>
  <si>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</si>
  <si>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</si>
  <si>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</si>
  <si>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</si>
  <si>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</si>
  <si>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</si>
  <si>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</si>
  <si>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</si>
  <si>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</si>
  <si>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</si>
  <si>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</si>
  <si>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</si>
  <si>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</si>
  <si>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</si>
  <si>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</si>
  <si>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</si>
  <si>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</si>
  <si>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</si>
  <si>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</si>
  <si>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</si>
  <si>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</si>
  <si>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</si>
  <si>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</si>
  <si>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</si>
  <si>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</si>
  <si>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</si>
  <si>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</si>
  <si>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</si>
  <si>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</si>
  <si>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</si>
  <si>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</si>
  <si>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</si>
  <si>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</si>
  <si>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</si>
  <si>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</si>
  <si>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</si>
  <si>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</si>
  <si>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</si>
  <si>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</si>
  <si>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</si>
  <si>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</si>
  <si>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</si>
  <si>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</si>
  <si>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</si>
  <si>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</si>
  <si>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</si>
  <si>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</si>
  <si>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</si>
  <si>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</si>
  <si>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</si>
  <si>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</si>
  <si>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</si>
  <si>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</si>
  <si>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</si>
  <si>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</si>
  <si>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</si>
  <si>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</si>
  <si>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</si>
  <si>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</si>
  <si>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</si>
  <si>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</si>
  <si>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</si>
  <si>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</si>
  <si>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</si>
  <si>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</si>
  <si>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</si>
  <si>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</si>
  <si>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</si>
  <si>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</si>
  <si>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</si>
  <si>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</si>
  <si>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</si>
  <si>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</si>
  <si>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</si>
  <si>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</si>
  <si>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</si>
  <si>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</si>
  <si>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</si>
  <si>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</si>
  <si>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</si>
  <si>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</si>
  <si>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</si>
  <si>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</si>
  <si>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</si>
  <si>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</si>
  <si>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</si>
  <si>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</si>
  <si>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</si>
  <si>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</si>
  <si>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</si>
  <si>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</si>
  <si>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</si>
  <si>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</si>
  <si>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</si>
  <si>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</si>
  <si>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</si>
  <si>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</si>
  <si>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</si>
  <si>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</si>
  <si>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</si>
  <si>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</si>
  <si>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</si>
  <si>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</si>
  <si>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</si>
  <si>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</si>
  <si>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</si>
  <si>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</si>
  <si>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</si>
  <si>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</si>
  <si>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</si>
  <si>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</si>
  <si>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</si>
  <si>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</si>
  <si>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</si>
  <si>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</si>
  <si>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</si>
  <si>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</si>
  <si>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</si>
  <si>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</si>
  <si>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</si>
  <si>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</si>
  <si>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</si>
  <si>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</si>
  <si>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</si>
  <si>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</si>
  <si>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</si>
  <si>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</si>
  <si>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</si>
  <si>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</si>
  <si>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</si>
  <si>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</si>
  <si>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</si>
  <si>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</si>
  <si>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</si>
  <si>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</si>
  <si>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</si>
  <si>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</si>
  <si>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</si>
  <si>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</si>
  <si>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</si>
  <si>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</si>
  <si>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</si>
  <si>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</si>
  <si>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</si>
  <si>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</si>
  <si>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</si>
  <si>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</si>
  <si>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</si>
  <si>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</si>
  <si>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</si>
  <si>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</si>
  <si>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</si>
  <si>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</si>
  <si>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</si>
  <si>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</si>
  <si>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</si>
  <si>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</si>
  <si>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</si>
  <si>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</si>
  <si>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</si>
  <si>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</si>
  <si>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</si>
  <si>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</si>
  <si>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</si>
  <si>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</si>
  <si>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</si>
  <si>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</si>
  <si>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</si>
  <si>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</si>
  <si>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</si>
  <si>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</si>
  <si>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</si>
  <si>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</si>
  <si>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</si>
  <si>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</si>
  <si>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</si>
  <si>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</si>
  <si>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</si>
  <si>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</si>
  <si>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</si>
  <si>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</si>
  <si>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</si>
  <si>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</si>
  <si>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</si>
  <si>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</si>
  <si>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</si>
  <si>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</si>
  <si>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</si>
  <si>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</si>
  <si>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</si>
  <si>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</si>
  <si>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</si>
  <si>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</si>
  <si>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</si>
  <si>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</si>
  <si>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</si>
  <si>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</si>
  <si>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</si>
  <si>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</si>
  <si>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</si>
  <si>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</si>
  <si>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</si>
  <si>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</si>
  <si>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</si>
  <si>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</si>
  <si>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</si>
  <si>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</si>
  <si>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</si>
  <si>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</si>
  <si>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</si>
  <si>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</si>
  <si>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</si>
  <si>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</si>
  <si>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</si>
  <si>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</si>
  <si>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</si>
  <si>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</si>
  <si>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</si>
  <si>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</si>
  <si>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</si>
  <si>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</si>
  <si>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</si>
  <si>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</si>
  <si>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</si>
  <si>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</si>
  <si>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</si>
  <si>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</si>
  <si>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</si>
  <si>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</si>
  <si>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</si>
  <si>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</si>
  <si>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</si>
  <si>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</si>
  <si>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</si>
  <si>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</si>
  <si>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</si>
  <si>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</si>
  <si>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</si>
  <si>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</si>
  <si>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</si>
  <si>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</si>
  <si>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</si>
  <si>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</si>
  <si>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</si>
  <si>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</si>
  <si>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</si>
  <si>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</si>
  <si>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</si>
  <si>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</si>
  <si>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</si>
  <si>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</si>
  <si>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</si>
  <si>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</si>
  <si>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</si>
  <si>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</si>
  <si>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</si>
  <si>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</si>
  <si>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</si>
  <si>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</si>
  <si>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</si>
  <si>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</si>
  <si>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</si>
  <si>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</si>
  <si>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</si>
  <si>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</si>
  <si>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</si>
  <si>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</si>
  <si>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</si>
  <si>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</si>
  <si>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</si>
  <si>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</si>
  <si>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</si>
  <si>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</si>
  <si>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</si>
  <si>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</si>
  <si>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</si>
  <si>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</si>
  <si>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</si>
  <si>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</si>
  <si>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</si>
  <si>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</si>
  <si>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</si>
  <si>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</si>
  <si>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</si>
  <si>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</si>
  <si>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</si>
  <si>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</si>
  <si>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</si>
  <si>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</si>
  <si>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</si>
  <si>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</si>
  <si>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</si>
  <si>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</si>
  <si>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</si>
  <si>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</si>
  <si>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</si>
  <si>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</si>
  <si>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</si>
  <si>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</si>
  <si>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</si>
  <si>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</si>
  <si>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</si>
  <si>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</si>
  <si>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</si>
  <si>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</si>
  <si>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</si>
  <si>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</si>
  <si>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</si>
  <si>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</si>
  <si>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</si>
  <si>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</si>
  <si>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</si>
  <si>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</si>
  <si>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</si>
  <si>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</si>
  <si>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</si>
  <si>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</si>
  <si>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</si>
  <si>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</si>
  <si>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</si>
  <si>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</si>
  <si>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</si>
  <si>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</si>
  <si>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</si>
  <si>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</si>
  <si>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</si>
  <si>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</si>
  <si>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</si>
  <si>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</si>
  <si>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</si>
  <si>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</si>
  <si>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</si>
  <si>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</si>
  <si>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</si>
  <si>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</si>
  <si>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</si>
  <si>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</si>
  <si>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</si>
  <si>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</si>
  <si>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</si>
  <si>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</si>
  <si>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</si>
  <si>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</si>
  <si>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</si>
  <si>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</si>
  <si>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</si>
  <si>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</si>
  <si>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</si>
  <si>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</si>
  <si>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</si>
  <si>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</si>
  <si>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</si>
  <si>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</si>
  <si>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</si>
  <si>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</si>
  <si>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</si>
  <si>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</si>
  <si>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</si>
  <si>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</si>
  <si>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</si>
  <si>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</si>
  <si>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</si>
  <si>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</si>
  <si>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</si>
  <si>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</si>
  <si>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</si>
  <si>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</si>
  <si>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</si>
  <si>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</si>
  <si>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</si>
  <si>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</si>
  <si>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</si>
  <si>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</si>
  <si>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</si>
  <si>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</si>
  <si>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</si>
  <si>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</si>
  <si>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</si>
  <si>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</si>
  <si>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</si>
  <si>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</si>
  <si>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</si>
  <si>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</si>
  <si>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</si>
  <si>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</si>
  <si>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</si>
  <si>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</si>
  <si>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</si>
  <si>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</si>
  <si>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</si>
  <si>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</si>
  <si>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</si>
  <si>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</si>
  <si>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</si>
  <si>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</si>
  <si>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</si>
  <si>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</si>
  <si>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</si>
  <si>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</si>
  <si>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</si>
  <si>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</si>
  <si>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</si>
  <si>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</si>
  <si>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</si>
  <si>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</si>
  <si>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</si>
  <si>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</si>
  <si>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</si>
  <si>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</si>
  <si>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</si>
  <si>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</si>
  <si>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</si>
  <si>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</si>
  <si>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</si>
  <si>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</si>
  <si>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</si>
  <si>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</si>
  <si>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</si>
  <si>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</si>
  <si>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</si>
  <si>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</si>
  <si>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</si>
  <si>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</si>
  <si>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</si>
  <si>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</si>
  <si>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</si>
  <si>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</si>
  <si>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</si>
  <si>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</si>
  <si>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</si>
  <si>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</si>
  <si>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</si>
  <si>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</si>
  <si>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</si>
  <si>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</si>
  <si>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</si>
  <si>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</si>
  <si>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</si>
  <si>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</si>
  <si>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</si>
  <si>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</si>
  <si>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</si>
  <si>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</si>
  <si>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</si>
  <si>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</si>
  <si>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</si>
  <si>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</si>
  <si>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</si>
  <si>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</si>
  <si>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</si>
  <si>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</si>
  <si>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</si>
  <si>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</si>
  <si>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</si>
  <si>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</si>
  <si>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</si>
  <si>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</si>
  <si>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</si>
  <si>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</si>
  <si>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</si>
  <si>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</si>
  <si>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</si>
  <si>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</si>
  <si>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</si>
  <si>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</si>
  <si>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</si>
  <si>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</si>
  <si>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</si>
  <si>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</si>
  <si>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</si>
  <si>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</si>
  <si>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</si>
  <si>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</si>
  <si>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</si>
  <si>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</si>
  <si>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</si>
  <si>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</si>
  <si>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</si>
  <si>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</si>
  <si>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</si>
  <si>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</si>
  <si>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</si>
  <si>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</si>
  <si>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</si>
  <si>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</si>
  <si>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</si>
  <si>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</si>
  <si>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</si>
  <si>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</si>
  <si>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</si>
  <si>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</si>
  <si>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</si>
  <si>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</si>
  <si>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</si>
  <si>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</si>
  <si>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</si>
  <si>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</si>
  <si>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</si>
  <si>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</si>
  <si>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</si>
  <si>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</si>
  <si>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</si>
  <si>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</si>
  <si>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</si>
  <si>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</si>
  <si>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</si>
  <si>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</si>
  <si>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</si>
  <si>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</si>
  <si>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</si>
  <si>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</si>
  <si>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</si>
  <si>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</si>
  <si>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</si>
  <si>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</si>
  <si>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</si>
  <si>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</si>
  <si>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</si>
  <si>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</si>
  <si>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</si>
  <si>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</si>
  <si>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</si>
  <si>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</si>
  <si>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</si>
  <si>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</si>
  <si>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</si>
  <si>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</si>
  <si>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</si>
  <si>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</si>
  <si>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</si>
  <si>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</si>
  <si>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</si>
  <si>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</si>
  <si>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</si>
  <si>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</si>
  <si>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</si>
  <si>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</si>
  <si>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</si>
  <si>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</si>
  <si>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</si>
  <si>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</si>
  <si>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</si>
  <si>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</si>
  <si>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</si>
  <si>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</si>
  <si>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</si>
  <si>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</si>
  <si>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</si>
  <si>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</si>
  <si>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</si>
  <si>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</si>
  <si>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</si>
  <si>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</si>
  <si>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</si>
  <si>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</si>
  <si>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</si>
  <si>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</si>
  <si>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</si>
  <si>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</si>
  <si>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</si>
  <si>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</si>
  <si>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</si>
  <si>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</si>
  <si>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</si>
  <si>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</si>
  <si>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</si>
  <si>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</si>
  <si>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</si>
  <si>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</si>
  <si>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</si>
  <si>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</si>
  <si>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</si>
  <si>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</si>
  <si>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</si>
  <si>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</si>
  <si>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</si>
  <si>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</si>
  <si>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</si>
  <si>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</si>
  <si>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</si>
  <si>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</si>
  <si>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</si>
  <si>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</si>
  <si>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</si>
  <si>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</si>
  <si>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</si>
  <si>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</si>
  <si>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</si>
  <si>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</si>
  <si>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</si>
  <si>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</si>
  <si>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</si>
  <si>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</si>
  <si>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</si>
  <si>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</si>
  <si>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</si>
  <si>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</si>
  <si>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</si>
  <si>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</si>
  <si>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</si>
  <si>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</si>
  <si>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</si>
  <si>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</si>
  <si>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</si>
  <si>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</si>
  <si>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</si>
  <si>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</si>
  <si>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</si>
  <si>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</si>
  <si>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</si>
  <si>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</si>
  <si>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</si>
  <si>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</si>
  <si>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</si>
  <si>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</si>
  <si>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</si>
  <si>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</si>
  <si>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</si>
  <si>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</si>
  <si>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</si>
  <si>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</si>
  <si>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</si>
  <si>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</si>
  <si>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</si>
  <si>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</si>
  <si>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</si>
  <si>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</si>
  <si>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</si>
  <si>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</si>
  <si>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</si>
  <si>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</si>
  <si>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</si>
  <si>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</si>
  <si>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</si>
  <si>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</si>
  <si>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</si>
  <si>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</si>
  <si>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</si>
  <si>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</si>
  <si>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</si>
  <si>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</si>
  <si>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</si>
  <si>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</si>
  <si>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</si>
  <si>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</si>
  <si>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</si>
  <si>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</si>
  <si>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</si>
  <si>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</si>
  <si>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</si>
  <si>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</si>
  <si>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</si>
  <si>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</si>
  <si>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</si>
  <si>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</si>
  <si>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</si>
  <si>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</si>
  <si>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</si>
  <si>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</si>
  <si>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</si>
  <si>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</si>
  <si>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</si>
  <si>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</si>
  <si>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</si>
  <si>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</si>
  <si>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</si>
  <si>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</si>
  <si>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</si>
  <si>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</si>
  <si>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</si>
  <si>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</si>
  <si>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</si>
  <si>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</si>
  <si>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</si>
  <si>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</si>
  <si>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</si>
  <si>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</si>
  <si>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</si>
  <si>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</si>
  <si>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</si>
  <si>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</si>
  <si>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</si>
  <si>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</si>
  <si>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</si>
  <si>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</si>
  <si>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</si>
  <si>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</si>
  <si>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</si>
  <si>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</si>
  <si>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</si>
  <si>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</si>
  <si>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</si>
  <si>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</si>
  <si>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</si>
  <si>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</si>
  <si>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</si>
  <si>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</si>
  <si>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</si>
  <si>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</si>
  <si>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</si>
  <si>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</si>
  <si>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</si>
  <si>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</si>
  <si>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</si>
  <si>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</si>
  <si>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</si>
  <si>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</si>
  <si>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</si>
  <si>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</si>
  <si>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</si>
  <si>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</si>
  <si>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</si>
  <si>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</si>
  <si>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</si>
  <si>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</si>
  <si>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</si>
  <si>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</si>
  <si>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</si>
  <si>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</si>
  <si>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</si>
  <si>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</si>
  <si>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</si>
  <si>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</si>
  <si>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</si>
  <si>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</si>
  <si>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</si>
  <si>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</si>
  <si>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</si>
  <si>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</si>
  <si>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</si>
  <si>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</si>
  <si>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</si>
  <si>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</si>
  <si>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</si>
  <si>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</si>
  <si>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</si>
  <si>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</si>
  <si>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</si>
  <si>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</si>
  <si>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</si>
  <si>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</si>
  <si>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</si>
  <si>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</si>
  <si>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</si>
  <si>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</si>
  <si>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</si>
  <si>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</si>
  <si>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</si>
  <si>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</si>
  <si>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</si>
  <si>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</si>
  <si>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</si>
  <si>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</si>
  <si>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</si>
  <si>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</si>
  <si>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</si>
  <si>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</si>
  <si>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</si>
  <si>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</si>
  <si>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</si>
  <si>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</si>
  <si>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</si>
  <si>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</si>
  <si>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</si>
  <si>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</si>
  <si>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</si>
  <si>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</si>
  <si>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</si>
  <si>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</si>
  <si>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</si>
  <si>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</si>
  <si>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</si>
  <si>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</si>
  <si>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</si>
  <si>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</si>
  <si>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</si>
  <si>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</si>
  <si>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</si>
  <si>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</si>
  <si>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</si>
  <si>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</si>
  <si>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</si>
  <si>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</si>
  <si>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</si>
  <si>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</si>
  <si>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</si>
  <si>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</si>
  <si>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</si>
  <si>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</si>
  <si>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</si>
  <si>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</si>
  <si>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</si>
  <si>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</si>
  <si>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</si>
  <si>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</si>
  <si>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</si>
  <si>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</si>
  <si>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</si>
  <si>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</si>
  <si>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</si>
  <si>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</si>
  <si>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</si>
  <si>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</si>
  <si>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</si>
  <si>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</si>
  <si>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</si>
  <si>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</si>
  <si>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</si>
  <si>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</si>
  <si>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</si>
  <si>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</si>
  <si>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</si>
  <si>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</si>
  <si>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</si>
  <si>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</si>
  <si>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</si>
  <si>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</si>
  <si>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</si>
  <si>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</si>
  <si>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</si>
  <si>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</si>
  <si>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</si>
  <si>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</si>
  <si>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</si>
  <si>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</si>
  <si>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</si>
  <si>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</si>
  <si>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</si>
  <si>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</si>
  <si>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</si>
  <si>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</si>
  <si>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</si>
  <si>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</si>
  <si>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</si>
  <si>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</si>
  <si>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</si>
  <si>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</si>
  <si>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</si>
  <si>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</si>
  <si>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</si>
  <si>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</si>
  <si>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</si>
  <si>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</si>
  <si>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</si>
  <si>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</si>
  <si>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</si>
  <si>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</si>
  <si>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</si>
  <si>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</si>
  <si>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</si>
  <si>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</si>
  <si>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</si>
  <si>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</si>
  <si>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</si>
  <si>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</si>
  <si>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</si>
  <si>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</si>
  <si>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</si>
  <si>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</si>
  <si>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</si>
  <si>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</si>
  <si>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</si>
  <si>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</si>
  <si>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</si>
  <si>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</si>
  <si>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</si>
  <si>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</si>
  <si>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</si>
  <si>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</si>
  <si>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</si>
  <si>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</si>
  <si>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</si>
  <si>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</si>
  <si>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</si>
  <si>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</si>
  <si>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</si>
  <si>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</si>
  <si>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</si>
  <si>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</si>
  <si>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</si>
  <si>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</si>
  <si>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</si>
  <si>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</si>
  <si>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</si>
  <si>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</si>
  <si>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</si>
  <si>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</si>
  <si>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</si>
  <si>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</si>
  <si>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</si>
  <si>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</si>
  <si>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</si>
  <si>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</si>
  <si>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</si>
  <si>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</si>
  <si>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</si>
  <si>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</si>
  <si>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</si>
  <si>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</si>
  <si>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</si>
  <si>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</si>
  <si>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</si>
  <si>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</si>
  <si>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</si>
  <si>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</si>
  <si>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</si>
  <si>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</si>
  <si>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</si>
  <si>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</si>
  <si>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</si>
  <si>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</si>
  <si>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</si>
  <si>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</si>
  <si>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</si>
  <si>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</si>
  <si>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</si>
  <si>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</si>
  <si>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</si>
  <si>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</si>
  <si>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</si>
  <si>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</si>
  <si>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</si>
  <si>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</si>
  <si>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</si>
  <si>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</si>
  <si>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</si>
  <si>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</si>
  <si>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</si>
  <si>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</si>
  <si>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</si>
  <si>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</si>
  <si>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</si>
  <si>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</si>
  <si>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</si>
  <si>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</si>
  <si>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</si>
  <si>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</si>
  <si>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</si>
  <si>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</si>
  <si>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</si>
  <si>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</si>
  <si>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</si>
  <si>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</si>
  <si>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</si>
  <si>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</si>
  <si>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</si>
  <si>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</si>
  <si>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</si>
  <si>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</si>
  <si>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</si>
  <si>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</si>
  <si>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</si>
  <si>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</si>
  <si>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</si>
  <si>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</si>
  <si>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</si>
  <si>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</si>
  <si>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</si>
  <si>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</si>
  <si>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</si>
  <si>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</si>
  <si>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</si>
  <si>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</si>
  <si>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</si>
  <si>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</si>
  <si>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</si>
  <si>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</si>
  <si>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</si>
  <si>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</si>
  <si>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</si>
  <si>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</si>
  <si>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</si>
  <si>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</si>
  <si>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</si>
  <si>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</si>
  <si>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</si>
  <si>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</si>
  <si>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</si>
  <si>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</si>
  <si>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</si>
  <si>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</si>
  <si>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</si>
  <si>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</si>
  <si>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</si>
  <si>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</si>
  <si>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</si>
  <si>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</si>
  <si>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</si>
  <si>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</si>
  <si>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</si>
  <si>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</si>
  <si>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</si>
  <si>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</si>
  <si>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</si>
  <si>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</si>
  <si>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</si>
  <si>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</si>
  <si>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</si>
  <si>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</si>
  <si>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</si>
  <si>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</si>
  <si>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</si>
  <si>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</si>
  <si>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</si>
  <si>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</si>
  <si>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</si>
  <si>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</si>
  <si>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</si>
  <si>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</si>
  <si>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</si>
  <si>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</si>
  <si>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</si>
  <si>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</si>
  <si>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</si>
  <si>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</si>
  <si>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</si>
  <si>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</si>
  <si>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</si>
  <si>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</si>
  <si>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</si>
  <si>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</si>
  <si>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</si>
  <si>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</si>
  <si>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</si>
  <si>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</si>
  <si>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</si>
  <si>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</si>
  <si>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</si>
  <si>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</si>
  <si>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</si>
  <si>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</si>
  <si>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</si>
  <si>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</si>
  <si>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</si>
  <si>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</si>
  <si>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</si>
  <si>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</si>
  <si>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</si>
  <si>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</si>
  <si>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</si>
  <si>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</si>
  <si>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</si>
  <si>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</si>
  <si>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</si>
  <si>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</si>
  <si>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</si>
  <si>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</si>
  <si>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</si>
  <si>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</si>
  <si>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</si>
  <si>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</si>
  <si>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</si>
  <si>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</si>
  <si>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</si>
  <si>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</si>
  <si>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</si>
  <si>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</si>
  <si>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</si>
  <si>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</si>
  <si>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</si>
  <si>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</si>
  <si>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</si>
  <si>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</si>
  <si>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</si>
  <si>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</si>
  <si>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</si>
  <si>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</si>
  <si>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</si>
  <si>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</si>
  <si>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</si>
  <si>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</si>
  <si>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</si>
  <si>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</si>
  <si>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</si>
  <si>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</si>
  <si>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</si>
  <si>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</si>
  <si>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</si>
  <si>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</si>
  <si>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</si>
  <si>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</si>
  <si>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</si>
  <si>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</si>
  <si>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</si>
  <si>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</si>
  <si>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</si>
  <si>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</si>
  <si>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</si>
  <si>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</si>
  <si>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</si>
  <si>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</si>
  <si>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</si>
  <si>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</si>
  <si>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</si>
  <si>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</si>
  <si>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</si>
  <si>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</si>
  <si>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</si>
  <si>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</si>
  <si>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</si>
  <si>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</si>
  <si>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</si>
  <si>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</si>
  <si>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</si>
  <si>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</si>
  <si>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</si>
  <si>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</si>
  <si>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</si>
  <si>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</si>
  <si>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</si>
  <si>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</si>
  <si>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</si>
  <si>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</si>
  <si>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</si>
  <si>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</si>
  <si>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</si>
  <si>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</si>
  <si>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</si>
  <si>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</si>
  <si>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</si>
  <si>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</si>
  <si>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</si>
  <si>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</si>
  <si>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</si>
  <si>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</si>
  <si>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</si>
  <si>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</si>
  <si>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</si>
  <si>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</si>
  <si>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</si>
  <si>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</si>
  <si>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</si>
  <si>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</si>
  <si>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</si>
  <si>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</si>
  <si>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</si>
  <si>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</si>
  <si>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</si>
  <si>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</si>
  <si>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</si>
  <si>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</si>
  <si>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</si>
  <si>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</si>
  <si>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</si>
  <si>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</si>
  <si>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</si>
  <si>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</si>
  <si>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</si>
  <si>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</si>
  <si>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</si>
  <si>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</si>
  <si>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</si>
  <si>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</si>
  <si>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</si>
  <si>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</si>
  <si>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</si>
  <si>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</si>
  <si>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</si>
  <si>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</si>
  <si>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</si>
  <si>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</si>
  <si>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</si>
  <si>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</si>
  <si>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</si>
  <si>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</si>
  <si>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</si>
  <si>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</si>
  <si>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</si>
  <si>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</si>
  <si>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</si>
  <si>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</si>
  <si>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</si>
  <si>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</si>
  <si>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</si>
  <si>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</si>
  <si>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</si>
  <si>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</si>
  <si>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</si>
  <si>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</si>
  <si>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</si>
  <si>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</si>
  <si>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</si>
  <si>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</si>
  <si>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</si>
  <si>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</si>
  <si>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</si>
  <si>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</si>
  <si>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</si>
  <si>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</si>
  <si>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</si>
  <si>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</si>
  <si>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</si>
  <si>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</si>
  <si>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</si>
  <si>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</si>
  <si>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</si>
  <si>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</si>
  <si>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</si>
  <si>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</si>
  <si>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</si>
  <si>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</si>
  <si>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</si>
  <si>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</si>
  <si>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</si>
  <si>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</si>
  <si>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</si>
  <si>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</si>
  <si>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</si>
  <si>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</si>
  <si>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</si>
  <si>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</si>
  <si>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</si>
  <si>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</si>
  <si>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</si>
  <si>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</si>
  <si>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</si>
  <si>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</si>
  <si>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</si>
  <si>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</si>
  <si>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</si>
  <si>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</si>
  <si>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</si>
  <si>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</si>
  <si>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</si>
  <si>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</si>
  <si>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</si>
  <si>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</si>
  <si>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</si>
  <si>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</si>
  <si>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</si>
  <si>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</si>
  <si>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</si>
  <si>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</si>
  <si>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</si>
  <si>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</si>
  <si>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</si>
  <si>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</si>
  <si>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</si>
  <si>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</si>
  <si>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</si>
  <si>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</si>
  <si>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</si>
  <si>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</si>
  <si>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</si>
  <si>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</si>
  <si>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</si>
  <si>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</si>
  <si>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</si>
  <si>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</si>
  <si>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</si>
  <si>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</si>
  <si>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</si>
  <si>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</si>
  <si>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</si>
  <si>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</si>
  <si>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</si>
  <si>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</si>
  <si>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</si>
  <si>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</si>
  <si>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</si>
  <si>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</si>
  <si>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</si>
  <si>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</si>
  <si>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</si>
  <si>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</si>
  <si>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</si>
  <si>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</si>
  <si>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</si>
  <si>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</si>
  <si>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</si>
  <si>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</si>
  <si>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</si>
  <si>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</si>
  <si>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</si>
  <si>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</si>
  <si>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</si>
  <si>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</si>
  <si>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</si>
  <si>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</si>
  <si>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</si>
  <si>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</si>
  <si>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</si>
  <si>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</si>
  <si>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</si>
  <si>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</si>
  <si>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</si>
  <si>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</si>
  <si>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</si>
  <si>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</si>
  <si>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</si>
  <si>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</si>
  <si>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</si>
  <si>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</si>
  <si>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</si>
  <si>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</si>
  <si>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</si>
  <si>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</si>
  <si>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</si>
  <si>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</si>
  <si>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</si>
  <si>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</si>
  <si>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</si>
  <si>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</si>
  <si>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</si>
  <si>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</si>
  <si>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</si>
  <si>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</si>
  <si>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</si>
  <si>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</si>
  <si>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</si>
  <si>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</si>
  <si>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</si>
  <si>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</si>
  <si>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</si>
  <si>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</si>
  <si>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</si>
  <si>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</si>
  <si>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</si>
  <si>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</si>
  <si>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</si>
  <si>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</si>
  <si>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</si>
  <si>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</si>
  <si>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</si>
  <si>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</si>
  <si>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</si>
  <si>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</si>
  <si>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</si>
  <si>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</si>
  <si>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</si>
  <si>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</si>
  <si>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</si>
  <si>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</si>
  <si>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</si>
  <si>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</si>
  <si>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</si>
  <si>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</si>
  <si>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</si>
  <si>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</si>
  <si>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</si>
  <si>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</si>
  <si>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</si>
  <si>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</si>
  <si>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</si>
  <si>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</si>
  <si>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</si>
  <si>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</si>
  <si>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</si>
  <si>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</si>
  <si>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</si>
  <si>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</si>
  <si>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</si>
  <si>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</si>
  <si>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</si>
  <si>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</si>
  <si>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</si>
  <si>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</si>
  <si>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</si>
  <si>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</si>
  <si>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</si>
  <si>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</si>
  <si>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</si>
  <si>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</si>
  <si>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</si>
  <si>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</si>
  <si>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</si>
  <si>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</si>
  <si>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</si>
  <si>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</si>
  <si>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</si>
  <si>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</si>
  <si>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</si>
  <si>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</si>
  <si>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</si>
  <si>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</si>
  <si>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</si>
  <si>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</si>
  <si>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</si>
  <si>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</si>
  <si>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</si>
  <si>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</si>
  <si>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</si>
  <si>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</si>
  <si>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</si>
  <si>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</si>
  <si>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</si>
  <si>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</si>
  <si>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</si>
  <si>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</si>
  <si>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</si>
  <si>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</si>
  <si>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</si>
  <si>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</si>
  <si>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</si>
  <si>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</si>
  <si>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</si>
  <si>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</si>
  <si>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</si>
  <si>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</si>
  <si>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</si>
  <si>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</si>
  <si>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</si>
  <si>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</si>
  <si>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</si>
  <si>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</si>
  <si>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</si>
  <si>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</si>
  <si>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</si>
  <si>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</si>
  <si>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</si>
  <si>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</si>
  <si>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</si>
  <si>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</si>
  <si>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</si>
  <si>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</si>
  <si>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</si>
  <si>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</si>
  <si>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</si>
  <si>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</si>
  <si>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</si>
  <si>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</si>
  <si>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</si>
  <si>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</si>
  <si>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</si>
  <si>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</si>
  <si>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</si>
  <si>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</si>
  <si>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</si>
  <si>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</si>
  <si>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</si>
  <si>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</si>
  <si>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</si>
  <si>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</si>
  <si>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</si>
  <si>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</si>
  <si>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</si>
  <si>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</si>
  <si>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</si>
  <si>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</si>
  <si>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</si>
  <si>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</si>
  <si>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</si>
  <si>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</si>
  <si>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</si>
  <si>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</si>
  <si>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</si>
  <si>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</si>
  <si>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</si>
  <si>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</si>
  <si>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</si>
  <si>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</si>
  <si>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</si>
  <si>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</si>
  <si>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</si>
  <si>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</si>
  <si>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</si>
  <si>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</si>
  <si>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</si>
  <si>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</si>
  <si>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</si>
  <si>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</si>
  <si>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</si>
  <si>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</si>
  <si>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</si>
  <si>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</si>
  <si>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</si>
  <si>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</si>
  <si>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</si>
  <si>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</si>
  <si>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</si>
  <si>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</si>
  <si>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</si>
  <si>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</si>
  <si>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</si>
  <si>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</si>
  <si>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</si>
  <si>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</si>
  <si>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</si>
  <si>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</si>
  <si>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</si>
  <si>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</si>
  <si>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</si>
  <si>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</si>
  <si>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</si>
  <si>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</si>
  <si>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</si>
  <si>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</si>
  <si>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</si>
  <si>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</si>
  <si>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</si>
  <si>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</si>
  <si>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</si>
  <si>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</si>
  <si>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</si>
  <si>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</si>
  <si>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</si>
  <si>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</si>
  <si>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</si>
  <si>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</si>
  <si>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</si>
  <si>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</si>
  <si>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</si>
  <si>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</si>
  <si>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</si>
  <si>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</si>
  <si>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</si>
  <si>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</si>
  <si>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</si>
  <si>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</si>
  <si>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</si>
  <si>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</si>
  <si>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</si>
  <si>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</si>
  <si>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</si>
  <si>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</si>
  <si>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</si>
  <si>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</si>
  <si>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</si>
  <si>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</si>
  <si>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</si>
  <si>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</si>
  <si>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</si>
  <si>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</si>
  <si>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</si>
  <si>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</si>
  <si>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</si>
  <si>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</si>
  <si>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</si>
  <si>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</si>
  <si>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</si>
  <si>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</si>
  <si>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</si>
  <si>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</si>
  <si>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</si>
  <si>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</si>
  <si>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</si>
  <si>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</si>
  <si>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</si>
  <si>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</si>
  <si>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</si>
  <si>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</si>
  <si>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</si>
  <si>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</si>
  <si>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</si>
  <si>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</si>
  <si>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</si>
  <si>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</si>
  <si>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</si>
  <si>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</si>
  <si>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</si>
  <si>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</si>
  <si>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</si>
  <si>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</si>
  <si>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</si>
  <si>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</si>
  <si>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</si>
  <si>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</si>
  <si>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</si>
  <si>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</si>
  <si>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</si>
  <si>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</si>
  <si>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</si>
  <si>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</si>
  <si>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</si>
  <si>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</si>
  <si>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</si>
  <si>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</si>
  <si>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</si>
  <si>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</si>
  <si>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</si>
  <si>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</si>
  <si>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</si>
  <si>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</si>
  <si>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</si>
  <si>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</si>
  <si>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</si>
  <si>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</si>
  <si>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</si>
  <si>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</si>
  <si>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</si>
  <si>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</si>
  <si>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</si>
  <si>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</si>
  <si>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</si>
  <si>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</si>
  <si>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</si>
  <si>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</si>
  <si>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</si>
  <si>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</si>
  <si>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</si>
  <si>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</si>
  <si>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</si>
  <si>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</si>
  <si>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</si>
  <si>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</si>
  <si>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</si>
  <si>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</si>
  <si>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</si>
  <si>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</si>
  <si>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</si>
  <si>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</si>
  <si>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</si>
  <si>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</si>
  <si>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</si>
  <si>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</si>
  <si>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</si>
  <si>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</si>
  <si>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</si>
  <si>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</si>
  <si>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</si>
  <si>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</si>
  <si>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</si>
  <si>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</si>
  <si>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</si>
  <si>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</si>
  <si>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</si>
  <si>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</si>
  <si>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</si>
  <si>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</si>
  <si>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</si>
  <si>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</si>
  <si>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</si>
  <si>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</si>
  <si>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</si>
  <si>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</si>
  <si>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</si>
  <si>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</si>
  <si>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</si>
  <si>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</si>
  <si>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</si>
  <si>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</si>
  <si>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</si>
  <si>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</si>
  <si>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</si>
  <si>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</si>
  <si>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</si>
  <si>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</si>
  <si>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</si>
  <si>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</si>
  <si>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</si>
  <si>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</si>
  <si>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</si>
  <si>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</si>
  <si>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</si>
  <si>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</si>
  <si>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</si>
  <si>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</si>
  <si>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</si>
  <si>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</si>
  <si>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</si>
  <si>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</si>
  <si>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</si>
  <si>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</si>
  <si>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</si>
  <si>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</si>
  <si>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</si>
  <si>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</si>
  <si>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</si>
  <si>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</si>
  <si>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</si>
  <si>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</si>
  <si>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</si>
  <si>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</si>
  <si>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</si>
  <si>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</si>
  <si>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</si>
  <si>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</si>
  <si>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</si>
  <si>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</si>
  <si>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</si>
  <si>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</si>
  <si>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</si>
  <si>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</si>
  <si>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</si>
  <si>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</si>
  <si>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</si>
  <si>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</si>
  <si>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</si>
  <si>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</si>
  <si>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</si>
  <si>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</si>
  <si>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</si>
  <si>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</si>
  <si>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</si>
  <si>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</si>
  <si>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</si>
  <si>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</si>
  <si>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</si>
  <si>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</si>
  <si>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</si>
  <si>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</si>
  <si>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</si>
  <si>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</si>
  <si>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</si>
  <si>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</si>
  <si>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</si>
  <si>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</si>
  <si>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</si>
  <si>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</si>
  <si>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</si>
  <si>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</si>
  <si>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</si>
  <si>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</si>
  <si>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</si>
  <si>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</si>
  <si>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</si>
  <si>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</si>
  <si>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</si>
  <si>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</si>
  <si>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</si>
  <si>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</si>
  <si>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</si>
  <si>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</si>
  <si>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</si>
  <si>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</si>
  <si>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</si>
  <si>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</si>
  <si>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</si>
  <si>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</si>
  <si>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</si>
  <si>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</si>
  <si>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</si>
  <si>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</si>
  <si>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</si>
  <si>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</si>
  <si>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</si>
  <si>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</si>
  <si>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</si>
  <si>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</si>
  <si>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</si>
  <si>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</si>
  <si>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</si>
  <si>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</si>
  <si>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</si>
  <si>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</si>
  <si>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</si>
  <si>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</si>
  <si>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</si>
  <si>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</si>
  <si>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</si>
  <si>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</si>
  <si>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</si>
  <si>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</si>
  <si>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</si>
  <si>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</si>
  <si>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</si>
  <si>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</si>
  <si>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</si>
  <si>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</si>
  <si>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</si>
  <si>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</si>
  <si>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</si>
  <si>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</si>
  <si>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</si>
  <si>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</si>
  <si>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</si>
  <si>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</si>
  <si>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</si>
  <si>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</si>
  <si>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</si>
  <si>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</si>
  <si>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</si>
  <si>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</si>
  <si>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</si>
  <si>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</si>
  <si>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</si>
  <si>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</si>
  <si>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</si>
  <si>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</si>
  <si>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</si>
  <si>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</si>
  <si>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</si>
  <si>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</si>
  <si>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</si>
  <si>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</si>
  <si>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</si>
  <si>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</si>
  <si>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</si>
  <si>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</si>
  <si>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</si>
  <si>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</si>
  <si>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</si>
  <si>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</si>
  <si>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</si>
  <si>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</si>
  <si>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</si>
  <si>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</si>
  <si>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</si>
  <si>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</si>
  <si>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</si>
  <si>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</si>
  <si>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</si>
  <si>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</si>
  <si>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</si>
  <si>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</si>
  <si>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</si>
  <si>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</si>
  <si>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</si>
  <si>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</si>
  <si>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</si>
  <si>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</si>
  <si>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</si>
  <si>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</si>
  <si>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</si>
  <si>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</si>
  <si>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</si>
  <si>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</si>
  <si>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</si>
  <si>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</si>
  <si>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</si>
  <si>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</si>
  <si>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</si>
  <si>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</si>
  <si>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</si>
  <si>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</si>
  <si>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</si>
  <si>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</si>
  <si>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</si>
  <si>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</si>
  <si>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</si>
  <si>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</si>
  <si>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</si>
  <si>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</si>
  <si>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</si>
  <si>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</si>
  <si>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</si>
  <si>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</si>
  <si>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</si>
  <si>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</si>
  <si>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</si>
  <si>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</si>
  <si>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</si>
  <si>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</si>
  <si>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</si>
  <si>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</si>
  <si>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</si>
  <si>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</si>
  <si>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</si>
  <si>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</si>
  <si>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</si>
  <si>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</si>
  <si>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</si>
  <si>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</si>
  <si>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</si>
  <si>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</si>
  <si>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</si>
  <si>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</si>
  <si>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</si>
  <si>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</si>
  <si>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</si>
  <si>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</si>
  <si>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</si>
  <si>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</si>
  <si>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</si>
  <si>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</si>
  <si>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</si>
  <si>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</si>
  <si>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</si>
  <si>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</si>
  <si>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</si>
  <si>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</si>
  <si>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</si>
  <si>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</si>
  <si>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</si>
  <si>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</si>
  <si>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</si>
  <si>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</si>
  <si>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</si>
  <si>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</si>
  <si>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</si>
  <si>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</si>
  <si>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</si>
  <si>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</si>
  <si>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</si>
  <si>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</si>
  <si>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</si>
  <si>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</si>
  <si>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</si>
  <si>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</si>
  <si>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</si>
  <si>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</si>
  <si>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</si>
  <si>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</si>
  <si>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</si>
  <si>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</si>
  <si>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</si>
  <si>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</si>
  <si>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</si>
  <si>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</si>
  <si>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</si>
  <si>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</si>
  <si>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</si>
  <si>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</si>
  <si>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</si>
  <si>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</si>
  <si>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</si>
  <si>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</si>
  <si>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</si>
  <si>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</si>
  <si>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</si>
  <si>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</si>
  <si>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</si>
  <si>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</si>
  <si>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</si>
  <si>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</si>
  <si>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</si>
  <si>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</si>
  <si>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</si>
  <si>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</si>
  <si>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</si>
  <si>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</si>
  <si>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</si>
  <si>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</si>
  <si>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</si>
  <si>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</si>
  <si>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</si>
  <si>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</si>
  <si>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</si>
  <si>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</si>
  <si>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</si>
  <si>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</si>
  <si>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</si>
  <si>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</si>
  <si>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</si>
  <si>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</si>
  <si>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</si>
  <si>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</si>
  <si>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</si>
  <si>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</si>
  <si>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</si>
  <si>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</si>
  <si>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</si>
  <si>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</si>
  <si>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</si>
  <si>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</si>
  <si>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</si>
  <si>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</si>
  <si>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</si>
  <si>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</si>
  <si>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</si>
  <si>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</si>
  <si>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</si>
  <si>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</si>
  <si>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</si>
  <si>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</si>
  <si>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</si>
  <si>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</si>
  <si>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</si>
  <si>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</si>
  <si>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</si>
  <si>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</si>
  <si>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</si>
  <si>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</si>
  <si>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</si>
  <si>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</si>
  <si>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</si>
  <si>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</si>
  <si>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</si>
  <si>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</si>
  <si>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</si>
  <si>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</si>
  <si>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</si>
  <si>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</si>
  <si>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</si>
  <si>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</si>
  <si>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</si>
  <si>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</si>
  <si>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</si>
  <si>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</si>
  <si>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</si>
  <si>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</si>
  <si>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</si>
  <si>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</si>
  <si>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</si>
  <si>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</si>
  <si>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</si>
  <si>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</si>
  <si>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</si>
  <si>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</si>
  <si>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</si>
  <si>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</si>
  <si>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</si>
  <si>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</si>
  <si>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</si>
  <si>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</si>
  <si>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</si>
  <si>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</si>
  <si>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</si>
  <si>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</si>
  <si>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</si>
  <si>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</si>
  <si>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</si>
  <si>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</si>
  <si>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</si>
  <si>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</si>
  <si>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</si>
  <si>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</si>
  <si>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</si>
  <si>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</si>
  <si>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</si>
  <si>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</si>
  <si>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</si>
  <si>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</si>
  <si>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</si>
  <si>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</si>
  <si>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</si>
  <si>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</si>
  <si>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</si>
  <si>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</si>
  <si>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</si>
  <si>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</si>
  <si>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</si>
  <si>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</si>
  <si>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</si>
  <si>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</si>
  <si>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</si>
  <si>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</si>
  <si>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</si>
  <si>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</si>
  <si>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</si>
  <si>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</si>
  <si>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</si>
  <si>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</si>
  <si>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</si>
  <si>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</si>
  <si>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</si>
  <si>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</si>
  <si>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</si>
  <si>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</si>
  <si>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</si>
  <si>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</si>
  <si>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</si>
  <si>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</si>
  <si>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</si>
  <si>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</si>
  <si>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</si>
  <si>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</si>
  <si>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</si>
  <si>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</si>
  <si>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</si>
  <si>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</si>
  <si>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</si>
  <si>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</si>
  <si>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</si>
  <si>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</si>
  <si>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</si>
  <si>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</si>
  <si>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</si>
  <si>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</si>
  <si>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</si>
  <si>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</si>
  <si>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</si>
  <si>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</si>
  <si>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</si>
  <si>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</si>
  <si>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</si>
  <si>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</si>
  <si>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</si>
  <si>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</si>
  <si>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</si>
  <si>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</si>
  <si>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</si>
  <si>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</si>
  <si>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</si>
  <si>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</si>
  <si>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</si>
  <si>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</si>
  <si>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</si>
  <si>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</si>
  <si>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</si>
  <si>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</si>
  <si>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</si>
  <si>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</si>
  <si>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</si>
  <si>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</si>
  <si>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</si>
  <si>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</si>
  <si>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</si>
  <si>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</si>
  <si>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</si>
  <si>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</si>
  <si>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</si>
  <si>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</si>
  <si>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</si>
  <si>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</si>
  <si>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</si>
  <si>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</si>
  <si>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</si>
  <si>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</si>
  <si>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</si>
  <si>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</si>
  <si>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</si>
  <si>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</si>
  <si>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</si>
  <si>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</si>
  <si>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</si>
  <si>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</si>
  <si>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</si>
  <si>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</si>
  <si>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</si>
  <si>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</si>
  <si>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</si>
  <si>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</si>
  <si>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</si>
  <si>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</si>
  <si>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</si>
  <si>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</si>
  <si>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</si>
  <si>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</si>
  <si>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</si>
  <si>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</si>
  <si>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</si>
  <si>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</si>
  <si>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</si>
  <si>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</si>
  <si>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</si>
  <si>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</si>
  <si>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</si>
  <si>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</si>
  <si>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</si>
  <si>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</si>
  <si>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</si>
  <si>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</si>
  <si>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</si>
  <si>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</si>
  <si>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</si>
  <si>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</si>
  <si>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</si>
  <si>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</si>
  <si>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</si>
  <si>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</si>
  <si>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</si>
  <si>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</si>
  <si>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</si>
  <si>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</si>
  <si>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</si>
  <si>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</si>
  <si>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</si>
  <si>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</si>
  <si>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</si>
  <si>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</si>
  <si>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</si>
  <si>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</si>
  <si>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</si>
  <si>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</si>
  <si>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</si>
  <si>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</si>
  <si>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</si>
  <si>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</si>
  <si>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</si>
  <si>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</si>
  <si>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</si>
  <si>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</si>
  <si>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</si>
  <si>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</si>
  <si>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</si>
  <si>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</si>
  <si>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</si>
  <si>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</si>
  <si>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</si>
  <si>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</si>
  <si>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</si>
  <si>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</si>
  <si>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</si>
  <si>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</si>
  <si>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</si>
  <si>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</si>
  <si>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</si>
  <si>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</si>
  <si>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</si>
  <si>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</si>
  <si>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</si>
  <si>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</si>
  <si>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</si>
  <si>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</si>
  <si>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</si>
  <si>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</si>
  <si>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</si>
  <si>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</si>
  <si>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</si>
  <si>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</si>
  <si>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</si>
  <si>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</si>
  <si>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</si>
  <si>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</si>
  <si>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</si>
  <si>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</si>
  <si>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</si>
  <si>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</si>
  <si>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</si>
  <si>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</si>
  <si>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</si>
  <si>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</si>
  <si>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</si>
  <si>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</si>
  <si>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</si>
  <si>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</si>
  <si>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</si>
  <si>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</si>
  <si>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</si>
  <si>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</si>
  <si>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</si>
  <si>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</si>
  <si>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</si>
  <si>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</si>
  <si>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</si>
  <si>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</si>
  <si>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</si>
  <si>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</si>
  <si>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</si>
  <si>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</si>
  <si>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</si>
  <si>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</si>
  <si>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</si>
  <si>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</si>
  <si>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</si>
  <si>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</si>
  <si>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</si>
  <si>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</si>
  <si>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</si>
  <si>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</si>
  <si>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</si>
  <si>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</si>
  <si>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</si>
  <si>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</si>
  <si>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</si>
  <si>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</si>
  <si>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</si>
  <si>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</si>
  <si>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</si>
  <si>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</si>
  <si>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</si>
  <si>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</si>
  <si>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</si>
  <si>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</si>
  <si>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</si>
  <si>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</si>
  <si>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</si>
  <si>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</si>
  <si>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</si>
  <si>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</si>
  <si>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</si>
  <si>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</si>
  <si>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</si>
  <si>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</si>
  <si>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</si>
  <si>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</si>
  <si>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</si>
  <si>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</si>
  <si>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</si>
  <si>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</si>
  <si>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</si>
  <si>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</si>
  <si>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</si>
  <si>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</si>
  <si>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</si>
  <si>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</si>
  <si>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</si>
  <si>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</si>
  <si>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</si>
  <si>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</si>
  <si>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</si>
  <si>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</si>
  <si>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</si>
  <si>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</si>
  <si>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</si>
  <si>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</si>
  <si>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</si>
  <si>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</si>
  <si>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</si>
  <si>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</si>
  <si>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</si>
  <si>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</si>
  <si>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</si>
  <si>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</si>
  <si>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</si>
  <si>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</si>
  <si>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</si>
  <si>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</si>
  <si>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</si>
  <si>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</si>
  <si>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</si>
  <si>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</si>
  <si>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</si>
  <si>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</si>
  <si>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</si>
  <si>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</si>
  <si>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</si>
  <si>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</si>
  <si>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</si>
  <si>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</si>
  <si>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</si>
  <si>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</si>
  <si>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</si>
  <si>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</si>
  <si>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</si>
  <si>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</si>
  <si>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</si>
  <si>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</si>
  <si>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</si>
  <si>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</si>
  <si>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</si>
  <si>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</si>
  <si>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</si>
  <si>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</si>
  <si>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</si>
  <si>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</si>
  <si>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</si>
  <si>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</si>
  <si>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</si>
  <si>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</si>
  <si>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</si>
  <si>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</si>
  <si>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</si>
  <si>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</si>
  <si>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</si>
  <si>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</si>
  <si>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</si>
  <si>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</si>
  <si>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</si>
  <si>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</si>
  <si>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</si>
  <si>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</si>
  <si>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</si>
  <si>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</si>
  <si>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</si>
  <si>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</si>
  <si>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</si>
  <si>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</si>
  <si>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</si>
  <si>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</si>
  <si>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</si>
  <si>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</si>
  <si>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</si>
  <si>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</si>
  <si>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</si>
  <si>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</si>
  <si>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</si>
  <si>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</si>
  <si>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</si>
  <si>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</si>
  <si>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</si>
  <si>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</si>
  <si>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</si>
  <si>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</si>
  <si>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</si>
  <si>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</si>
  <si>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</si>
  <si>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</si>
  <si>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</si>
  <si>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</si>
  <si>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</si>
  <si>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</si>
  <si>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</si>
  <si>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</si>
  <si>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</si>
  <si>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</si>
  <si>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</si>
  <si>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</si>
  <si>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</si>
  <si>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</si>
  <si>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</si>
  <si>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</si>
  <si>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</si>
  <si>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</si>
  <si>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</si>
  <si>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</si>
  <si>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</si>
  <si>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</si>
  <si>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</si>
  <si>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</si>
  <si>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</si>
  <si>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</si>
  <si>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</si>
  <si>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</si>
  <si>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</si>
  <si>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</si>
  <si>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</si>
  <si>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</si>
  <si>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</si>
  <si>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</si>
  <si>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</si>
  <si>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</si>
  <si>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</si>
  <si>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</si>
  <si>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</si>
  <si>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</si>
  <si>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</si>
  <si>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</si>
  <si>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</si>
  <si>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</si>
  <si>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</si>
  <si>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</si>
  <si>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</si>
  <si>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</si>
  <si>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</si>
  <si>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</si>
  <si>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</si>
  <si>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</si>
  <si>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</si>
  <si>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</si>
  <si>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</si>
  <si>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</si>
  <si>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</si>
  <si>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</si>
  <si>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</si>
  <si>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</si>
  <si>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</si>
  <si>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</si>
  <si>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</si>
  <si>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</si>
  <si>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</si>
  <si>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</si>
  <si>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</si>
  <si>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</si>
  <si>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</si>
  <si>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</si>
  <si>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</si>
  <si>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</si>
  <si>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</si>
  <si>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</si>
  <si>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</si>
  <si>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</si>
  <si>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</si>
  <si>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</si>
  <si>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</si>
  <si>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</si>
  <si>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</si>
  <si>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</si>
  <si>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</si>
  <si>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</si>
  <si>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</si>
  <si>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</si>
  <si>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</si>
  <si>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</si>
  <si>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</si>
  <si>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</si>
  <si>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</si>
  <si>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</si>
  <si>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</si>
  <si>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</si>
  <si>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</si>
  <si>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</si>
  <si>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</si>
  <si>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</si>
  <si>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</si>
  <si>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</si>
  <si>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</si>
  <si>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</si>
  <si>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</si>
  <si>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</si>
  <si>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</si>
  <si>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</si>
  <si>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</si>
  <si>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</si>
  <si>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</si>
  <si>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</si>
  <si>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</si>
  <si>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</si>
  <si>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</si>
  <si>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</si>
  <si>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</si>
  <si>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</si>
  <si>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</si>
  <si>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</si>
  <si>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</si>
  <si>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</si>
  <si>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</si>
  <si>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</si>
  <si>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</si>
  <si>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</si>
  <si>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</si>
  <si>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</si>
  <si>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</si>
  <si>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</si>
  <si>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</si>
  <si>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</si>
  <si>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</si>
  <si>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</si>
  <si>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</si>
  <si>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</si>
  <si>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Group (1)</t>
  </si>
  <si>
    <t>Group (2)</t>
  </si>
  <si>
    <t>Group (3)</t>
  </si>
  <si>
    <t>Opposition</t>
  </si>
  <si>
    <t>Selection</t>
  </si>
  <si>
    <t>Points</t>
  </si>
  <si>
    <t>Picked</t>
  </si>
  <si>
    <t>Sub GK</t>
  </si>
  <si>
    <t>Sub 3</t>
  </si>
  <si>
    <t>Sub 4</t>
  </si>
  <si>
    <t>Captain</t>
  </si>
  <si>
    <t>Vice Captain</t>
  </si>
  <si>
    <t>Sub 1</t>
  </si>
  <si>
    <t>Sub 2</t>
  </si>
  <si>
    <t>Turkey</t>
  </si>
  <si>
    <t>South Korea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</si>
  <si>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</si>
  <si>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</si>
  <si>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</si>
  <si>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</si>
  <si>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</si>
  <si>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</si>
  <si>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</si>
  <si>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</si>
  <si>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</si>
  <si>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</si>
  <si>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</si>
  <si>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</si>
  <si>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</si>
  <si>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</si>
  <si>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</si>
  <si>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</si>
  <si>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</si>
  <si>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</si>
  <si>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</si>
  <si>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</si>
  <si>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</si>
  <si>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</si>
  <si>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</si>
  <si>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</si>
  <si>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</si>
  <si>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</si>
  <si>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</si>
  <si>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</si>
  <si>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</si>
  <si>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</si>
  <si>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</si>
  <si>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</si>
  <si>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3-0</t>
  </si>
  <si>
    <t>8-0</t>
  </si>
  <si>
    <t>5-0</t>
  </si>
  <si>
    <t>6-0</t>
  </si>
  <si>
    <t>4-0</t>
  </si>
  <si>
    <t>Ivory Coast vs Ecuador</t>
  </si>
  <si>
    <t>0-0</t>
  </si>
  <si>
    <t>Spain vs Cape Verde</t>
  </si>
  <si>
    <t>Cape Verde</t>
  </si>
  <si>
    <t>7-0</t>
  </si>
  <si>
    <t>Iran vs New Zealand</t>
  </si>
  <si>
    <t>0-4</t>
  </si>
  <si>
    <t>Switzerland vs Bosnia &amp; Herzegovina</t>
  </si>
  <si>
    <t>Mexico vs South Korea</t>
  </si>
  <si>
    <t>USA vs Australia</t>
  </si>
  <si>
    <t>Turkey vs Paraguay</t>
  </si>
  <si>
    <t>Germany vs Ivory Coast</t>
  </si>
  <si>
    <t>5-1</t>
  </si>
  <si>
    <t>Ecuador vs Curucao</t>
  </si>
  <si>
    <t>Belgium vs Iran</t>
  </si>
  <si>
    <t>Uruguay vs Cape Verde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</si>
  <si>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</si>
  <si>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</si>
  <si>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</si>
  <si>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</si>
  <si>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</si>
  <si>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</si>
  <si>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</si>
  <si>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</si>
  <si>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</si>
  <si>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</si>
  <si>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</si>
  <si>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</si>
  <si>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</si>
  <si>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</si>
  <si>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</si>
  <si>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</si>
  <si>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</si>
  <si>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</si>
  <si>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</si>
  <si>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</si>
  <si>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</si>
  <si>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</si>
  <si>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</si>
  <si>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</si>
  <si>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</si>
  <si>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</si>
  <si>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</si>
  <si>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</si>
  <si>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</si>
  <si>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</si>
  <si>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</si>
  <si>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</si>
  <si>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</si>
  <si>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</si>
  <si>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</si>
  <si>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</si>
  <si>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</si>
  <si>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</si>
  <si>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</si>
  <si>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</si>
  <si>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</si>
  <si>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</si>
  <si>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</si>
  <si>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</si>
  <si>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</si>
  <si>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</si>
  <si>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</si>
  <si>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</si>
  <si>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</si>
  <si>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</si>
  <si>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</si>
  <si>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</si>
  <si>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</si>
  <si>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</si>
  <si>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</si>
  <si>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</si>
  <si>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</si>
  <si>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</si>
  <si>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</si>
  <si>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</si>
  <si>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</si>
  <si>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</si>
  <si>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</si>
  <si>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</si>
  <si>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</si>
  <si>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</si>
  <si>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</si>
  <si>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</si>
  <si>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</si>
  <si>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</si>
  <si>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</si>
  <si>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</si>
  <si>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</si>
  <si>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</si>
  <si>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</si>
  <si>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</si>
  <si>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</si>
  <si>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</si>
  <si>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</si>
  <si>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</si>
  <si>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</si>
  <si>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</si>
  <si>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</si>
  <si>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</si>
  <si>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</si>
  <si>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</si>
  <si>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</si>
  <si>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</si>
  <si>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</si>
  <si>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</si>
  <si>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</si>
  <si>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</si>
  <si>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</si>
  <si>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</si>
  <si>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</si>
  <si>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</si>
  <si>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</si>
  <si>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</si>
  <si>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</si>
  <si>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</si>
  <si>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Subbed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</si>
</sst>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G1" sqref="G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1" t="s">
        <v>264</v>
      </c>
      <c r="C2" s="72"/>
      <c r="D2" s="73"/>
      <c r="F2" s="71" t="s">
        <v>267</v>
      </c>
      <c r="G2" s="72"/>
      <c r="H2" s="73"/>
      <c r="J2" s="71" t="s">
        <v>270</v>
      </c>
      <c r="K2" s="72"/>
      <c r="L2" s="73"/>
      <c r="N2" s="71" t="s">
        <v>273</v>
      </c>
      <c r="O2" s="72"/>
      <c r="P2" s="73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68" t="s">
        <v>276</v>
      </c>
      <c r="C27" s="69"/>
      <c r="D27" s="70"/>
      <c r="E27" s="17"/>
      <c r="F27" s="68" t="s">
        <v>279</v>
      </c>
      <c r="G27" s="69"/>
      <c r="H27" s="70"/>
      <c r="I27" s="17"/>
      <c r="J27" s="68" t="s">
        <v>282</v>
      </c>
      <c r="K27" s="69"/>
      <c r="L27" s="70"/>
      <c r="M27" s="17"/>
      <c r="N27" s="68" t="s">
        <v>285</v>
      </c>
      <c r="O27" s="69"/>
      <c r="P27" s="70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activeCell="E8" sqref="E8"/>
    </sheetView>
  </sheetViews>
  <sheetFormatPr defaultColWidth="9.140625" defaultRowHeight="15" customHeight="1" zeroHeight="1" x14ac:dyDescent="0.25"/>
  <cols>
    <col min="1" max="1" width="9.140625" style="67"/>
    <col min="2" max="2" width="17.140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2833</v>
      </c>
      <c r="F3" s="31">
        <f>VLOOKUP($B3,PickedPlayers!D:Q,7,FALSE)</f>
        <v>0</v>
      </c>
      <c r="G3" s="30" t="str">
        <f>VLOOKUP($C3,Fixtures!A:I,3,FALSE)</f>
        <v>HAI</v>
      </c>
      <c r="H3" s="20"/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2670</v>
      </c>
      <c r="F4" s="31">
        <f>VLOOKUP($B4,PickedPlayers!D:Q,7,FALSE)</f>
        <v>0</v>
      </c>
      <c r="G4" s="30" t="str">
        <f>VLOOKUP($C4,Fixtures!A:I,3,FALSE)</f>
        <v>SCO</v>
      </c>
      <c r="H4" s="20"/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/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/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2833</v>
      </c>
      <c r="F7" s="31">
        <f>VLOOKUP($B7,PickedPlayers!D:Q,7,FALSE)</f>
        <v>0</v>
      </c>
      <c r="G7" s="30" t="str">
        <f>VLOOKUP($C7,Fixtures!A:I,3,FALSE)</f>
        <v>SAU</v>
      </c>
      <c r="H7" s="20"/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2670</v>
      </c>
      <c r="F8" s="31">
        <f>VLOOKUP($B8,PickedPlayers!D:Q,7,FALSE)</f>
        <v>0</v>
      </c>
      <c r="G8" s="30" t="str">
        <f>VLOOKUP($C8,Fixtures!A:I,3,FALSE)</f>
        <v>IVO</v>
      </c>
      <c r="H8" s="20"/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2673</v>
      </c>
      <c r="F9" s="31">
        <f>VLOOKUP($B9,PickedPlayers!D:Q,7,FALSE)</f>
        <v>0</v>
      </c>
      <c r="G9" s="30" t="str">
        <f>VLOOKUP($C9,Fixtures!A:I,3,FALSE)</f>
        <v>GHA</v>
      </c>
      <c r="H9" s="20"/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GHA</v>
      </c>
      <c r="H10" s="20"/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IRA</v>
      </c>
      <c r="H11" s="20"/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CAP</v>
      </c>
      <c r="H12" s="20"/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/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IRQ</v>
      </c>
      <c r="H14" s="20"/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AUT</v>
      </c>
      <c r="H15" s="20"/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CAP</v>
      </c>
      <c r="H16" s="20"/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IRA</v>
      </c>
      <c r="H17" s="20"/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IRQ</v>
      </c>
      <c r="H18" s="35"/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topLeftCell="B1" workbookViewId="0">
      <selection activeCell="H17" sqref="H17"/>
    </sheetView>
  </sheetViews>
  <sheetFormatPr defaultColWidth="9.140625" defaultRowHeight="15" customHeight="1" zeroHeight="1" x14ac:dyDescent="0.25"/>
  <cols>
    <col min="1" max="1" width="9.140625" style="67"/>
    <col min="2" max="2" width="15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2670</v>
      </c>
      <c r="F3" s="31">
        <f>VLOOKUP($B3,PickedPlayers!D:Q,7,FALSE)</f>
        <v>0</v>
      </c>
      <c r="G3" s="30" t="str">
        <f>VLOOKUP($C3,Fixtures!A:I,3,FALSE)</f>
        <v>GHA</v>
      </c>
      <c r="H3" s="20" t="s">
        <v>2670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2671</v>
      </c>
      <c r="F4" s="31">
        <f>VLOOKUP($B4,PickedPlayers!D:Q,7,FALSE)</f>
        <v>0</v>
      </c>
      <c r="G4" s="30" t="str">
        <f>VLOOKUP($C4,Fixtures!A:I,3,FALSE)</f>
        <v>TUN</v>
      </c>
      <c r="H4" s="20" t="s">
        <v>2671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2672</v>
      </c>
      <c r="F6" s="31">
        <f>VLOOKUP($B6,PickedPlayers!D:Q,7,FALSE)</f>
        <v>0</v>
      </c>
      <c r="G6" s="30" t="str">
        <f>VLOOKUP($C6,Fixtures!A:I,3,FALSE)</f>
        <v>AUS</v>
      </c>
      <c r="H6" s="20" t="s">
        <v>2670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2673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2670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2670</v>
      </c>
      <c r="F9" s="31">
        <f>VLOOKUP($B9,PickedPlayers!D:Q,7,FALSE)</f>
        <v>0</v>
      </c>
      <c r="G9" s="30" t="str">
        <f>VLOOKUP($C9,Fixtures!A:I,3,FALSE)</f>
        <v>CON</v>
      </c>
      <c r="H9" s="20" t="s">
        <v>2670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2678</v>
      </c>
      <c r="D13" s="30" t="str">
        <f>VLOOKUP($C13,Fixtures!A:I,2,FALSE)</f>
        <v>AUS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2674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2676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activeCell="A3" sqref="A3:C18"/>
    </sheetView>
  </sheetViews>
  <sheetFormatPr defaultColWidth="9.140625" defaultRowHeight="15" customHeight="1" zeroHeight="1" x14ac:dyDescent="0.25"/>
  <cols>
    <col min="1" max="1" width="9.140625" style="67"/>
    <col min="2" max="2" width="14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2670</v>
      </c>
      <c r="F3" s="31">
        <f>VLOOKUP($B3,PickedPlayers!D:Q,7,FALSE)</f>
        <v>0</v>
      </c>
      <c r="G3" s="30" t="str">
        <f>VLOOKUP($C3,Fixtures!A:I,3,FALSE)</f>
        <v>SAU</v>
      </c>
      <c r="H3" s="20" t="s">
        <v>2670</v>
      </c>
      <c r="I3" s="31">
        <f>VLOOKUP($B3,PickedPlayers!D:Q,8,FALSE)</f>
        <v>0</v>
      </c>
      <c r="J3" s="30" t="str">
        <f>VLOOKUP($C3,Fixtures!A:I,4,FALSE)</f>
        <v>URU</v>
      </c>
      <c r="K3" s="20" t="s">
        <v>2670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2671</v>
      </c>
      <c r="F4" s="31">
        <f>VLOOKUP($B4,PickedPlayers!D:Q,7,FALSE)</f>
        <v>0</v>
      </c>
      <c r="G4" s="30" t="str">
        <f>VLOOKUP($C4,Fixtures!A:I,3,FALSE)</f>
        <v>PAN</v>
      </c>
      <c r="H4" s="20" t="s">
        <v>2671</v>
      </c>
      <c r="I4" s="31">
        <f>VLOOKUP($B4,PickedPlayers!D:Q,8,FALSE)</f>
        <v>0</v>
      </c>
      <c r="J4" s="30" t="str">
        <f>VLOOKUP($C4,Fixtures!A:I,4,FALSE)</f>
        <v>GHA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2670</v>
      </c>
      <c r="F5" s="31">
        <f>VLOOKUP($B5,PickedPlayers!D:Q,7,FALSE)</f>
        <v>0</v>
      </c>
      <c r="G5" s="30" t="str">
        <f>VLOOKUP($C5,Fixtures!A:I,3,FALSE)</f>
        <v>SCO</v>
      </c>
      <c r="H5" s="20" t="s">
        <v>2670</v>
      </c>
      <c r="I5" s="31">
        <f>VLOOKUP($B5,PickedPlayers!D:Q,8,FALSE)</f>
        <v>0</v>
      </c>
      <c r="J5" s="30" t="str">
        <f>VLOOKUP($C5,Fixtures!A:I,4,FALSE)</f>
        <v>HAI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2670</v>
      </c>
      <c r="F6" s="31">
        <f>VLOOKUP($B6,PickedPlayers!D:Q,7,FALSE)</f>
        <v>0</v>
      </c>
      <c r="G6" s="30" t="str">
        <f>VLOOKUP($C6,Fixtures!A:I,3,FALSE)</f>
        <v>SAU</v>
      </c>
      <c r="H6" s="20" t="s">
        <v>2670</v>
      </c>
      <c r="I6" s="31">
        <f>VLOOKUP($B6,PickedPlayers!D:Q,8,FALSE)</f>
        <v>0</v>
      </c>
      <c r="J6" s="30" t="str">
        <f>VLOOKUP($C6,Fixtures!A:I,4,FALSE)</f>
        <v>URU</v>
      </c>
      <c r="K6" s="20" t="s">
        <v>2670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2672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 t="s">
        <v>2670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2677</v>
      </c>
      <c r="F8" s="31">
        <f>VLOOKUP($B8,PickedPlayers!D:Q,7,FALSE)</f>
        <v>0</v>
      </c>
      <c r="G8" s="30" t="str">
        <f>VLOOKUP($C8,Fixtures!A:I,3,FALSE)</f>
        <v>GHA</v>
      </c>
      <c r="H8" s="20" t="s">
        <v>2670</v>
      </c>
      <c r="I8" s="31">
        <f>VLOOKUP($B8,PickedPlayers!D:Q,8,FALSE)</f>
        <v>0</v>
      </c>
      <c r="J8" s="30" t="str">
        <f>VLOOKUP($C8,Fixtures!A:I,4,FALSE)</f>
        <v>PAN</v>
      </c>
      <c r="K8" s="20" t="s">
        <v>2670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2670</v>
      </c>
      <c r="F9" s="31">
        <f>VLOOKUP($B9,PickedPlayers!D:Q,7,FALSE)</f>
        <v>0</v>
      </c>
      <c r="G9" s="30" t="str">
        <f>VLOOKUP($C9,Fixtures!A:I,3,FALSE)</f>
        <v>SWE</v>
      </c>
      <c r="H9" s="20" t="s">
        <v>2672</v>
      </c>
      <c r="I9" s="31">
        <f>VLOOKUP($B9,PickedPlayers!D:Q,8,FALSE)</f>
        <v>0</v>
      </c>
      <c r="J9" s="30" t="str">
        <f>VLOOKUP($C9,Fixtures!A:I,4,FALSE)</f>
        <v>TUN</v>
      </c>
      <c r="K9" s="20" t="s">
        <v>2677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2674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2670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2670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2670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2679</v>
      </c>
      <c r="D17" s="30" t="str">
        <f>VLOOKUP($C17,Fixtures!A:I,2,FALSE)</f>
        <v>CZE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2670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activeCell="E13" sqref="E13"/>
    </sheetView>
  </sheetViews>
  <sheetFormatPr defaultColWidth="9.140625" defaultRowHeight="15" zeroHeight="1" x14ac:dyDescent="0.25"/>
  <cols>
    <col min="1" max="1" width="9.140625" style="67"/>
    <col min="2" max="2" width="14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2670</v>
      </c>
      <c r="F3" s="31">
        <f>VLOOKUP($B3,PickedPlayers!D:Q,7,FALSE)</f>
        <v>0</v>
      </c>
      <c r="G3" s="30" t="str">
        <f>VLOOKUP($C3,Fixtures!A:I,3,FALSE)</f>
        <v>HAI</v>
      </c>
      <c r="H3" s="20" t="s">
        <v>2670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2671</v>
      </c>
      <c r="F4" s="31">
        <f>VLOOKUP($B4,PickedPlayers!D:Q,7,FALSE)</f>
        <v>0</v>
      </c>
      <c r="G4" s="30" t="str">
        <f>VLOOKUP($C4,Fixtures!A:I,3,FALSE)</f>
        <v>AUS</v>
      </c>
      <c r="H4" s="20" t="s">
        <v>2671</v>
      </c>
      <c r="I4" s="31">
        <f>VLOOKUP($B4,PickedPlayers!D:Q,8,FALSE)</f>
        <v>0</v>
      </c>
      <c r="J4" s="30" t="str">
        <f>VLOOKUP($C4,Fixtures!A:I,4,FALSE)</f>
        <v>TUR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2670</v>
      </c>
      <c r="F5" s="31">
        <f>VLOOKUP($B5,PickedPlayers!D:Q,7,FALSE)</f>
        <v>0</v>
      </c>
      <c r="G5" s="30" t="str">
        <f>VLOOKUP($C5,Fixtures!A:I,3,FALSE)</f>
        <v>GHA</v>
      </c>
      <c r="H5" s="20" t="s">
        <v>2670</v>
      </c>
      <c r="I5" s="31">
        <f>VLOOKUP($B5,PickedPlayers!D:Q,8,FALSE)</f>
        <v>0</v>
      </c>
      <c r="J5" s="30" t="str">
        <f>VLOOKUP($C5,Fixtures!A:I,4,FALSE)</f>
        <v>PAN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2675</v>
      </c>
      <c r="F6" s="31">
        <f>VLOOKUP($B6,PickedPlayers!D:Q,7,FALSE)</f>
        <v>0</v>
      </c>
      <c r="G6" s="30" t="str">
        <f>VLOOKUP($C6,Fixtures!A:I,3,FALSE)</f>
        <v>IVO</v>
      </c>
      <c r="H6" s="20" t="s">
        <v>2672</v>
      </c>
      <c r="I6" s="31">
        <f>VLOOKUP($B6,PickedPlayers!D:Q,8,FALSE)</f>
        <v>0</v>
      </c>
      <c r="J6" s="30" t="str">
        <f>VLOOKUP($C6,Fixtures!A:I,4,FALSE)</f>
        <v>ECU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2674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2833</v>
      </c>
      <c r="F8" s="31">
        <f>VLOOKUP($B8,PickedPlayers!D:Q,7,FALSE)</f>
        <v>0</v>
      </c>
      <c r="G8" s="30" t="str">
        <f>VLOOKUP($C8,Fixtures!A:I,3,FALSE)</f>
        <v>UZB</v>
      </c>
      <c r="H8" s="20" t="s">
        <v>2670</v>
      </c>
      <c r="I8" s="31">
        <f>VLOOKUP($B8,PickedPlayers!D:Q,8,FALSE)</f>
        <v>0</v>
      </c>
      <c r="J8" s="30" t="str">
        <f>VLOOKUP($C8,Fixtures!A:I,4,FALSE)</f>
        <v>COL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2679</v>
      </c>
      <c r="D9" s="30" t="str">
        <f>VLOOKUP($C9,Fixtures!A:I,2,FALSE)</f>
        <v>CZE</v>
      </c>
      <c r="E9" s="20" t="s">
        <v>2673</v>
      </c>
      <c r="F9" s="31">
        <f>VLOOKUP($B9,PickedPlayers!D:Q,7,FALSE)</f>
        <v>0</v>
      </c>
      <c r="G9" s="30" t="str">
        <f>VLOOKUP($C9,Fixtures!A:I,3,FALSE)</f>
        <v>MEX</v>
      </c>
      <c r="H9" s="20" t="s">
        <v>2677</v>
      </c>
      <c r="I9" s="31">
        <f>VLOOKUP($B9,PickedPlayers!D:Q,8,FALSE)</f>
        <v>0</v>
      </c>
      <c r="J9" s="30" t="str">
        <f>VLOOKUP($C9,Fixtures!A:I,4,FALSE)</f>
        <v>SOU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JOR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PAN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NOR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2670</v>
      </c>
      <c r="I14" s="31">
        <f>VLOOKUP($B14,PickedPlayers!D:Q,8,FALSE)</f>
        <v>0</v>
      </c>
      <c r="J14" s="30" t="str">
        <f>VLOOKUP($C14,Fixtures!A:I,4,FALSE)</f>
        <v>URU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2670</v>
      </c>
      <c r="I15" s="31">
        <f>VLOOKUP($B15,PickedPlayers!D:Q,8,FALSE)</f>
        <v>0</v>
      </c>
      <c r="J15" s="30" t="str">
        <f>VLOOKUP($C15,Fixtures!A:I,4,FALSE)</f>
        <v>FRA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CAN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JAP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KOR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tabSelected="1" workbookViewId="0">
      <selection activeCell="E13" sqref="E13"/>
    </sheetView>
  </sheetViews>
  <sheetFormatPr defaultColWidth="9.140625" defaultRowHeight="15" customHeight="1" zeroHeight="1" x14ac:dyDescent="0.25"/>
  <cols>
    <col min="1" max="1" width="9.140625" style="67"/>
    <col min="2" max="2" width="16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2670</v>
      </c>
      <c r="F3" s="31">
        <f>VLOOKUP($B3,PickedPlayers!D:Q,7,FALSE)</f>
        <v>0</v>
      </c>
      <c r="G3" s="30" t="str">
        <f>VLOOKUP($C3,Fixtures!A:I,3,FALSE)</f>
        <v>IRA</v>
      </c>
      <c r="H3" s="20" t="s">
        <v>2670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2833</v>
      </c>
      <c r="F4" s="31">
        <f>VLOOKUP($B4,PickedPlayers!D:Q,7,FALSE)</f>
        <v>0</v>
      </c>
      <c r="G4" s="30" t="str">
        <f>VLOOKUP($C4,Fixtures!A:I,3,FALSE)</f>
        <v>SAU</v>
      </c>
      <c r="H4" s="20" t="s">
        <v>2671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2670</v>
      </c>
      <c r="F5" s="31">
        <f>VLOOKUP($B5,PickedPlayers!D:Q,7,FALSE)</f>
        <v>0</v>
      </c>
      <c r="G5" s="30" t="str">
        <f>VLOOKUP($C5,Fixtures!A:I,3,FALSE)</f>
        <v>HAI</v>
      </c>
      <c r="H5" s="20" t="s">
        <v>2670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2674</v>
      </c>
      <c r="F6" s="31">
        <f>VLOOKUP($B6,PickedPlayers!D:Q,7,FALSE)</f>
        <v>0</v>
      </c>
      <c r="G6" s="30" t="str">
        <f>VLOOKUP($C6,Fixtures!A:I,3,FALSE)</f>
        <v>GHA</v>
      </c>
      <c r="H6" s="20" t="s">
        <v>2677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2670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2670</v>
      </c>
      <c r="F8" s="31">
        <f>VLOOKUP($B8,PickedPlayers!D:Q,7,FALSE)</f>
        <v>0</v>
      </c>
      <c r="G8" s="30" t="str">
        <f>VLOOKUP($C8,Fixtures!A:I,3,FALSE)</f>
        <v>IRQ</v>
      </c>
      <c r="H8" s="20" t="s">
        <v>2670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2833</v>
      </c>
      <c r="F9" s="31">
        <f>VLOOKUP($B9,PickedPlayers!D:Q,7,FALSE)</f>
        <v>0</v>
      </c>
      <c r="G9" s="30" t="str">
        <f>VLOOKUP($C9,Fixtures!A:I,3,FALSE)</f>
        <v>QAT</v>
      </c>
      <c r="H9" s="20" t="s">
        <v>2670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2675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2670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E9" sqref="E9"/>
    </sheetView>
  </sheetViews>
  <sheetFormatPr defaultColWidth="9.140625" defaultRowHeight="15" customHeight="1" zeroHeight="1" x14ac:dyDescent="0.25"/>
  <cols>
    <col min="1" max="1" width="9.140625" style="67"/>
    <col min="2" max="2" width="1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2671</v>
      </c>
      <c r="F3" s="31">
        <f>VLOOKUP($B3,PickedPlayers!D:Q,7,FALSE)</f>
        <v>0</v>
      </c>
      <c r="G3" s="30" t="str">
        <f>VLOOKUP($C3,Fixtures!A:I,3,FALSE)</f>
        <v>IRQ</v>
      </c>
      <c r="H3" s="20"/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2670</v>
      </c>
      <c r="F4" s="31">
        <f>VLOOKUP($B4,PickedPlayers!D:Q,7,FALSE)</f>
        <v>0</v>
      </c>
      <c r="G4" s="30" t="str">
        <f>VLOOKUP($C4,Fixtures!A:I,3,FALSE)</f>
        <v>UZB</v>
      </c>
      <c r="H4" s="20"/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2670</v>
      </c>
      <c r="F5" s="31">
        <f>VLOOKUP($B5,PickedPlayers!D:Q,7,FALSE)</f>
        <v>0</v>
      </c>
      <c r="G5" s="30" t="str">
        <f>VLOOKUP($C5,Fixtures!A:I,3,FALSE)</f>
        <v>SAU</v>
      </c>
      <c r="H5" s="20"/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2833</v>
      </c>
      <c r="F6" s="31">
        <f>VLOOKUP($B6,PickedPlayers!D:Q,7,FALSE)</f>
        <v>0</v>
      </c>
      <c r="G6" s="30" t="str">
        <f>VLOOKUP($C6,Fixtures!A:I,3,FALSE)</f>
        <v>AUT</v>
      </c>
      <c r="H6" s="20"/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2670</v>
      </c>
      <c r="F7" s="31">
        <f>VLOOKUP($B7,PickedPlayers!D:Q,7,FALSE)</f>
        <v>0</v>
      </c>
      <c r="G7" s="30" t="str">
        <f>VLOOKUP($C7,Fixtures!A:I,3,FALSE)</f>
        <v>IVO</v>
      </c>
      <c r="H7" s="20"/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/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2670</v>
      </c>
      <c r="F9" s="31">
        <f>VLOOKUP($B9,PickedPlayers!D:Q,7,FALSE)</f>
        <v>0</v>
      </c>
      <c r="G9" s="30" t="str">
        <f>VLOOKUP($C9,Fixtures!A:I,3,FALSE)</f>
        <v>HAI</v>
      </c>
      <c r="H9" s="20"/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/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HAI</v>
      </c>
      <c r="H11" s="20"/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/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IRA</v>
      </c>
      <c r="H13" s="20"/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2676</v>
      </c>
      <c r="F15" s="31">
        <f>VLOOKUP($B15,PickedPlayers!D:Q,7,FALSE)</f>
        <v>0</v>
      </c>
      <c r="G15" s="30" t="str">
        <f>VLOOKUP($C15,Fixtures!A:I,3,FALSE)</f>
        <v>HAI</v>
      </c>
      <c r="H15" s="20"/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2674</v>
      </c>
      <c r="F16" s="31">
        <f>VLOOKUP($B16,PickedPlayers!D:Q,7,FALSE)</f>
        <v>0</v>
      </c>
      <c r="G16" s="30" t="str">
        <f>VLOOKUP($C16,Fixtures!A:I,3,FALSE)</f>
        <v>IVO</v>
      </c>
      <c r="H16" s="20"/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IRQ</v>
      </c>
      <c r="H17" s="20"/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SAU</v>
      </c>
      <c r="H18" s="35"/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activeCell="E12" sqref="E12"/>
    </sheetView>
  </sheetViews>
  <sheetFormatPr defaultColWidth="9.140625" defaultRowHeight="15" customHeight="1" zeroHeight="1" x14ac:dyDescent="0.25"/>
  <cols>
    <col min="1" max="1" width="9.140625" style="67"/>
    <col min="2" max="2" width="1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2670</v>
      </c>
      <c r="F3" s="31">
        <f>VLOOKUP($B3,PickedPlayers!D:Q,7,FALSE)</f>
        <v>0</v>
      </c>
      <c r="G3" s="30" t="str">
        <f>VLOOKUP($C3,Fixtures!A:I,3,FALSE)</f>
        <v>AUT</v>
      </c>
      <c r="H3" s="20"/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2671</v>
      </c>
      <c r="F4" s="31">
        <f>VLOOKUP($B4,PickedPlayers!D:Q,7,FALSE)</f>
        <v>0</v>
      </c>
      <c r="G4" s="30" t="str">
        <f>VLOOKUP($C4,Fixtures!A:I,3,FALSE)</f>
        <v>BOS</v>
      </c>
      <c r="H4" s="20"/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2670</v>
      </c>
      <c r="F5" s="31">
        <f>VLOOKUP($B5,PickedPlayers!D:Q,7,FALSE)</f>
        <v>0</v>
      </c>
      <c r="G5" s="30" t="str">
        <f>VLOOKUP($C5,Fixtures!A:I,3,FALSE)</f>
        <v>SWE</v>
      </c>
      <c r="H5" s="20"/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2833</v>
      </c>
      <c r="F6" s="31">
        <f>VLOOKUP($B6,PickedPlayers!D:Q,7,FALSE)</f>
        <v>0</v>
      </c>
      <c r="G6" s="30" t="str">
        <f>VLOOKUP($C6,Fixtures!A:I,3,FALSE)</f>
        <v>SAU</v>
      </c>
      <c r="H6" s="20"/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2670</v>
      </c>
      <c r="F7" s="31">
        <f>VLOOKUP($B7,PickedPlayers!D:Q,7,FALSE)</f>
        <v>0</v>
      </c>
      <c r="G7" s="30" t="str">
        <f>VLOOKUP($C7,Fixtures!A:I,3,FALSE)</f>
        <v>IRA</v>
      </c>
      <c r="H7" s="20"/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2673</v>
      </c>
      <c r="F8" s="31">
        <f>VLOOKUP($B8,PickedPlayers!D:Q,7,FALSE)</f>
        <v>0</v>
      </c>
      <c r="G8" s="30" t="str">
        <f>VLOOKUP($C8,Fixtures!A:I,3,FALSE)</f>
        <v>GHA</v>
      </c>
      <c r="H8" s="20"/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2674</v>
      </c>
      <c r="F9" s="31">
        <f>VLOOKUP($B9,PickedPlayers!D:Q,7,FALSE)</f>
        <v>0</v>
      </c>
      <c r="G9" s="30" t="str">
        <f>VLOOKUP($C9,Fixtures!A:I,3,FALSE)</f>
        <v>IVO</v>
      </c>
      <c r="H9" s="20"/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UZB</v>
      </c>
      <c r="H10" s="20"/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/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SWE</v>
      </c>
      <c r="H12" s="20"/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2680</v>
      </c>
      <c r="D13" s="30" t="str">
        <f>VLOOKUP($C13,Fixtures!A:I,2,FALSE)</f>
        <v>ECU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GER</v>
      </c>
      <c r="H13" s="20"/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AUT</v>
      </c>
      <c r="H14" s="20"/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GHA</v>
      </c>
      <c r="H15" s="20"/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CON</v>
      </c>
      <c r="H16" s="20"/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NZL</v>
      </c>
      <c r="H17" s="20"/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SWE</v>
      </c>
      <c r="H18" s="35"/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topLeftCell="B1" workbookViewId="0">
      <selection activeCell="H15" sqref="H15"/>
    </sheetView>
  </sheetViews>
  <sheetFormatPr defaultColWidth="9.140625" defaultRowHeight="15" customHeight="1" zeroHeight="1" x14ac:dyDescent="0.25"/>
  <cols>
    <col min="1" max="1" width="9.140625" style="67"/>
    <col min="2" max="2" width="15.57031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/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2670</v>
      </c>
      <c r="F3" s="31">
        <f>VLOOKUP($B3,PickedPlayers!D:Q,7,FALSE)</f>
        <v>0</v>
      </c>
      <c r="G3" s="30" t="str">
        <f>VLOOKUP($C3,Fixtures!A:I,3,FALSE)</f>
        <v>IVO</v>
      </c>
      <c r="H3" s="20" t="s">
        <v>2670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2671</v>
      </c>
      <c r="F4" s="31">
        <f>VLOOKUP($B4,PickedPlayers!D:Q,7,FALSE)</f>
        <v>0</v>
      </c>
      <c r="G4" s="30" t="str">
        <f>VLOOKUP($C4,Fixtures!A:I,3,FALSE)</f>
        <v>SWE</v>
      </c>
      <c r="H4" s="20" t="s">
        <v>2671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 t="s">
        <v>2670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2670</v>
      </c>
      <c r="F7" s="31">
        <f>VLOOKUP($B7,PickedPlayers!D:Q,7,FALSE)</f>
        <v>0</v>
      </c>
      <c r="G7" s="30" t="str">
        <f>VLOOKUP($C7,Fixtures!A:I,3,FALSE)</f>
        <v>SWE</v>
      </c>
      <c r="H7" s="20" t="s">
        <v>2670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2672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2670</v>
      </c>
      <c r="F9" s="31">
        <f>VLOOKUP($B9,PickedPlayers!D:Q,7,FALSE)</f>
        <v>0</v>
      </c>
      <c r="G9" s="30" t="str">
        <f>VLOOKUP($C9,Fixtures!A:I,3,FALSE)</f>
        <v>SAU</v>
      </c>
      <c r="H9" s="20" t="s">
        <v>2670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2677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selection activeCell="J50" sqref="J50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2681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2682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2683</v>
      </c>
      <c r="AA1" s="4" t="s">
        <v>2684</v>
      </c>
      <c r="AB1" s="4" t="s">
        <v>2685</v>
      </c>
      <c r="AC1" s="4" t="s">
        <v>2686</v>
      </c>
      <c r="AD1" s="4" t="s">
        <v>2687</v>
      </c>
      <c r="AE1" s="4" t="s">
        <v>2688</v>
      </c>
      <c r="AF1" s="4" t="s">
        <v>2689</v>
      </c>
      <c r="AG1" s="4" t="s">
        <v>2690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2691</v>
      </c>
      <c r="I2" s="39" t="s">
        <v>2692</v>
      </c>
      <c r="J2" s="39" t="s">
        <v>2693</v>
      </c>
      <c r="K2" s="39" t="s">
        <v>2691</v>
      </c>
      <c r="L2" s="39" t="s">
        <v>2693</v>
      </c>
      <c r="M2" s="39" t="s">
        <v>2691</v>
      </c>
      <c r="N2" s="39" t="s">
        <v>2691</v>
      </c>
      <c r="O2" s="39" t="s">
        <v>2691</v>
      </c>
      <c r="P2" s="39" t="s">
        <v>2694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2695</v>
      </c>
      <c r="C3" s="36">
        <v>46185</v>
      </c>
      <c r="D3" s="37">
        <v>0.125</v>
      </c>
      <c r="E3" s="19" t="s">
        <v>2679</v>
      </c>
      <c r="F3" s="19" t="s">
        <v>138</v>
      </c>
      <c r="G3" s="19" t="s">
        <v>209</v>
      </c>
      <c r="H3" s="38" t="s">
        <v>2692</v>
      </c>
      <c r="I3" s="39" t="s">
        <v>2692</v>
      </c>
      <c r="J3" s="39" t="s">
        <v>2691</v>
      </c>
      <c r="K3" s="39" t="s">
        <v>2694</v>
      </c>
      <c r="L3" s="39" t="s">
        <v>2694</v>
      </c>
      <c r="M3" s="39" t="s">
        <v>2696</v>
      </c>
      <c r="N3" s="39" t="s">
        <v>2696</v>
      </c>
      <c r="O3" s="39" t="s">
        <v>2696</v>
      </c>
      <c r="P3" s="39" t="s">
        <v>2696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2697</v>
      </c>
      <c r="C4" s="36">
        <v>46185</v>
      </c>
      <c r="D4" s="37">
        <v>0.83333333333333337</v>
      </c>
      <c r="E4" s="19" t="s">
        <v>155</v>
      </c>
      <c r="F4" s="19" t="s">
        <v>2698</v>
      </c>
      <c r="G4" s="19" t="s">
        <v>209</v>
      </c>
      <c r="H4" s="38" t="s">
        <v>2696</v>
      </c>
      <c r="I4" s="39" t="s">
        <v>2696</v>
      </c>
      <c r="J4" s="39" t="s">
        <v>2699</v>
      </c>
      <c r="K4" s="39" t="s">
        <v>2692</v>
      </c>
      <c r="L4" s="39" t="s">
        <v>2692</v>
      </c>
      <c r="M4" s="39" t="s">
        <v>2694</v>
      </c>
      <c r="N4" s="39" t="s">
        <v>2692</v>
      </c>
      <c r="O4" s="39" t="s">
        <v>2692</v>
      </c>
      <c r="P4" s="39" t="s">
        <v>2694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2700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2701</v>
      </c>
      <c r="I5" s="39" t="s">
        <v>2692</v>
      </c>
      <c r="J5" s="39" t="s">
        <v>2702</v>
      </c>
      <c r="K5" s="39" t="s">
        <v>2692</v>
      </c>
      <c r="L5" s="39" t="s">
        <v>2691</v>
      </c>
      <c r="M5" s="39" t="s">
        <v>2696</v>
      </c>
      <c r="N5" s="39" t="s">
        <v>2692</v>
      </c>
      <c r="O5" s="39" t="s">
        <v>2692</v>
      </c>
      <c r="P5" s="39" t="s">
        <v>2694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2696</v>
      </c>
      <c r="I6" s="39" t="s">
        <v>2703</v>
      </c>
      <c r="J6" s="39" t="s">
        <v>2704</v>
      </c>
      <c r="K6" s="39" t="s">
        <v>2704</v>
      </c>
      <c r="L6" s="39" t="s">
        <v>2705</v>
      </c>
      <c r="M6" s="39" t="s">
        <v>2706</v>
      </c>
      <c r="N6" s="39" t="s">
        <v>2703</v>
      </c>
      <c r="O6" s="39" t="s">
        <v>2703</v>
      </c>
      <c r="P6" s="39" t="s">
        <v>2703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2696</v>
      </c>
      <c r="I7" s="39" t="s">
        <v>2691</v>
      </c>
      <c r="J7" s="39" t="s">
        <v>2701</v>
      </c>
      <c r="K7" s="39" t="s">
        <v>2692</v>
      </c>
      <c r="L7" s="39" t="s">
        <v>2693</v>
      </c>
      <c r="M7" s="39" t="s">
        <v>2694</v>
      </c>
      <c r="N7" s="39" t="s">
        <v>2692</v>
      </c>
      <c r="O7" s="39" t="s">
        <v>2691</v>
      </c>
      <c r="P7" s="39" t="s">
        <v>2694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2699</v>
      </c>
      <c r="I8" s="39" t="s">
        <v>2706</v>
      </c>
      <c r="J8" s="39" t="s">
        <v>2707</v>
      </c>
      <c r="K8" s="39" t="s">
        <v>2704</v>
      </c>
      <c r="L8" s="39" t="s">
        <v>2704</v>
      </c>
      <c r="M8" s="39" t="s">
        <v>2703</v>
      </c>
      <c r="N8" s="39" t="s">
        <v>2703</v>
      </c>
      <c r="O8" s="39" t="s">
        <v>2703</v>
      </c>
      <c r="P8" s="39" t="s">
        <v>2699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2708</v>
      </c>
      <c r="C9" s="36">
        <v>46187</v>
      </c>
      <c r="D9" s="37">
        <v>0.20833333333333334</v>
      </c>
      <c r="E9" s="19" t="s">
        <v>111</v>
      </c>
      <c r="F9" s="19" t="s">
        <v>2678</v>
      </c>
      <c r="G9" s="19" t="s">
        <v>209</v>
      </c>
      <c r="H9" s="38" t="s">
        <v>2691</v>
      </c>
      <c r="I9" s="39" t="s">
        <v>2706</v>
      </c>
      <c r="J9" s="39" t="s">
        <v>2703</v>
      </c>
      <c r="K9" s="39" t="s">
        <v>2696</v>
      </c>
      <c r="L9" s="39" t="s">
        <v>2709</v>
      </c>
      <c r="M9" s="39" t="s">
        <v>2699</v>
      </c>
      <c r="N9" s="39" t="s">
        <v>2706</v>
      </c>
      <c r="O9" s="39" t="s">
        <v>2706</v>
      </c>
      <c r="P9" s="39" t="s">
        <v>2699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2710</v>
      </c>
      <c r="C10" s="36">
        <v>46187</v>
      </c>
      <c r="D10" s="37">
        <v>0.75</v>
      </c>
      <c r="E10" s="19" t="s">
        <v>131</v>
      </c>
      <c r="F10" s="19" t="s">
        <v>2711</v>
      </c>
      <c r="G10" s="19" t="s">
        <v>209</v>
      </c>
      <c r="H10" s="38"/>
      <c r="I10" s="39" t="s">
        <v>2712</v>
      </c>
      <c r="J10" s="39" t="s">
        <v>2713</v>
      </c>
      <c r="K10" s="39" t="s">
        <v>2714</v>
      </c>
      <c r="L10" s="39" t="s">
        <v>2714</v>
      </c>
      <c r="M10" s="39" t="s">
        <v>2715</v>
      </c>
      <c r="N10" s="39" t="s">
        <v>2714</v>
      </c>
      <c r="O10" s="39" t="s">
        <v>2716</v>
      </c>
      <c r="P10" s="39" t="s">
        <v>2716</v>
      </c>
      <c r="Q10" s="3" t="e">
        <f t="shared" si="2"/>
        <v>#VALUE!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e">
        <f t="shared" si="11"/>
        <v>#VALUE!</v>
      </c>
      <c r="AA10" s="3" t="e">
        <f t="shared" si="12"/>
        <v>#VALUE!</v>
      </c>
      <c r="AB10" s="3" t="e">
        <f t="shared" si="13"/>
        <v>#VALUE!</v>
      </c>
      <c r="AC10" s="3" t="e">
        <f t="shared" si="14"/>
        <v>#VALUE!</v>
      </c>
      <c r="AD10" s="3" t="e">
        <f t="shared" si="15"/>
        <v>#VALUE!</v>
      </c>
      <c r="AE10" s="3" t="e">
        <f t="shared" si="16"/>
        <v>#VALUE!</v>
      </c>
      <c r="AF10" s="3" t="e">
        <f t="shared" si="17"/>
        <v>#VALUE!</v>
      </c>
      <c r="AG10" s="3" t="e">
        <f t="shared" si="18"/>
        <v>#VALUE!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/>
      <c r="I11" s="39" t="s">
        <v>2692</v>
      </c>
      <c r="J11" s="39" t="s">
        <v>2699</v>
      </c>
      <c r="K11" s="39" t="s">
        <v>2696</v>
      </c>
      <c r="L11" s="39" t="s">
        <v>2709</v>
      </c>
      <c r="M11" s="39" t="s">
        <v>2709</v>
      </c>
      <c r="N11" s="39" t="s">
        <v>2692</v>
      </c>
      <c r="O11" s="39" t="s">
        <v>2694</v>
      </c>
      <c r="P11" s="39" t="s">
        <v>2696</v>
      </c>
      <c r="Q11" s="3" t="e">
        <f t="shared" si="2"/>
        <v>#VALUE!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e">
        <f t="shared" si="11"/>
        <v>#VALUE!</v>
      </c>
      <c r="AA11" s="3" t="e">
        <f t="shared" si="12"/>
        <v>#VALUE!</v>
      </c>
      <c r="AB11" s="3" t="e">
        <f t="shared" si="13"/>
        <v>#VALUE!</v>
      </c>
      <c r="AC11" s="3" t="e">
        <f t="shared" si="14"/>
        <v>#VALUE!</v>
      </c>
      <c r="AD11" s="3" t="e">
        <f t="shared" si="15"/>
        <v>#VALUE!</v>
      </c>
      <c r="AE11" s="3" t="e">
        <f t="shared" si="16"/>
        <v>#VALUE!</v>
      </c>
      <c r="AF11" s="3" t="e">
        <f t="shared" si="17"/>
        <v>#VALUE!</v>
      </c>
      <c r="AG11" s="3" t="e">
        <f t="shared" si="18"/>
        <v>#VALUE!</v>
      </c>
    </row>
    <row r="12" spans="1:33" x14ac:dyDescent="0.25">
      <c r="A12" s="28" t="s">
        <v>234</v>
      </c>
      <c r="B12" s="19" t="s">
        <v>2717</v>
      </c>
      <c r="C12" s="36">
        <v>46187</v>
      </c>
      <c r="D12" s="37">
        <v>0</v>
      </c>
      <c r="E12" s="19" t="s">
        <v>2680</v>
      </c>
      <c r="F12" s="19" t="s">
        <v>130</v>
      </c>
      <c r="G12" s="19" t="s">
        <v>209</v>
      </c>
      <c r="H12" s="38"/>
      <c r="I12" s="39" t="s">
        <v>2696</v>
      </c>
      <c r="J12" s="39" t="s">
        <v>2705</v>
      </c>
      <c r="K12" s="39" t="s">
        <v>2706</v>
      </c>
      <c r="L12" s="39" t="s">
        <v>2692</v>
      </c>
      <c r="M12" s="39" t="s">
        <v>2692</v>
      </c>
      <c r="N12" s="39" t="s">
        <v>2706</v>
      </c>
      <c r="O12" s="39" t="s">
        <v>2696</v>
      </c>
      <c r="P12" s="39" t="s">
        <v>2718</v>
      </c>
      <c r="Q12" s="3" t="e">
        <f t="shared" si="2"/>
        <v>#VALUE!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e">
        <f t="shared" si="11"/>
        <v>#VALUE!</v>
      </c>
      <c r="AA12" s="3" t="e">
        <f t="shared" si="12"/>
        <v>#VALUE!</v>
      </c>
      <c r="AB12" s="3" t="e">
        <f t="shared" si="13"/>
        <v>#VALUE!</v>
      </c>
      <c r="AC12" s="3" t="e">
        <f t="shared" si="14"/>
        <v>#VALUE!</v>
      </c>
      <c r="AD12" s="3" t="e">
        <f t="shared" si="15"/>
        <v>#VALUE!</v>
      </c>
      <c r="AE12" s="3" t="e">
        <f t="shared" si="16"/>
        <v>#VALUE!</v>
      </c>
      <c r="AF12" s="3" t="e">
        <f t="shared" si="17"/>
        <v>#VALUE!</v>
      </c>
      <c r="AG12" s="3" t="e">
        <f t="shared" si="18"/>
        <v>#VALUE!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/>
      <c r="I13" s="39" t="s">
        <v>2691</v>
      </c>
      <c r="J13" s="39" t="s">
        <v>2699</v>
      </c>
      <c r="K13" s="39" t="s">
        <v>2692</v>
      </c>
      <c r="L13" s="39" t="s">
        <v>2709</v>
      </c>
      <c r="M13" s="39" t="s">
        <v>2718</v>
      </c>
      <c r="N13" s="39" t="s">
        <v>2692</v>
      </c>
      <c r="O13" s="39" t="s">
        <v>2692</v>
      </c>
      <c r="P13" s="39" t="s">
        <v>2694</v>
      </c>
      <c r="Q13" s="3" t="e">
        <f t="shared" si="2"/>
        <v>#VALUE!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e">
        <f t="shared" si="11"/>
        <v>#VALUE!</v>
      </c>
      <c r="AA13" s="3" t="e">
        <f t="shared" si="12"/>
        <v>#VALUE!</v>
      </c>
      <c r="AB13" s="3" t="e">
        <f t="shared" si="13"/>
        <v>#VALUE!</v>
      </c>
      <c r="AC13" s="3" t="e">
        <f t="shared" si="14"/>
        <v>#VALUE!</v>
      </c>
      <c r="AD13" s="3" t="e">
        <f t="shared" si="15"/>
        <v>#VALUE!</v>
      </c>
      <c r="AE13" s="3" t="e">
        <f t="shared" si="16"/>
        <v>#VALUE!</v>
      </c>
      <c r="AF13" s="3" t="e">
        <f t="shared" si="17"/>
        <v>#VALUE!</v>
      </c>
      <c r="AG13" s="3" t="e">
        <f t="shared" si="18"/>
        <v>#VALUE!</v>
      </c>
    </row>
    <row r="14" spans="1:33" x14ac:dyDescent="0.25">
      <c r="A14" s="28" t="s">
        <v>230</v>
      </c>
      <c r="B14" s="19" t="s">
        <v>2719</v>
      </c>
      <c r="C14" s="36">
        <v>46188</v>
      </c>
      <c r="D14" s="37">
        <v>0.70833333333333337</v>
      </c>
      <c r="E14" s="19" t="s">
        <v>99</v>
      </c>
      <c r="F14" s="19" t="s">
        <v>2720</v>
      </c>
      <c r="G14" s="19" t="s">
        <v>209</v>
      </c>
      <c r="H14" s="38"/>
      <c r="I14" s="39" t="s">
        <v>2712</v>
      </c>
      <c r="J14" s="39" t="s">
        <v>2721</v>
      </c>
      <c r="K14" s="39" t="s">
        <v>2712</v>
      </c>
      <c r="L14" s="39" t="s">
        <v>2715</v>
      </c>
      <c r="M14" s="39" t="s">
        <v>2712</v>
      </c>
      <c r="N14" s="39" t="s">
        <v>2714</v>
      </c>
      <c r="O14" s="39" t="s">
        <v>2712</v>
      </c>
      <c r="P14" s="39" t="s">
        <v>2712</v>
      </c>
      <c r="Q14" s="3" t="e">
        <f t="shared" si="2"/>
        <v>#VALUE!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e">
        <f t="shared" si="11"/>
        <v>#VALUE!</v>
      </c>
      <c r="AA14" s="3" t="e">
        <f t="shared" si="12"/>
        <v>#VALUE!</v>
      </c>
      <c r="AB14" s="3" t="e">
        <f t="shared" si="13"/>
        <v>#VALUE!</v>
      </c>
      <c r="AC14" s="3" t="e">
        <f t="shared" si="14"/>
        <v>#VALUE!</v>
      </c>
      <c r="AD14" s="3" t="e">
        <f t="shared" si="15"/>
        <v>#VALUE!</v>
      </c>
      <c r="AE14" s="3" t="e">
        <f t="shared" si="16"/>
        <v>#VALUE!</v>
      </c>
      <c r="AF14" s="3" t="e">
        <f t="shared" si="17"/>
        <v>#VALUE!</v>
      </c>
      <c r="AG14" s="3" t="e">
        <f t="shared" si="18"/>
        <v>#VALUE!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/>
      <c r="I15" s="39" t="s">
        <v>2691</v>
      </c>
      <c r="J15" s="39" t="s">
        <v>2691</v>
      </c>
      <c r="K15" s="39" t="s">
        <v>2692</v>
      </c>
      <c r="L15" s="39" t="s">
        <v>2692</v>
      </c>
      <c r="M15" s="39" t="s">
        <v>2691</v>
      </c>
      <c r="N15" s="39" t="s">
        <v>2692</v>
      </c>
      <c r="O15" s="39" t="s">
        <v>2692</v>
      </c>
      <c r="P15" s="39" t="s">
        <v>2694</v>
      </c>
      <c r="Q15" s="3" t="e">
        <f t="shared" si="2"/>
        <v>#VALUE!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e">
        <f t="shared" si="11"/>
        <v>#VALUE!</v>
      </c>
      <c r="AA15" s="3" t="e">
        <f t="shared" si="12"/>
        <v>#VALUE!</v>
      </c>
      <c r="AB15" s="3" t="e">
        <f t="shared" si="13"/>
        <v>#VALUE!</v>
      </c>
      <c r="AC15" s="3" t="e">
        <f t="shared" si="14"/>
        <v>#VALUE!</v>
      </c>
      <c r="AD15" s="3" t="e">
        <f t="shared" si="15"/>
        <v>#VALUE!</v>
      </c>
      <c r="AE15" s="3" t="e">
        <f t="shared" si="16"/>
        <v>#VALUE!</v>
      </c>
      <c r="AF15" s="3" t="e">
        <f t="shared" si="17"/>
        <v>#VALUE!</v>
      </c>
      <c r="AG15" s="3" t="e">
        <f t="shared" si="18"/>
        <v>#VALUE!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/>
      <c r="I16" s="39" t="s">
        <v>2703</v>
      </c>
      <c r="J16" s="39" t="s">
        <v>2694</v>
      </c>
      <c r="K16" s="39" t="s">
        <v>2706</v>
      </c>
      <c r="L16" s="39" t="s">
        <v>2696</v>
      </c>
      <c r="M16" s="39" t="s">
        <v>2706</v>
      </c>
      <c r="N16" s="39" t="s">
        <v>2699</v>
      </c>
      <c r="O16" s="39" t="s">
        <v>2706</v>
      </c>
      <c r="P16" s="39" t="s">
        <v>2699</v>
      </c>
      <c r="Q16" s="3" t="e">
        <f t="shared" si="2"/>
        <v>#VALUE!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e">
        <f t="shared" si="11"/>
        <v>#VALUE!</v>
      </c>
      <c r="AA16" s="3" t="e">
        <f t="shared" si="12"/>
        <v>#VALUE!</v>
      </c>
      <c r="AB16" s="3" t="e">
        <f t="shared" si="13"/>
        <v>#VALUE!</v>
      </c>
      <c r="AC16" s="3" t="e">
        <f t="shared" si="14"/>
        <v>#VALUE!</v>
      </c>
      <c r="AD16" s="3" t="e">
        <f t="shared" si="15"/>
        <v>#VALUE!</v>
      </c>
      <c r="AE16" s="3" t="e">
        <f t="shared" si="16"/>
        <v>#VALUE!</v>
      </c>
      <c r="AF16" s="3" t="e">
        <f t="shared" si="17"/>
        <v>#VALUE!</v>
      </c>
      <c r="AG16" s="3" t="e">
        <f t="shared" si="18"/>
        <v>#VALUE!</v>
      </c>
    </row>
    <row r="17" spans="1:33" x14ac:dyDescent="0.25">
      <c r="A17" s="28" t="s">
        <v>224</v>
      </c>
      <c r="B17" s="19" t="s">
        <v>2722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/>
      <c r="I17" s="39" t="s">
        <v>2694</v>
      </c>
      <c r="J17" s="39" t="s">
        <v>2718</v>
      </c>
      <c r="K17" s="39" t="s">
        <v>2691</v>
      </c>
      <c r="L17" s="39" t="s">
        <v>2691</v>
      </c>
      <c r="M17" s="39" t="s">
        <v>2699</v>
      </c>
      <c r="N17" s="39" t="s">
        <v>2692</v>
      </c>
      <c r="O17" s="39" t="s">
        <v>2692</v>
      </c>
      <c r="P17" s="39" t="s">
        <v>2694</v>
      </c>
      <c r="Q17" s="3" t="e">
        <f t="shared" si="2"/>
        <v>#VALUE!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e">
        <f t="shared" si="11"/>
        <v>#VALUE!</v>
      </c>
      <c r="AA17" s="3" t="e">
        <f t="shared" si="12"/>
        <v>#VALUE!</v>
      </c>
      <c r="AB17" s="3" t="e">
        <f t="shared" si="13"/>
        <v>#VALUE!</v>
      </c>
      <c r="AC17" s="3" t="e">
        <f t="shared" si="14"/>
        <v>#VALUE!</v>
      </c>
      <c r="AD17" s="3" t="e">
        <f t="shared" si="15"/>
        <v>#VALUE!</v>
      </c>
      <c r="AE17" s="3" t="e">
        <f t="shared" si="16"/>
        <v>#VALUE!</v>
      </c>
      <c r="AF17" s="3" t="e">
        <f t="shared" si="17"/>
        <v>#VALUE!</v>
      </c>
      <c r="AG17" s="3" t="e">
        <f t="shared" si="18"/>
        <v>#VALUE!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/>
      <c r="I18" s="39" t="s">
        <v>2691</v>
      </c>
      <c r="J18" s="39" t="s">
        <v>2716</v>
      </c>
      <c r="K18" s="39" t="s">
        <v>2692</v>
      </c>
      <c r="L18" s="39" t="s">
        <v>2693</v>
      </c>
      <c r="M18" s="39" t="s">
        <v>2696</v>
      </c>
      <c r="N18" s="39" t="s">
        <v>2693</v>
      </c>
      <c r="O18" s="39" t="s">
        <v>2691</v>
      </c>
      <c r="P18" s="39" t="s">
        <v>2694</v>
      </c>
      <c r="Q18" s="3" t="e">
        <f t="shared" si="2"/>
        <v>#VALUE!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e">
        <f t="shared" si="11"/>
        <v>#VALUE!</v>
      </c>
      <c r="AA18" s="3" t="e">
        <f t="shared" si="12"/>
        <v>#VALUE!</v>
      </c>
      <c r="AB18" s="3" t="e">
        <f t="shared" si="13"/>
        <v>#VALUE!</v>
      </c>
      <c r="AC18" s="3" t="e">
        <f t="shared" si="14"/>
        <v>#VALUE!</v>
      </c>
      <c r="AD18" s="3" t="e">
        <f t="shared" si="15"/>
        <v>#VALUE!</v>
      </c>
      <c r="AE18" s="3" t="e">
        <f t="shared" si="16"/>
        <v>#VALUE!</v>
      </c>
      <c r="AF18" s="3" t="e">
        <f t="shared" si="17"/>
        <v>#VALUE!</v>
      </c>
      <c r="AG18" s="3" t="e">
        <f t="shared" si="18"/>
        <v>#VALUE!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/>
      <c r="I19" s="39" t="s">
        <v>2706</v>
      </c>
      <c r="J19" s="39" t="s">
        <v>2723</v>
      </c>
      <c r="K19" s="39" t="s">
        <v>2704</v>
      </c>
      <c r="L19" s="39" t="s">
        <v>2723</v>
      </c>
      <c r="M19" s="39" t="s">
        <v>2723</v>
      </c>
      <c r="N19" s="39" t="s">
        <v>2704</v>
      </c>
      <c r="O19" s="39" t="s">
        <v>2703</v>
      </c>
      <c r="P19" s="39" t="s">
        <v>2706</v>
      </c>
      <c r="Q19" s="3" t="e">
        <f t="shared" si="2"/>
        <v>#VALUE!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e">
        <f t="shared" si="11"/>
        <v>#VALUE!</v>
      </c>
      <c r="AA19" s="3" t="e">
        <f t="shared" si="12"/>
        <v>#VALUE!</v>
      </c>
      <c r="AB19" s="3" t="e">
        <f t="shared" si="13"/>
        <v>#VALUE!</v>
      </c>
      <c r="AC19" s="3" t="e">
        <f t="shared" si="14"/>
        <v>#VALUE!</v>
      </c>
      <c r="AD19" s="3" t="e">
        <f t="shared" si="15"/>
        <v>#VALUE!</v>
      </c>
      <c r="AE19" s="3" t="e">
        <f t="shared" si="16"/>
        <v>#VALUE!</v>
      </c>
      <c r="AF19" s="3" t="e">
        <f t="shared" si="17"/>
        <v>#VALUE!</v>
      </c>
      <c r="AG19" s="3" t="e">
        <f t="shared" si="18"/>
        <v>#VALUE!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/>
      <c r="I20" s="39" t="s">
        <v>2712</v>
      </c>
      <c r="J20" s="39" t="s">
        <v>2691</v>
      </c>
      <c r="K20" s="39" t="s">
        <v>2712</v>
      </c>
      <c r="L20" s="39" t="s">
        <v>2712</v>
      </c>
      <c r="M20" s="39" t="s">
        <v>2691</v>
      </c>
      <c r="N20" s="39" t="s">
        <v>2691</v>
      </c>
      <c r="O20" s="39" t="s">
        <v>2691</v>
      </c>
      <c r="P20" s="39" t="s">
        <v>2694</v>
      </c>
      <c r="Q20" s="3" t="e">
        <f t="shared" si="2"/>
        <v>#VALUE!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e">
        <f t="shared" si="11"/>
        <v>#VALUE!</v>
      </c>
      <c r="AA20" s="3" t="e">
        <f t="shared" si="12"/>
        <v>#VALUE!</v>
      </c>
      <c r="AB20" s="3" t="e">
        <f t="shared" si="13"/>
        <v>#VALUE!</v>
      </c>
      <c r="AC20" s="3" t="e">
        <f t="shared" si="14"/>
        <v>#VALUE!</v>
      </c>
      <c r="AD20" s="3" t="e">
        <f t="shared" si="15"/>
        <v>#VALUE!</v>
      </c>
      <c r="AE20" s="3" t="e">
        <f t="shared" si="16"/>
        <v>#VALUE!</v>
      </c>
      <c r="AF20" s="3" t="e">
        <f t="shared" si="17"/>
        <v>#VALUE!</v>
      </c>
      <c r="AG20" s="3" t="e">
        <f t="shared" si="18"/>
        <v>#VALUE!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/>
      <c r="I21" s="39" t="s">
        <v>2691</v>
      </c>
      <c r="J21" s="39" t="s">
        <v>2694</v>
      </c>
      <c r="K21" s="39" t="s">
        <v>2691</v>
      </c>
      <c r="L21" s="39" t="s">
        <v>2691</v>
      </c>
      <c r="M21" s="39" t="s">
        <v>2691</v>
      </c>
      <c r="N21" s="39" t="s">
        <v>2691</v>
      </c>
      <c r="O21" s="39" t="s">
        <v>2691</v>
      </c>
      <c r="P21" s="39" t="s">
        <v>2694</v>
      </c>
      <c r="Q21" s="3" t="e">
        <f t="shared" si="2"/>
        <v>#VALUE!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e">
        <f t="shared" si="11"/>
        <v>#VALUE!</v>
      </c>
      <c r="AA21" s="3" t="e">
        <f t="shared" si="12"/>
        <v>#VALUE!</v>
      </c>
      <c r="AB21" s="3" t="e">
        <f t="shared" si="13"/>
        <v>#VALUE!</v>
      </c>
      <c r="AC21" s="3" t="e">
        <f t="shared" si="14"/>
        <v>#VALUE!</v>
      </c>
      <c r="AD21" s="3" t="e">
        <f t="shared" si="15"/>
        <v>#VALUE!</v>
      </c>
      <c r="AE21" s="3" t="e">
        <f t="shared" si="16"/>
        <v>#VALUE!</v>
      </c>
      <c r="AF21" s="3" t="e">
        <f t="shared" si="17"/>
        <v>#VALUE!</v>
      </c>
      <c r="AG21" s="3" t="e">
        <f t="shared" si="18"/>
        <v>#VALUE!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/>
      <c r="I22" s="39" t="s">
        <v>2712</v>
      </c>
      <c r="J22" s="39" t="s">
        <v>2693</v>
      </c>
      <c r="K22" s="39" t="s">
        <v>2692</v>
      </c>
      <c r="L22" s="39" t="s">
        <v>2693</v>
      </c>
      <c r="M22" s="39" t="s">
        <v>2716</v>
      </c>
      <c r="N22" s="39" t="s">
        <v>2712</v>
      </c>
      <c r="O22" s="39" t="s">
        <v>2691</v>
      </c>
      <c r="P22" s="39" t="s">
        <v>2691</v>
      </c>
      <c r="Q22" s="3" t="e">
        <f t="shared" si="2"/>
        <v>#VALUE!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e">
        <f t="shared" si="11"/>
        <v>#VALUE!</v>
      </c>
      <c r="AA22" s="3" t="e">
        <f t="shared" si="12"/>
        <v>#VALUE!</v>
      </c>
      <c r="AB22" s="3" t="e">
        <f t="shared" si="13"/>
        <v>#VALUE!</v>
      </c>
      <c r="AC22" s="3" t="e">
        <f t="shared" si="14"/>
        <v>#VALUE!</v>
      </c>
      <c r="AD22" s="3" t="e">
        <f t="shared" si="15"/>
        <v>#VALUE!</v>
      </c>
      <c r="AE22" s="3" t="e">
        <f t="shared" si="16"/>
        <v>#VALUE!</v>
      </c>
      <c r="AF22" s="3" t="e">
        <f t="shared" si="17"/>
        <v>#VALUE!</v>
      </c>
      <c r="AG22" s="3" t="e">
        <f t="shared" si="18"/>
        <v>#VALUE!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/>
      <c r="I23" s="39" t="s">
        <v>2692</v>
      </c>
      <c r="J23" s="39" t="s">
        <v>2691</v>
      </c>
      <c r="K23" s="39" t="s">
        <v>2692</v>
      </c>
      <c r="L23" s="39" t="s">
        <v>2693</v>
      </c>
      <c r="M23" s="39" t="s">
        <v>2691</v>
      </c>
      <c r="N23" s="39" t="s">
        <v>2691</v>
      </c>
      <c r="O23" s="39" t="s">
        <v>2692</v>
      </c>
      <c r="P23" s="39" t="s">
        <v>2694</v>
      </c>
      <c r="Q23" s="3" t="e">
        <f t="shared" si="2"/>
        <v>#VALUE!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e">
        <f t="shared" si="11"/>
        <v>#VALUE!</v>
      </c>
      <c r="AA23" s="3" t="e">
        <f t="shared" si="12"/>
        <v>#VALUE!</v>
      </c>
      <c r="AB23" s="3" t="e">
        <f t="shared" si="13"/>
        <v>#VALUE!</v>
      </c>
      <c r="AC23" s="3" t="e">
        <f t="shared" si="14"/>
        <v>#VALUE!</v>
      </c>
      <c r="AD23" s="3" t="e">
        <f t="shared" si="15"/>
        <v>#VALUE!</v>
      </c>
      <c r="AE23" s="3" t="e">
        <f t="shared" si="16"/>
        <v>#VALUE!</v>
      </c>
      <c r="AF23" s="3" t="e">
        <f t="shared" si="17"/>
        <v>#VALUE!</v>
      </c>
      <c r="AG23" s="3" t="e">
        <f t="shared" si="18"/>
        <v>#VALUE!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/>
      <c r="I24" s="39" t="s">
        <v>2696</v>
      </c>
      <c r="J24" s="39" t="s">
        <v>2712</v>
      </c>
      <c r="K24" s="39" t="s">
        <v>2691</v>
      </c>
      <c r="L24" s="39" t="s">
        <v>2691</v>
      </c>
      <c r="M24" s="39" t="s">
        <v>2712</v>
      </c>
      <c r="N24" s="39" t="s">
        <v>2692</v>
      </c>
      <c r="O24" s="39" t="s">
        <v>2694</v>
      </c>
      <c r="P24" s="39" t="s">
        <v>2694</v>
      </c>
      <c r="Q24" s="3" t="e">
        <f t="shared" si="2"/>
        <v>#VALUE!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e">
        <f t="shared" si="11"/>
        <v>#VALUE!</v>
      </c>
      <c r="AA24" s="3" t="e">
        <f t="shared" si="12"/>
        <v>#VALUE!</v>
      </c>
      <c r="AB24" s="3" t="e">
        <f t="shared" si="13"/>
        <v>#VALUE!</v>
      </c>
      <c r="AC24" s="3" t="e">
        <f t="shared" si="14"/>
        <v>#VALUE!</v>
      </c>
      <c r="AD24" s="3" t="e">
        <f t="shared" si="15"/>
        <v>#VALUE!</v>
      </c>
      <c r="AE24" s="3" t="e">
        <f t="shared" si="16"/>
        <v>#VALUE!</v>
      </c>
      <c r="AF24" s="3" t="e">
        <f t="shared" si="17"/>
        <v>#VALUE!</v>
      </c>
      <c r="AG24" s="3" t="e">
        <f t="shared" si="18"/>
        <v>#VALUE!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/>
      <c r="I25" s="39" t="s">
        <v>2706</v>
      </c>
      <c r="J25" s="39" t="s">
        <v>2723</v>
      </c>
      <c r="K25" s="39" t="s">
        <v>2703</v>
      </c>
      <c r="L25" s="39" t="s">
        <v>2706</v>
      </c>
      <c r="M25" s="39" t="s">
        <v>2703</v>
      </c>
      <c r="N25" s="39" t="s">
        <v>2703</v>
      </c>
      <c r="O25" s="39" t="s">
        <v>2699</v>
      </c>
      <c r="P25" s="39" t="s">
        <v>2699</v>
      </c>
      <c r="Q25" s="3" t="e">
        <f t="shared" si="2"/>
        <v>#VALUE!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e">
        <f t="shared" si="11"/>
        <v>#VALUE!</v>
      </c>
      <c r="AA25" s="3" t="e">
        <f t="shared" si="12"/>
        <v>#VALUE!</v>
      </c>
      <c r="AB25" s="3" t="e">
        <f t="shared" si="13"/>
        <v>#VALUE!</v>
      </c>
      <c r="AC25" s="3" t="e">
        <f t="shared" si="14"/>
        <v>#VALUE!</v>
      </c>
      <c r="AD25" s="3" t="e">
        <f t="shared" si="15"/>
        <v>#VALUE!</v>
      </c>
      <c r="AE25" s="3" t="e">
        <f t="shared" si="16"/>
        <v>#VALUE!</v>
      </c>
      <c r="AF25" s="3" t="e">
        <f t="shared" si="17"/>
        <v>#VALUE!</v>
      </c>
      <c r="AG25" s="3" t="e">
        <f t="shared" si="18"/>
        <v>#VALUE!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/>
      <c r="J26" s="39" t="s">
        <v>2693</v>
      </c>
      <c r="K26" s="39"/>
      <c r="L26" s="39"/>
      <c r="M26" s="39" t="s">
        <v>2691</v>
      </c>
      <c r="N26" s="39" t="s">
        <v>2691</v>
      </c>
      <c r="O26" s="39"/>
      <c r="P26" s="39" t="s">
        <v>2694</v>
      </c>
      <c r="Q26" s="3" t="e">
        <f t="shared" si="2"/>
        <v>#VALUE!</v>
      </c>
      <c r="R26" s="3" t="e">
        <f t="shared" si="3"/>
        <v>#VALUE!</v>
      </c>
      <c r="S26" s="3" t="str">
        <f t="shared" si="4"/>
        <v>H</v>
      </c>
      <c r="T26" s="3" t="e">
        <f t="shared" si="5"/>
        <v>#VALUE!</v>
      </c>
      <c r="U26" s="3" t="e">
        <f t="shared" si="6"/>
        <v>#VALUE!</v>
      </c>
      <c r="V26" s="3" t="str">
        <f t="shared" si="7"/>
        <v>H</v>
      </c>
      <c r="W26" s="3" t="str">
        <f t="shared" si="8"/>
        <v>H</v>
      </c>
      <c r="X26" s="3" t="e">
        <f t="shared" si="9"/>
        <v>#VALUE!</v>
      </c>
      <c r="Y26" s="3" t="str">
        <f t="shared" si="10"/>
        <v>H</v>
      </c>
      <c r="Z26" s="3" t="str">
        <f t="shared" si="11"/>
        <v/>
      </c>
      <c r="AA26" s="3" t="e">
        <f t="shared" si="12"/>
        <v>#VALUE!</v>
      </c>
      <c r="AB26" s="3" t="str">
        <f t="shared" si="13"/>
        <v/>
      </c>
      <c r="AC26" s="3" t="str">
        <f t="shared" si="14"/>
        <v/>
      </c>
      <c r="AD26" s="3" t="e">
        <f t="shared" si="15"/>
        <v>#VALUE!</v>
      </c>
      <c r="AE26" s="3" t="e">
        <f t="shared" si="16"/>
        <v>#VALUE!</v>
      </c>
      <c r="AF26" s="3" t="str">
        <f t="shared" si="17"/>
        <v/>
      </c>
      <c r="AG26" s="3" t="e">
        <f t="shared" si="18"/>
        <v>#VALUE!</v>
      </c>
    </row>
    <row r="27" spans="1:33" x14ac:dyDescent="0.25">
      <c r="A27" s="28" t="s">
        <v>203</v>
      </c>
      <c r="B27" s="19" t="s">
        <v>2724</v>
      </c>
      <c r="C27" s="36">
        <v>46191</v>
      </c>
      <c r="D27" s="37">
        <v>0.83333333333333337</v>
      </c>
      <c r="E27" s="19" t="s">
        <v>154</v>
      </c>
      <c r="F27" s="19" t="s">
        <v>2698</v>
      </c>
      <c r="G27" s="19" t="s">
        <v>158</v>
      </c>
      <c r="H27" s="38"/>
      <c r="I27" s="39"/>
      <c r="J27" s="39" t="s">
        <v>2706</v>
      </c>
      <c r="K27" s="39"/>
      <c r="L27" s="39"/>
      <c r="M27" s="39" t="s">
        <v>2694</v>
      </c>
      <c r="N27" s="39" t="s">
        <v>2692</v>
      </c>
      <c r="O27" s="39"/>
      <c r="P27" s="39" t="s">
        <v>2694</v>
      </c>
      <c r="Q27" s="3" t="e">
        <f t="shared" si="2"/>
        <v>#VALUE!</v>
      </c>
      <c r="R27" s="3" t="e">
        <f t="shared" si="3"/>
        <v>#VALUE!</v>
      </c>
      <c r="S27" s="3" t="str">
        <f t="shared" si="4"/>
        <v>A</v>
      </c>
      <c r="T27" s="3" t="e">
        <f t="shared" si="5"/>
        <v>#VALUE!</v>
      </c>
      <c r="U27" s="3" t="e">
        <f t="shared" si="6"/>
        <v>#VALUE!</v>
      </c>
      <c r="V27" s="3" t="str">
        <f t="shared" si="7"/>
        <v>H</v>
      </c>
      <c r="W27" s="3" t="str">
        <f t="shared" si="8"/>
        <v>H</v>
      </c>
      <c r="X27" s="3" t="e">
        <f t="shared" si="9"/>
        <v>#VALUE!</v>
      </c>
      <c r="Y27" s="3" t="str">
        <f t="shared" si="10"/>
        <v>H</v>
      </c>
      <c r="Z27" s="3" t="str">
        <f t="shared" si="11"/>
        <v/>
      </c>
      <c r="AA27" s="3" t="e">
        <f t="shared" si="12"/>
        <v>#VALUE!</v>
      </c>
      <c r="AB27" s="3" t="str">
        <f t="shared" si="13"/>
        <v/>
      </c>
      <c r="AC27" s="3" t="str">
        <f t="shared" si="14"/>
        <v/>
      </c>
      <c r="AD27" s="3" t="e">
        <f t="shared" si="15"/>
        <v>#VALUE!</v>
      </c>
      <c r="AE27" s="3" t="e">
        <f t="shared" si="16"/>
        <v>#VALUE!</v>
      </c>
      <c r="AF27" s="3" t="str">
        <f t="shared" si="17"/>
        <v/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/>
      <c r="J28" s="39" t="s">
        <v>2699</v>
      </c>
      <c r="K28" s="39"/>
      <c r="L28" s="39"/>
      <c r="M28" s="39" t="s">
        <v>2691</v>
      </c>
      <c r="N28" s="39" t="s">
        <v>2696</v>
      </c>
      <c r="O28" s="39"/>
      <c r="P28" s="39" t="s">
        <v>2691</v>
      </c>
      <c r="Q28" s="3" t="e">
        <f t="shared" si="2"/>
        <v>#VALUE!</v>
      </c>
      <c r="R28" s="3" t="e">
        <f t="shared" si="3"/>
        <v>#VALUE!</v>
      </c>
      <c r="S28" s="3" t="str">
        <f t="shared" si="4"/>
        <v>A</v>
      </c>
      <c r="T28" s="3" t="e">
        <f t="shared" si="5"/>
        <v>#VALUE!</v>
      </c>
      <c r="U28" s="3" t="e">
        <f t="shared" si="6"/>
        <v>#VALUE!</v>
      </c>
      <c r="V28" s="3" t="str">
        <f t="shared" si="7"/>
        <v>H</v>
      </c>
      <c r="W28" s="3" t="str">
        <f t="shared" si="8"/>
        <v>D</v>
      </c>
      <c r="X28" s="3" t="e">
        <f t="shared" si="9"/>
        <v>#VALUE!</v>
      </c>
      <c r="Y28" s="3" t="str">
        <f t="shared" si="10"/>
        <v>H</v>
      </c>
      <c r="Z28" s="3" t="str">
        <f t="shared" si="11"/>
        <v/>
      </c>
      <c r="AA28" s="3" t="e">
        <f t="shared" si="12"/>
        <v>#VALUE!</v>
      </c>
      <c r="AB28" s="3" t="str">
        <f t="shared" si="13"/>
        <v/>
      </c>
      <c r="AC28" s="3" t="str">
        <f t="shared" si="14"/>
        <v/>
      </c>
      <c r="AD28" s="3" t="e">
        <f t="shared" si="15"/>
        <v>#VALUE!</v>
      </c>
      <c r="AE28" s="3" t="e">
        <f t="shared" si="16"/>
        <v>#VALUE!</v>
      </c>
      <c r="AF28" s="3" t="str">
        <f t="shared" si="17"/>
        <v/>
      </c>
      <c r="AG28" s="3" t="e">
        <f t="shared" si="18"/>
        <v>#VALUE!</v>
      </c>
    </row>
    <row r="29" spans="1:33" x14ac:dyDescent="0.25">
      <c r="A29" s="28" t="s">
        <v>199</v>
      </c>
      <c r="B29" s="19" t="s">
        <v>2725</v>
      </c>
      <c r="C29" s="36">
        <v>46192</v>
      </c>
      <c r="D29" s="37">
        <v>8.3333333333333329E-2</v>
      </c>
      <c r="E29" s="19" t="s">
        <v>139</v>
      </c>
      <c r="F29" s="19" t="s">
        <v>2679</v>
      </c>
      <c r="G29" s="19" t="s">
        <v>158</v>
      </c>
      <c r="H29" s="38"/>
      <c r="I29" s="39"/>
      <c r="J29" s="39" t="s">
        <v>2709</v>
      </c>
      <c r="K29" s="39"/>
      <c r="L29" s="39"/>
      <c r="M29" s="39" t="s">
        <v>2706</v>
      </c>
      <c r="N29" s="39" t="s">
        <v>2692</v>
      </c>
      <c r="O29" s="39"/>
      <c r="P29" s="39" t="s">
        <v>2696</v>
      </c>
      <c r="Q29" s="3" t="e">
        <f t="shared" si="2"/>
        <v>#VALUE!</v>
      </c>
      <c r="R29" s="3" t="e">
        <f t="shared" si="3"/>
        <v>#VALUE!</v>
      </c>
      <c r="S29" s="3" t="str">
        <f t="shared" si="4"/>
        <v>D</v>
      </c>
      <c r="T29" s="3" t="e">
        <f t="shared" si="5"/>
        <v>#VALUE!</v>
      </c>
      <c r="U29" s="3" t="e">
        <f t="shared" si="6"/>
        <v>#VALUE!</v>
      </c>
      <c r="V29" s="3" t="str">
        <f t="shared" si="7"/>
        <v>A</v>
      </c>
      <c r="W29" s="3" t="str">
        <f t="shared" si="8"/>
        <v>H</v>
      </c>
      <c r="X29" s="3" t="e">
        <f t="shared" si="9"/>
        <v>#VALUE!</v>
      </c>
      <c r="Y29" s="3" t="str">
        <f t="shared" si="10"/>
        <v>D</v>
      </c>
      <c r="Z29" s="3" t="str">
        <f t="shared" si="11"/>
        <v/>
      </c>
      <c r="AA29" s="3" t="e">
        <f t="shared" si="12"/>
        <v>#VALUE!</v>
      </c>
      <c r="AB29" s="3" t="str">
        <f t="shared" si="13"/>
        <v/>
      </c>
      <c r="AC29" s="3" t="str">
        <f t="shared" si="14"/>
        <v/>
      </c>
      <c r="AD29" s="3" t="e">
        <f t="shared" si="15"/>
        <v>#VALUE!</v>
      </c>
      <c r="AE29" s="3" t="e">
        <f t="shared" si="16"/>
        <v>#VALUE!</v>
      </c>
      <c r="AF29" s="3" t="str">
        <f t="shared" si="17"/>
        <v/>
      </c>
      <c r="AG29" s="3" t="e">
        <f t="shared" si="18"/>
        <v>#VALUE!</v>
      </c>
    </row>
    <row r="30" spans="1:33" x14ac:dyDescent="0.25">
      <c r="A30" s="28" t="s">
        <v>197</v>
      </c>
      <c r="B30" s="19" t="s">
        <v>2726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/>
      <c r="J30" s="39" t="s">
        <v>2693</v>
      </c>
      <c r="K30" s="39"/>
      <c r="L30" s="39"/>
      <c r="M30" s="39" t="s">
        <v>2691</v>
      </c>
      <c r="N30" s="39" t="s">
        <v>2692</v>
      </c>
      <c r="O30" s="39"/>
      <c r="P30" s="39" t="s">
        <v>2694</v>
      </c>
      <c r="Q30" s="3" t="e">
        <f t="shared" si="2"/>
        <v>#VALUE!</v>
      </c>
      <c r="R30" s="3" t="e">
        <f t="shared" si="3"/>
        <v>#VALUE!</v>
      </c>
      <c r="S30" s="3" t="str">
        <f t="shared" si="4"/>
        <v>H</v>
      </c>
      <c r="T30" s="3" t="e">
        <f t="shared" si="5"/>
        <v>#VALUE!</v>
      </c>
      <c r="U30" s="3" t="e">
        <f t="shared" si="6"/>
        <v>#VALUE!</v>
      </c>
      <c r="V30" s="3" t="str">
        <f t="shared" si="7"/>
        <v>H</v>
      </c>
      <c r="W30" s="3" t="str">
        <f t="shared" si="8"/>
        <v>H</v>
      </c>
      <c r="X30" s="3" t="e">
        <f t="shared" si="9"/>
        <v>#VALUE!</v>
      </c>
      <c r="Y30" s="3" t="str">
        <f t="shared" si="10"/>
        <v>H</v>
      </c>
      <c r="Z30" s="3" t="str">
        <f t="shared" si="11"/>
        <v/>
      </c>
      <c r="AA30" s="3" t="e">
        <f t="shared" si="12"/>
        <v>#VALUE!</v>
      </c>
      <c r="AB30" s="3" t="str">
        <f t="shared" si="13"/>
        <v/>
      </c>
      <c r="AC30" s="3" t="str">
        <f t="shared" si="14"/>
        <v/>
      </c>
      <c r="AD30" s="3" t="e">
        <f t="shared" si="15"/>
        <v>#VALUE!</v>
      </c>
      <c r="AE30" s="3" t="e">
        <f t="shared" si="16"/>
        <v>#VALUE!</v>
      </c>
      <c r="AF30" s="3" t="str">
        <f t="shared" si="17"/>
        <v/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/>
      <c r="J31" s="39" t="s">
        <v>2696</v>
      </c>
      <c r="K31" s="39"/>
      <c r="L31" s="39"/>
      <c r="M31" s="39" t="s">
        <v>2699</v>
      </c>
      <c r="N31" s="39" t="s">
        <v>2706</v>
      </c>
      <c r="O31" s="39"/>
      <c r="P31" s="39" t="s">
        <v>2699</v>
      </c>
      <c r="Q31" s="3" t="e">
        <f t="shared" si="2"/>
        <v>#VALUE!</v>
      </c>
      <c r="R31" s="3" t="e">
        <f t="shared" si="3"/>
        <v>#VALUE!</v>
      </c>
      <c r="S31" s="3" t="str">
        <f t="shared" si="4"/>
        <v>D</v>
      </c>
      <c r="T31" s="3" t="e">
        <f t="shared" si="5"/>
        <v>#VALUE!</v>
      </c>
      <c r="U31" s="3" t="e">
        <f t="shared" si="6"/>
        <v>#VALUE!</v>
      </c>
      <c r="V31" s="3" t="str">
        <f t="shared" si="7"/>
        <v>A</v>
      </c>
      <c r="W31" s="3" t="str">
        <f t="shared" si="8"/>
        <v>A</v>
      </c>
      <c r="X31" s="3" t="e">
        <f t="shared" si="9"/>
        <v>#VALUE!</v>
      </c>
      <c r="Y31" s="3" t="str">
        <f t="shared" si="10"/>
        <v>A</v>
      </c>
      <c r="Z31" s="3" t="str">
        <f t="shared" si="11"/>
        <v/>
      </c>
      <c r="AA31" s="3" t="e">
        <f t="shared" si="12"/>
        <v>#VALUE!</v>
      </c>
      <c r="AB31" s="3" t="str">
        <f t="shared" si="13"/>
        <v/>
      </c>
      <c r="AC31" s="3" t="str">
        <f t="shared" si="14"/>
        <v/>
      </c>
      <c r="AD31" s="3" t="e">
        <f t="shared" si="15"/>
        <v>#VALUE!</v>
      </c>
      <c r="AE31" s="3" t="e">
        <f t="shared" si="16"/>
        <v>#VALUE!</v>
      </c>
      <c r="AF31" s="3" t="str">
        <f t="shared" si="17"/>
        <v/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/>
      <c r="J32" s="39" t="s">
        <v>2715</v>
      </c>
      <c r="K32" s="39"/>
      <c r="L32" s="39"/>
      <c r="M32" s="39" t="s">
        <v>2716</v>
      </c>
      <c r="N32" s="39" t="s">
        <v>2716</v>
      </c>
      <c r="O32" s="39"/>
      <c r="P32" s="39" t="s">
        <v>2712</v>
      </c>
      <c r="Q32" s="3" t="e">
        <f t="shared" si="2"/>
        <v>#VALUE!</v>
      </c>
      <c r="R32" s="3" t="e">
        <f t="shared" si="3"/>
        <v>#VALUE!</v>
      </c>
      <c r="S32" s="3" t="str">
        <f t="shared" si="4"/>
        <v>H</v>
      </c>
      <c r="T32" s="3" t="e">
        <f t="shared" si="5"/>
        <v>#VALUE!</v>
      </c>
      <c r="U32" s="3" t="e">
        <f t="shared" si="6"/>
        <v>#VALUE!</v>
      </c>
      <c r="V32" s="3" t="str">
        <f t="shared" si="7"/>
        <v>H</v>
      </c>
      <c r="W32" s="3" t="str">
        <f t="shared" si="8"/>
        <v>H</v>
      </c>
      <c r="X32" s="3" t="e">
        <f t="shared" si="9"/>
        <v>#VALUE!</v>
      </c>
      <c r="Y32" s="3" t="str">
        <f t="shared" si="10"/>
        <v>H</v>
      </c>
      <c r="Z32" s="3" t="str">
        <f t="shared" si="11"/>
        <v/>
      </c>
      <c r="AA32" s="3" t="e">
        <f t="shared" si="12"/>
        <v>#VALUE!</v>
      </c>
      <c r="AB32" s="3" t="str">
        <f t="shared" si="13"/>
        <v/>
      </c>
      <c r="AC32" s="3" t="str">
        <f t="shared" si="14"/>
        <v/>
      </c>
      <c r="AD32" s="3" t="e">
        <f t="shared" si="15"/>
        <v>#VALUE!</v>
      </c>
      <c r="AE32" s="3" t="e">
        <f t="shared" si="16"/>
        <v>#VALUE!</v>
      </c>
      <c r="AF32" s="3" t="str">
        <f t="shared" si="17"/>
        <v/>
      </c>
      <c r="AG32" s="3" t="e">
        <f t="shared" si="18"/>
        <v>#VALUE!</v>
      </c>
    </row>
    <row r="33" spans="1:33" x14ac:dyDescent="0.25">
      <c r="A33" s="28" t="s">
        <v>190</v>
      </c>
      <c r="B33" s="19" t="s">
        <v>2727</v>
      </c>
      <c r="C33" s="36">
        <v>46193</v>
      </c>
      <c r="D33" s="37">
        <v>0.16666666666666666</v>
      </c>
      <c r="E33" s="19" t="s">
        <v>2678</v>
      </c>
      <c r="F33" s="19" t="s">
        <v>110</v>
      </c>
      <c r="G33" s="19" t="s">
        <v>158</v>
      </c>
      <c r="H33" s="38"/>
      <c r="I33" s="39"/>
      <c r="J33" s="39" t="s">
        <v>2692</v>
      </c>
      <c r="K33" s="39"/>
      <c r="L33" s="39"/>
      <c r="M33" s="39"/>
      <c r="N33" s="39"/>
      <c r="O33" s="39"/>
      <c r="P33" s="39" t="s">
        <v>2696</v>
      </c>
      <c r="Q33" s="3" t="e">
        <f t="shared" si="2"/>
        <v>#VALUE!</v>
      </c>
      <c r="R33" s="3" t="e">
        <f t="shared" si="3"/>
        <v>#VALUE!</v>
      </c>
      <c r="S33" s="3" t="str">
        <f t="shared" si="4"/>
        <v>H</v>
      </c>
      <c r="T33" s="3" t="e">
        <f t="shared" si="5"/>
        <v>#VALUE!</v>
      </c>
      <c r="U33" s="3" t="e">
        <f t="shared" si="6"/>
        <v>#VALUE!</v>
      </c>
      <c r="V33" s="3" t="e">
        <f t="shared" si="7"/>
        <v>#VALUE!</v>
      </c>
      <c r="W33" s="3" t="e">
        <f t="shared" si="8"/>
        <v>#VALUE!</v>
      </c>
      <c r="X33" s="3" t="e">
        <f t="shared" si="9"/>
        <v>#VALUE!</v>
      </c>
      <c r="Y33" s="3" t="str">
        <f t="shared" si="10"/>
        <v>D</v>
      </c>
      <c r="Z33" s="3" t="str">
        <f t="shared" si="11"/>
        <v/>
      </c>
      <c r="AA33" s="3" t="e">
        <f t="shared" si="12"/>
        <v>#VALUE!</v>
      </c>
      <c r="AB33" s="3" t="str">
        <f t="shared" si="13"/>
        <v/>
      </c>
      <c r="AC33" s="3" t="str">
        <f t="shared" si="14"/>
        <v/>
      </c>
      <c r="AD33" s="3" t="str">
        <f t="shared" si="15"/>
        <v/>
      </c>
      <c r="AE33" s="3" t="str">
        <f t="shared" si="16"/>
        <v/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/>
      <c r="J34" s="39" t="s">
        <v>2706</v>
      </c>
      <c r="K34" s="39"/>
      <c r="L34" s="39"/>
      <c r="M34" s="39"/>
      <c r="N34" s="39"/>
      <c r="O34" s="39"/>
      <c r="P34" s="39"/>
      <c r="Q34" s="3" t="e">
        <f t="shared" si="2"/>
        <v>#VALUE!</v>
      </c>
      <c r="R34" s="3" t="e">
        <f t="shared" si="3"/>
        <v>#VALUE!</v>
      </c>
      <c r="S34" s="3" t="str">
        <f t="shared" si="4"/>
        <v>A</v>
      </c>
      <c r="T34" s="3" t="e">
        <f t="shared" si="5"/>
        <v>#VALUE!</v>
      </c>
      <c r="U34" s="3" t="e">
        <f t="shared" si="6"/>
        <v>#VALUE!</v>
      </c>
      <c r="V34" s="3" t="e">
        <f t="shared" si="7"/>
        <v>#VALUE!</v>
      </c>
      <c r="W34" s="3" t="e">
        <f t="shared" si="8"/>
        <v>#VALUE!</v>
      </c>
      <c r="X34" s="3" t="e">
        <f t="shared" si="9"/>
        <v>#VALUE!</v>
      </c>
      <c r="Y34" s="3" t="e">
        <f t="shared" si="10"/>
        <v>#VALUE!</v>
      </c>
      <c r="Z34" s="3" t="str">
        <f t="shared" si="11"/>
        <v/>
      </c>
      <c r="AA34" s="3" t="e">
        <f t="shared" si="12"/>
        <v>#VALUE!</v>
      </c>
      <c r="AB34" s="3" t="str">
        <f t="shared" si="13"/>
        <v/>
      </c>
      <c r="AC34" s="3" t="str">
        <f t="shared" si="14"/>
        <v/>
      </c>
      <c r="AD34" s="3" t="str">
        <f t="shared" si="15"/>
        <v/>
      </c>
      <c r="AE34" s="3" t="str">
        <f t="shared" si="16"/>
        <v/>
      </c>
      <c r="AF34" s="3" t="str">
        <f t="shared" si="17"/>
        <v/>
      </c>
      <c r="AG34" s="3" t="str">
        <f t="shared" si="18"/>
        <v/>
      </c>
    </row>
    <row r="35" spans="1:33" x14ac:dyDescent="0.25">
      <c r="A35" s="28" t="s">
        <v>186</v>
      </c>
      <c r="B35" s="19" t="s">
        <v>2728</v>
      </c>
      <c r="C35" s="36">
        <v>46193</v>
      </c>
      <c r="D35" s="37">
        <v>0.875</v>
      </c>
      <c r="E35" s="19" t="s">
        <v>131</v>
      </c>
      <c r="F35" s="19" t="s">
        <v>2680</v>
      </c>
      <c r="G35" s="19" t="s">
        <v>158</v>
      </c>
      <c r="H35" s="38"/>
      <c r="I35" s="39"/>
      <c r="J35" s="39" t="s">
        <v>2729</v>
      </c>
      <c r="K35" s="39"/>
      <c r="L35" s="39"/>
      <c r="M35" s="39"/>
      <c r="N35" s="39"/>
      <c r="O35" s="39"/>
      <c r="P35" s="39"/>
      <c r="Q35" s="3" t="e">
        <f t="shared" si="2"/>
        <v>#VALUE!</v>
      </c>
      <c r="R35" s="3" t="e">
        <f t="shared" si="3"/>
        <v>#VALUE!</v>
      </c>
      <c r="S35" s="3" t="str">
        <f t="shared" si="4"/>
        <v>H</v>
      </c>
      <c r="T35" s="3" t="e">
        <f t="shared" si="5"/>
        <v>#VALUE!</v>
      </c>
      <c r="U35" s="3" t="e">
        <f t="shared" si="6"/>
        <v>#VALUE!</v>
      </c>
      <c r="V35" s="3" t="e">
        <f t="shared" si="7"/>
        <v>#VALUE!</v>
      </c>
      <c r="W35" s="3" t="e">
        <f t="shared" si="8"/>
        <v>#VALUE!</v>
      </c>
      <c r="X35" s="3" t="e">
        <f t="shared" si="9"/>
        <v>#VALUE!</v>
      </c>
      <c r="Y35" s="3" t="e">
        <f t="shared" si="10"/>
        <v>#VALUE!</v>
      </c>
      <c r="Z35" s="3" t="str">
        <f t="shared" si="11"/>
        <v/>
      </c>
      <c r="AA35" s="3" t="e">
        <f t="shared" si="12"/>
        <v>#VALUE!</v>
      </c>
      <c r="AB35" s="3" t="str">
        <f t="shared" si="13"/>
        <v/>
      </c>
      <c r="AC35" s="3" t="str">
        <f t="shared" si="14"/>
        <v/>
      </c>
      <c r="AD35" s="3" t="str">
        <f t="shared" si="15"/>
        <v/>
      </c>
      <c r="AE35" s="3" t="str">
        <f t="shared" si="16"/>
        <v/>
      </c>
      <c r="AF35" s="3" t="str">
        <f t="shared" si="17"/>
        <v/>
      </c>
      <c r="AG35" s="3" t="str">
        <f t="shared" si="18"/>
        <v/>
      </c>
    </row>
    <row r="36" spans="1:33" x14ac:dyDescent="0.25">
      <c r="A36" s="28" t="s">
        <v>184</v>
      </c>
      <c r="B36" s="19" t="s">
        <v>2730</v>
      </c>
      <c r="C36" s="36">
        <v>46194</v>
      </c>
      <c r="D36" s="37">
        <v>4.1666666666666664E-2</v>
      </c>
      <c r="E36" s="19" t="s">
        <v>130</v>
      </c>
      <c r="F36" s="19" t="s">
        <v>2711</v>
      </c>
      <c r="G36" s="19" t="s">
        <v>158</v>
      </c>
      <c r="H36" s="38"/>
      <c r="I36" s="39"/>
      <c r="J36" s="39" t="s">
        <v>2712</v>
      </c>
      <c r="K36" s="39"/>
      <c r="L36" s="39"/>
      <c r="M36" s="39"/>
      <c r="N36" s="39"/>
      <c r="O36" s="39"/>
      <c r="P36" s="39"/>
      <c r="Q36" s="3" t="e">
        <f t="shared" si="2"/>
        <v>#VALUE!</v>
      </c>
      <c r="R36" s="3" t="e">
        <f t="shared" si="3"/>
        <v>#VALUE!</v>
      </c>
      <c r="S36" s="3" t="str">
        <f t="shared" si="4"/>
        <v>H</v>
      </c>
      <c r="T36" s="3" t="e">
        <f t="shared" si="5"/>
        <v>#VALUE!</v>
      </c>
      <c r="U36" s="3" t="e">
        <f t="shared" si="6"/>
        <v>#VALUE!</v>
      </c>
      <c r="V36" s="3" t="e">
        <f t="shared" si="7"/>
        <v>#VALUE!</v>
      </c>
      <c r="W36" s="3" t="e">
        <f t="shared" si="8"/>
        <v>#VALUE!</v>
      </c>
      <c r="X36" s="3" t="e">
        <f t="shared" si="9"/>
        <v>#VALUE!</v>
      </c>
      <c r="Y36" s="3" t="e">
        <f t="shared" si="10"/>
        <v>#VALUE!</v>
      </c>
      <c r="Z36" s="3" t="str">
        <f t="shared" si="11"/>
        <v/>
      </c>
      <c r="AA36" s="3" t="e">
        <f t="shared" si="12"/>
        <v>#VALUE!</v>
      </c>
      <c r="AB36" s="3" t="str">
        <f t="shared" si="13"/>
        <v/>
      </c>
      <c r="AC36" s="3" t="str">
        <f t="shared" si="14"/>
        <v/>
      </c>
      <c r="AD36" s="3" t="str">
        <f t="shared" si="15"/>
        <v/>
      </c>
      <c r="AE36" s="3" t="str">
        <f t="shared" si="16"/>
        <v/>
      </c>
      <c r="AF36" s="3" t="str">
        <f t="shared" si="17"/>
        <v/>
      </c>
      <c r="AG36" s="3" t="str">
        <f t="shared" si="18"/>
        <v/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/>
      <c r="J37" s="39" t="s">
        <v>2703</v>
      </c>
      <c r="K37" s="39"/>
      <c r="L37" s="39"/>
      <c r="M37" s="39"/>
      <c r="N37" s="39"/>
      <c r="O37" s="39"/>
      <c r="P37" s="39"/>
      <c r="Q37" s="3" t="e">
        <f t="shared" si="2"/>
        <v>#VALUE!</v>
      </c>
      <c r="R37" s="3" t="e">
        <f t="shared" si="3"/>
        <v>#VALUE!</v>
      </c>
      <c r="S37" s="3" t="str">
        <f t="shared" si="4"/>
        <v>A</v>
      </c>
      <c r="T37" s="3" t="e">
        <f t="shared" si="5"/>
        <v>#VALUE!</v>
      </c>
      <c r="U37" s="3" t="e">
        <f t="shared" si="6"/>
        <v>#VALUE!</v>
      </c>
      <c r="V37" s="3" t="e">
        <f t="shared" si="7"/>
        <v>#VALUE!</v>
      </c>
      <c r="W37" s="3" t="e">
        <f t="shared" si="8"/>
        <v>#VALUE!</v>
      </c>
      <c r="X37" s="3" t="e">
        <f t="shared" si="9"/>
        <v>#VALUE!</v>
      </c>
      <c r="Y37" s="3" t="e">
        <f t="shared" si="10"/>
        <v>#VALUE!</v>
      </c>
      <c r="Z37" s="3" t="str">
        <f t="shared" si="11"/>
        <v/>
      </c>
      <c r="AA37" s="3" t="e">
        <f t="shared" si="12"/>
        <v>#VALUE!</v>
      </c>
      <c r="AB37" s="3" t="str">
        <f t="shared" si="13"/>
        <v/>
      </c>
      <c r="AC37" s="3" t="str">
        <f t="shared" si="14"/>
        <v/>
      </c>
      <c r="AD37" s="3" t="str">
        <f t="shared" si="15"/>
        <v/>
      </c>
      <c r="AE37" s="3" t="str">
        <f t="shared" si="16"/>
        <v/>
      </c>
      <c r="AF37" s="3" t="str">
        <f t="shared" si="17"/>
        <v/>
      </c>
      <c r="AG37" s="3" t="str">
        <f t="shared" si="18"/>
        <v/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/>
      <c r="J38" s="39" t="s">
        <v>2701</v>
      </c>
      <c r="K38" s="39"/>
      <c r="L38" s="39"/>
      <c r="M38" s="39"/>
      <c r="N38" s="39"/>
      <c r="O38" s="39"/>
      <c r="P38" s="39"/>
      <c r="Q38" s="3" t="e">
        <f t="shared" si="2"/>
        <v>#VALUE!</v>
      </c>
      <c r="R38" s="3" t="e">
        <f t="shared" si="3"/>
        <v>#VALUE!</v>
      </c>
      <c r="S38" s="3" t="str">
        <f t="shared" si="4"/>
        <v>H</v>
      </c>
      <c r="T38" s="3" t="e">
        <f t="shared" si="5"/>
        <v>#VALUE!</v>
      </c>
      <c r="U38" s="3" t="e">
        <f t="shared" si="6"/>
        <v>#VALUE!</v>
      </c>
      <c r="V38" s="3" t="e">
        <f t="shared" si="7"/>
        <v>#VALUE!</v>
      </c>
      <c r="W38" s="3" t="e">
        <f t="shared" si="8"/>
        <v>#VALUE!</v>
      </c>
      <c r="X38" s="3" t="e">
        <f t="shared" si="9"/>
        <v>#VALUE!</v>
      </c>
      <c r="Y38" s="3" t="e">
        <f t="shared" si="10"/>
        <v>#VALUE!</v>
      </c>
      <c r="Z38" s="3" t="str">
        <f t="shared" si="11"/>
        <v/>
      </c>
      <c r="AA38" s="3" t="e">
        <f t="shared" si="12"/>
        <v>#VALUE!</v>
      </c>
      <c r="AB38" s="3" t="str">
        <f t="shared" si="13"/>
        <v/>
      </c>
      <c r="AC38" s="3" t="str">
        <f t="shared" si="14"/>
        <v/>
      </c>
      <c r="AD38" s="3" t="str">
        <f t="shared" si="15"/>
        <v/>
      </c>
      <c r="AE38" s="3" t="str">
        <f t="shared" si="16"/>
        <v/>
      </c>
      <c r="AF38" s="3" t="str">
        <f t="shared" si="17"/>
        <v/>
      </c>
      <c r="AG38" s="3" t="str">
        <f t="shared" si="18"/>
        <v/>
      </c>
    </row>
    <row r="39" spans="1:33" x14ac:dyDescent="0.25">
      <c r="A39" s="28" t="s">
        <v>177</v>
      </c>
      <c r="B39" s="19" t="s">
        <v>2731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/>
      <c r="J39" s="39" t="s">
        <v>2693</v>
      </c>
      <c r="K39" s="39"/>
      <c r="L39" s="39"/>
      <c r="M39" s="39"/>
      <c r="N39" s="39"/>
      <c r="O39" s="39"/>
      <c r="P39" s="39"/>
      <c r="Q39" s="3" t="e">
        <f t="shared" si="2"/>
        <v>#VALUE!</v>
      </c>
      <c r="R39" s="3" t="e">
        <f t="shared" si="3"/>
        <v>#VALUE!</v>
      </c>
      <c r="S39" s="3" t="str">
        <f t="shared" si="4"/>
        <v>H</v>
      </c>
      <c r="T39" s="3" t="e">
        <f t="shared" si="5"/>
        <v>#VALUE!</v>
      </c>
      <c r="U39" s="3" t="e">
        <f t="shared" si="6"/>
        <v>#VALUE!</v>
      </c>
      <c r="V39" s="3" t="e">
        <f t="shared" si="7"/>
        <v>#VALUE!</v>
      </c>
      <c r="W39" s="3" t="e">
        <f t="shared" si="8"/>
        <v>#VALUE!</v>
      </c>
      <c r="X39" s="3" t="e">
        <f t="shared" si="9"/>
        <v>#VALUE!</v>
      </c>
      <c r="Y39" s="3" t="e">
        <f t="shared" si="10"/>
        <v>#VALUE!</v>
      </c>
      <c r="Z39" s="3" t="str">
        <f t="shared" si="11"/>
        <v/>
      </c>
      <c r="AA39" s="3" t="e">
        <f t="shared" si="12"/>
        <v>#VALUE!</v>
      </c>
      <c r="AB39" s="3" t="str">
        <f t="shared" si="13"/>
        <v/>
      </c>
      <c r="AC39" s="3" t="str">
        <f t="shared" si="14"/>
        <v/>
      </c>
      <c r="AD39" s="3" t="str">
        <f t="shared" si="15"/>
        <v/>
      </c>
      <c r="AE39" s="3" t="str">
        <f t="shared" si="16"/>
        <v/>
      </c>
      <c r="AF39" s="3" t="str">
        <f t="shared" si="17"/>
        <v/>
      </c>
      <c r="AG39" s="3" t="str">
        <f t="shared" si="18"/>
        <v/>
      </c>
    </row>
    <row r="40" spans="1:33" x14ac:dyDescent="0.25">
      <c r="A40" s="28" t="s">
        <v>175</v>
      </c>
      <c r="B40" s="19" t="s">
        <v>2732</v>
      </c>
      <c r="C40" s="36">
        <v>46194</v>
      </c>
      <c r="D40" s="37">
        <v>0.95833333333333337</v>
      </c>
      <c r="E40" s="19" t="s">
        <v>98</v>
      </c>
      <c r="F40" s="19" t="s">
        <v>2720</v>
      </c>
      <c r="G40" s="19" t="s">
        <v>158</v>
      </c>
      <c r="H40" s="38"/>
      <c r="I40" s="39"/>
      <c r="J40" s="39" t="s">
        <v>2691</v>
      </c>
      <c r="K40" s="39"/>
      <c r="L40" s="39"/>
      <c r="M40" s="39"/>
      <c r="N40" s="39"/>
      <c r="O40" s="39"/>
      <c r="P40" s="39"/>
      <c r="Q40" s="3" t="e">
        <f t="shared" si="2"/>
        <v>#VALUE!</v>
      </c>
      <c r="R40" s="3" t="e">
        <f t="shared" si="3"/>
        <v>#VALUE!</v>
      </c>
      <c r="S40" s="3" t="str">
        <f t="shared" si="4"/>
        <v>H</v>
      </c>
      <c r="T40" s="3" t="e">
        <f t="shared" si="5"/>
        <v>#VALUE!</v>
      </c>
      <c r="U40" s="3" t="e">
        <f t="shared" si="6"/>
        <v>#VALUE!</v>
      </c>
      <c r="V40" s="3" t="e">
        <f t="shared" si="7"/>
        <v>#VALUE!</v>
      </c>
      <c r="W40" s="3" t="e">
        <f t="shared" si="8"/>
        <v>#VALUE!</v>
      </c>
      <c r="X40" s="3" t="e">
        <f t="shared" si="9"/>
        <v>#VALUE!</v>
      </c>
      <c r="Y40" s="3" t="e">
        <f t="shared" si="10"/>
        <v>#VALUE!</v>
      </c>
      <c r="Z40" s="3" t="str">
        <f t="shared" si="11"/>
        <v/>
      </c>
      <c r="AA40" s="3" t="e">
        <f t="shared" si="12"/>
        <v>#VALUE!</v>
      </c>
      <c r="AB40" s="3" t="str">
        <f t="shared" si="13"/>
        <v/>
      </c>
      <c r="AC40" s="3" t="str">
        <f t="shared" si="14"/>
        <v/>
      </c>
      <c r="AD40" s="3" t="str">
        <f t="shared" si="15"/>
        <v/>
      </c>
      <c r="AE40" s="3" t="str">
        <f t="shared" si="16"/>
        <v/>
      </c>
      <c r="AF40" s="3" t="str">
        <f t="shared" si="17"/>
        <v/>
      </c>
      <c r="AG40" s="3" t="str">
        <f t="shared" si="18"/>
        <v/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/>
      <c r="J41" s="39" t="s">
        <v>2706</v>
      </c>
      <c r="K41" s="39"/>
      <c r="L41" s="39"/>
      <c r="M41" s="39"/>
      <c r="N41" s="39"/>
      <c r="O41" s="39"/>
      <c r="P41" s="39"/>
      <c r="Q41" s="3" t="e">
        <f t="shared" si="2"/>
        <v>#VALUE!</v>
      </c>
      <c r="R41" s="3" t="e">
        <f t="shared" si="3"/>
        <v>#VALUE!</v>
      </c>
      <c r="S41" s="3" t="str">
        <f t="shared" si="4"/>
        <v>A</v>
      </c>
      <c r="T41" s="3" t="e">
        <f t="shared" si="5"/>
        <v>#VALUE!</v>
      </c>
      <c r="U41" s="3" t="e">
        <f t="shared" si="6"/>
        <v>#VALUE!</v>
      </c>
      <c r="V41" s="3" t="e">
        <f t="shared" si="7"/>
        <v>#VALUE!</v>
      </c>
      <c r="W41" s="3" t="e">
        <f t="shared" si="8"/>
        <v>#VALUE!</v>
      </c>
      <c r="X41" s="3" t="e">
        <f t="shared" si="9"/>
        <v>#VALUE!</v>
      </c>
      <c r="Y41" s="3" t="e">
        <f t="shared" si="10"/>
        <v>#VALUE!</v>
      </c>
      <c r="Z41" s="3" t="str">
        <f t="shared" si="11"/>
        <v/>
      </c>
      <c r="AA41" s="3" t="e">
        <f t="shared" si="12"/>
        <v>#VALUE!</v>
      </c>
      <c r="AB41" s="3" t="str">
        <f t="shared" si="13"/>
        <v/>
      </c>
      <c r="AC41" s="3" t="str">
        <f t="shared" si="14"/>
        <v/>
      </c>
      <c r="AD41" s="3" t="str">
        <f t="shared" si="15"/>
        <v/>
      </c>
      <c r="AE41" s="3" t="str">
        <f t="shared" si="16"/>
        <v/>
      </c>
      <c r="AF41" s="3" t="str">
        <f t="shared" si="17"/>
        <v/>
      </c>
      <c r="AG41" s="3" t="str">
        <f t="shared" si="18"/>
        <v/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/>
      <c r="J42" s="39" t="s">
        <v>2701</v>
      </c>
      <c r="K42" s="39"/>
      <c r="L42" s="39"/>
      <c r="M42" s="39"/>
      <c r="N42" s="39"/>
      <c r="O42" s="39"/>
      <c r="P42" s="39"/>
      <c r="Q42" s="3" t="e">
        <f t="shared" si="2"/>
        <v>#VALUE!</v>
      </c>
      <c r="R42" s="3" t="e">
        <f t="shared" si="3"/>
        <v>#VALUE!</v>
      </c>
      <c r="S42" s="3" t="str">
        <f t="shared" si="4"/>
        <v>H</v>
      </c>
      <c r="T42" s="3" t="e">
        <f t="shared" si="5"/>
        <v>#VALUE!</v>
      </c>
      <c r="U42" s="3" t="e">
        <f t="shared" si="6"/>
        <v>#VALUE!</v>
      </c>
      <c r="V42" s="3" t="e">
        <f t="shared" si="7"/>
        <v>#VALUE!</v>
      </c>
      <c r="W42" s="3" t="e">
        <f t="shared" si="8"/>
        <v>#VALUE!</v>
      </c>
      <c r="X42" s="3" t="e">
        <f t="shared" si="9"/>
        <v>#VALUE!</v>
      </c>
      <c r="Y42" s="3" t="e">
        <f t="shared" si="10"/>
        <v>#VALUE!</v>
      </c>
      <c r="Z42" s="3" t="str">
        <f t="shared" si="11"/>
        <v/>
      </c>
      <c r="AA42" s="3" t="e">
        <f t="shared" si="12"/>
        <v>#VALUE!</v>
      </c>
      <c r="AB42" s="3" t="str">
        <f t="shared" si="13"/>
        <v/>
      </c>
      <c r="AC42" s="3" t="str">
        <f t="shared" si="14"/>
        <v/>
      </c>
      <c r="AD42" s="3" t="str">
        <f t="shared" si="15"/>
        <v/>
      </c>
      <c r="AE42" s="3" t="str">
        <f t="shared" si="16"/>
        <v/>
      </c>
      <c r="AF42" s="3" t="str">
        <f t="shared" si="17"/>
        <v/>
      </c>
      <c r="AG42" s="3" t="str">
        <f t="shared" si="18"/>
        <v/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/>
      <c r="J43" s="39" t="s">
        <v>2712</v>
      </c>
      <c r="K43" s="39"/>
      <c r="L43" s="39"/>
      <c r="M43" s="39"/>
      <c r="N43" s="39"/>
      <c r="O43" s="39"/>
      <c r="P43" s="39"/>
      <c r="Q43" s="3" t="e">
        <f t="shared" si="2"/>
        <v>#VALUE!</v>
      </c>
      <c r="R43" s="3" t="e">
        <f t="shared" si="3"/>
        <v>#VALUE!</v>
      </c>
      <c r="S43" s="3" t="str">
        <f t="shared" si="4"/>
        <v>H</v>
      </c>
      <c r="T43" s="3" t="e">
        <f t="shared" si="5"/>
        <v>#VALUE!</v>
      </c>
      <c r="U43" s="3" t="e">
        <f t="shared" si="6"/>
        <v>#VALUE!</v>
      </c>
      <c r="V43" s="3" t="e">
        <f t="shared" si="7"/>
        <v>#VALUE!</v>
      </c>
      <c r="W43" s="3" t="e">
        <f t="shared" si="8"/>
        <v>#VALUE!</v>
      </c>
      <c r="X43" s="3" t="e">
        <f t="shared" si="9"/>
        <v>#VALUE!</v>
      </c>
      <c r="Y43" s="3" t="e">
        <f t="shared" si="10"/>
        <v>#VALUE!</v>
      </c>
      <c r="Z43" s="3" t="str">
        <f t="shared" si="11"/>
        <v/>
      </c>
      <c r="AA43" s="3" t="e">
        <f t="shared" si="12"/>
        <v>#VALUE!</v>
      </c>
      <c r="AB43" s="3" t="str">
        <f t="shared" si="13"/>
        <v/>
      </c>
      <c r="AC43" s="3" t="str">
        <f t="shared" si="14"/>
        <v/>
      </c>
      <c r="AD43" s="3" t="str">
        <f t="shared" si="15"/>
        <v/>
      </c>
      <c r="AE43" s="3" t="str">
        <f t="shared" si="16"/>
        <v/>
      </c>
      <c r="AF43" s="3" t="str">
        <f t="shared" si="17"/>
        <v/>
      </c>
      <c r="AG43" s="3" t="str">
        <f t="shared" si="18"/>
        <v/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/>
      <c r="J44" s="39" t="s">
        <v>2709</v>
      </c>
      <c r="K44" s="39"/>
      <c r="L44" s="39"/>
      <c r="M44" s="39"/>
      <c r="N44" s="39"/>
      <c r="O44" s="39"/>
      <c r="P44" s="39"/>
      <c r="Q44" s="3" t="e">
        <f t="shared" si="2"/>
        <v>#VALUE!</v>
      </c>
      <c r="R44" s="3" t="e">
        <f t="shared" si="3"/>
        <v>#VALUE!</v>
      </c>
      <c r="S44" s="3" t="str">
        <f t="shared" si="4"/>
        <v>D</v>
      </c>
      <c r="T44" s="3" t="e">
        <f t="shared" si="5"/>
        <v>#VALUE!</v>
      </c>
      <c r="U44" s="3" t="e">
        <f t="shared" si="6"/>
        <v>#VALUE!</v>
      </c>
      <c r="V44" s="3" t="e">
        <f t="shared" si="7"/>
        <v>#VALUE!</v>
      </c>
      <c r="W44" s="3" t="e">
        <f t="shared" si="8"/>
        <v>#VALUE!</v>
      </c>
      <c r="X44" s="3" t="e">
        <f t="shared" si="9"/>
        <v>#VALUE!</v>
      </c>
      <c r="Y44" s="3" t="e">
        <f t="shared" si="10"/>
        <v>#VALUE!</v>
      </c>
      <c r="Z44" s="3" t="str">
        <f t="shared" si="11"/>
        <v/>
      </c>
      <c r="AA44" s="3" t="e">
        <f t="shared" si="12"/>
        <v>#VALUE!</v>
      </c>
      <c r="AB44" s="3" t="str">
        <f t="shared" si="13"/>
        <v/>
      </c>
      <c r="AC44" s="3" t="str">
        <f t="shared" si="14"/>
        <v/>
      </c>
      <c r="AD44" s="3" t="str">
        <f t="shared" si="15"/>
        <v/>
      </c>
      <c r="AE44" s="3" t="str">
        <f t="shared" si="16"/>
        <v/>
      </c>
      <c r="AF44" s="3" t="str">
        <f t="shared" si="17"/>
        <v/>
      </c>
      <c r="AG44" s="3" t="str">
        <f t="shared" si="18"/>
        <v/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/>
      <c r="J45" s="39" t="s">
        <v>2703</v>
      </c>
      <c r="K45" s="39"/>
      <c r="L45" s="39"/>
      <c r="M45" s="39"/>
      <c r="N45" s="39"/>
      <c r="O45" s="39"/>
      <c r="P45" s="39"/>
      <c r="Q45" s="3" t="e">
        <f t="shared" si="2"/>
        <v>#VALUE!</v>
      </c>
      <c r="R45" s="3" t="e">
        <f t="shared" si="3"/>
        <v>#VALUE!</v>
      </c>
      <c r="S45" s="3" t="str">
        <f t="shared" si="4"/>
        <v>A</v>
      </c>
      <c r="T45" s="3" t="e">
        <f t="shared" si="5"/>
        <v>#VALUE!</v>
      </c>
      <c r="U45" s="3" t="e">
        <f t="shared" si="6"/>
        <v>#VALUE!</v>
      </c>
      <c r="V45" s="3" t="e">
        <f t="shared" si="7"/>
        <v>#VALUE!</v>
      </c>
      <c r="W45" s="3" t="e">
        <f t="shared" si="8"/>
        <v>#VALUE!</v>
      </c>
      <c r="X45" s="3" t="e">
        <f t="shared" si="9"/>
        <v>#VALUE!</v>
      </c>
      <c r="Y45" s="3" t="e">
        <f t="shared" si="10"/>
        <v>#VALUE!</v>
      </c>
      <c r="Z45" s="3" t="str">
        <f t="shared" si="11"/>
        <v/>
      </c>
      <c r="AA45" s="3" t="e">
        <f t="shared" si="12"/>
        <v>#VALUE!</v>
      </c>
      <c r="AB45" s="3" t="str">
        <f t="shared" si="13"/>
        <v/>
      </c>
      <c r="AC45" s="3" t="str">
        <f t="shared" si="14"/>
        <v/>
      </c>
      <c r="AD45" s="3" t="str">
        <f t="shared" si="15"/>
        <v/>
      </c>
      <c r="AE45" s="3" t="str">
        <f t="shared" si="16"/>
        <v/>
      </c>
      <c r="AF45" s="3" t="str">
        <f t="shared" si="17"/>
        <v/>
      </c>
      <c r="AG45" s="3" t="str">
        <f t="shared" si="18"/>
        <v/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/>
      <c r="J46" s="39" t="s">
        <v>2716</v>
      </c>
      <c r="K46" s="39"/>
      <c r="L46" s="39"/>
      <c r="M46" s="39"/>
      <c r="N46" s="39"/>
      <c r="O46" s="39"/>
      <c r="P46" s="39"/>
      <c r="Q46" s="3" t="e">
        <f t="shared" si="2"/>
        <v>#VALUE!</v>
      </c>
      <c r="R46" s="3" t="e">
        <f t="shared" si="3"/>
        <v>#VALUE!</v>
      </c>
      <c r="S46" s="3" t="str">
        <f t="shared" si="4"/>
        <v>H</v>
      </c>
      <c r="T46" s="3" t="e">
        <f t="shared" si="5"/>
        <v>#VALUE!</v>
      </c>
      <c r="U46" s="3" t="e">
        <f t="shared" si="6"/>
        <v>#VALUE!</v>
      </c>
      <c r="V46" s="3" t="e">
        <f t="shared" si="7"/>
        <v>#VALUE!</v>
      </c>
      <c r="W46" s="3" t="e">
        <f t="shared" si="8"/>
        <v>#VALUE!</v>
      </c>
      <c r="X46" s="3" t="e">
        <f t="shared" si="9"/>
        <v>#VALUE!</v>
      </c>
      <c r="Y46" s="3" t="e">
        <f t="shared" si="10"/>
        <v>#VALUE!</v>
      </c>
      <c r="Z46" s="3" t="str">
        <f t="shared" si="11"/>
        <v/>
      </c>
      <c r="AA46" s="3" t="e">
        <f t="shared" si="12"/>
        <v>#VALUE!</v>
      </c>
      <c r="AB46" s="3" t="str">
        <f t="shared" si="13"/>
        <v/>
      </c>
      <c r="AC46" s="3" t="str">
        <f t="shared" si="14"/>
        <v/>
      </c>
      <c r="AD46" s="3" t="str">
        <f t="shared" si="15"/>
        <v/>
      </c>
      <c r="AE46" s="3" t="str">
        <f t="shared" si="16"/>
        <v/>
      </c>
      <c r="AF46" s="3" t="str">
        <f t="shared" si="17"/>
        <v/>
      </c>
      <c r="AG46" s="3" t="str">
        <f t="shared" si="18"/>
        <v/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/>
      <c r="J47" s="39" t="s">
        <v>2701</v>
      </c>
      <c r="K47" s="39"/>
      <c r="L47" s="39"/>
      <c r="M47" s="39"/>
      <c r="N47" s="39"/>
      <c r="O47" s="39"/>
      <c r="P47" s="39"/>
      <c r="Q47" s="3" t="e">
        <f t="shared" si="2"/>
        <v>#VALUE!</v>
      </c>
      <c r="R47" s="3" t="e">
        <f t="shared" si="3"/>
        <v>#VALUE!</v>
      </c>
      <c r="S47" s="3" t="str">
        <f t="shared" si="4"/>
        <v>H</v>
      </c>
      <c r="T47" s="3" t="e">
        <f t="shared" si="5"/>
        <v>#VALUE!</v>
      </c>
      <c r="U47" s="3" t="e">
        <f t="shared" si="6"/>
        <v>#VALUE!</v>
      </c>
      <c r="V47" s="3" t="e">
        <f t="shared" si="7"/>
        <v>#VALUE!</v>
      </c>
      <c r="W47" s="3" t="e">
        <f t="shared" si="8"/>
        <v>#VALUE!</v>
      </c>
      <c r="X47" s="3" t="e">
        <f t="shared" si="9"/>
        <v>#VALUE!</v>
      </c>
      <c r="Y47" s="3" t="e">
        <f t="shared" si="10"/>
        <v>#VALUE!</v>
      </c>
      <c r="Z47" s="3" t="str">
        <f t="shared" si="11"/>
        <v/>
      </c>
      <c r="AA47" s="3" t="e">
        <f t="shared" si="12"/>
        <v>#VALUE!</v>
      </c>
      <c r="AB47" s="3" t="str">
        <f t="shared" si="13"/>
        <v/>
      </c>
      <c r="AC47" s="3" t="str">
        <f t="shared" si="14"/>
        <v/>
      </c>
      <c r="AD47" s="3" t="str">
        <f t="shared" si="15"/>
        <v/>
      </c>
      <c r="AE47" s="3" t="str">
        <f t="shared" si="16"/>
        <v/>
      </c>
      <c r="AF47" s="3" t="str">
        <f t="shared" si="17"/>
        <v/>
      </c>
      <c r="AG47" s="3" t="str">
        <f t="shared" si="18"/>
        <v/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/>
      <c r="J48" s="39" t="s">
        <v>2733</v>
      </c>
      <c r="K48" s="39"/>
      <c r="L48" s="39"/>
      <c r="M48" s="39"/>
      <c r="N48" s="39"/>
      <c r="O48" s="39"/>
      <c r="P48" s="39"/>
      <c r="Q48" s="3" t="e">
        <f t="shared" si="2"/>
        <v>#VALUE!</v>
      </c>
      <c r="R48" s="3" t="e">
        <f t="shared" si="3"/>
        <v>#VALUE!</v>
      </c>
      <c r="S48" s="3" t="str">
        <f t="shared" si="4"/>
        <v>A</v>
      </c>
      <c r="T48" s="3" t="e">
        <f t="shared" si="5"/>
        <v>#VALUE!</v>
      </c>
      <c r="U48" s="3" t="e">
        <f t="shared" si="6"/>
        <v>#VALUE!</v>
      </c>
      <c r="V48" s="3" t="e">
        <f t="shared" si="7"/>
        <v>#VALUE!</v>
      </c>
      <c r="W48" s="3" t="e">
        <f t="shared" si="8"/>
        <v>#VALUE!</v>
      </c>
      <c r="X48" s="3" t="e">
        <f t="shared" si="9"/>
        <v>#VALUE!</v>
      </c>
      <c r="Y48" s="3" t="e">
        <f t="shared" si="10"/>
        <v>#VALUE!</v>
      </c>
      <c r="Z48" s="3" t="str">
        <f t="shared" si="11"/>
        <v/>
      </c>
      <c r="AA48" s="3" t="e">
        <f t="shared" si="12"/>
        <v>#VALUE!</v>
      </c>
      <c r="AB48" s="3" t="str">
        <f t="shared" si="13"/>
        <v/>
      </c>
      <c r="AC48" s="3" t="str">
        <f t="shared" si="14"/>
        <v/>
      </c>
      <c r="AD48" s="3" t="str">
        <f t="shared" si="15"/>
        <v/>
      </c>
      <c r="AE48" s="3" t="str">
        <f t="shared" si="16"/>
        <v/>
      </c>
      <c r="AF48" s="3" t="str">
        <f t="shared" si="17"/>
        <v/>
      </c>
      <c r="AG48" s="3" t="str">
        <f t="shared" si="18"/>
        <v/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/>
      <c r="J49" s="39" t="s">
        <v>2693</v>
      </c>
      <c r="K49" s="39"/>
      <c r="L49" s="39"/>
      <c r="M49" s="39"/>
      <c r="N49" s="39"/>
      <c r="O49" s="39"/>
      <c r="P49" s="39"/>
      <c r="Q49" s="3" t="e">
        <f t="shared" si="2"/>
        <v>#VALUE!</v>
      </c>
      <c r="R49" s="3" t="e">
        <f t="shared" si="3"/>
        <v>#VALUE!</v>
      </c>
      <c r="S49" s="3" t="str">
        <f t="shared" si="4"/>
        <v>H</v>
      </c>
      <c r="T49" s="3" t="e">
        <f t="shared" si="5"/>
        <v>#VALUE!</v>
      </c>
      <c r="U49" s="3" t="e">
        <f t="shared" si="6"/>
        <v>#VALUE!</v>
      </c>
      <c r="V49" s="3" t="e">
        <f t="shared" si="7"/>
        <v>#VALUE!</v>
      </c>
      <c r="W49" s="3" t="e">
        <f t="shared" si="8"/>
        <v>#VALUE!</v>
      </c>
      <c r="X49" s="3" t="e">
        <f t="shared" si="9"/>
        <v>#VALUE!</v>
      </c>
      <c r="Y49" s="3" t="e">
        <f t="shared" si="10"/>
        <v>#VALUE!</v>
      </c>
      <c r="Z49" s="3" t="str">
        <f t="shared" si="11"/>
        <v/>
      </c>
      <c r="AA49" s="3" t="e">
        <f t="shared" si="12"/>
        <v>#VALUE!</v>
      </c>
      <c r="AB49" s="3" t="str">
        <f t="shared" si="13"/>
        <v/>
      </c>
      <c r="AC49" s="3" t="str">
        <f t="shared" si="14"/>
        <v/>
      </c>
      <c r="AD49" s="3" t="str">
        <f t="shared" si="15"/>
        <v/>
      </c>
      <c r="AE49" s="3" t="str">
        <f t="shared" si="16"/>
        <v/>
      </c>
      <c r="AF49" s="3" t="str">
        <f t="shared" si="17"/>
        <v/>
      </c>
      <c r="AG49" s="3" t="str">
        <f t="shared" si="18"/>
        <v/>
      </c>
    </row>
    <row r="50" spans="1:33" x14ac:dyDescent="0.25">
      <c r="A50" s="28" t="s">
        <v>148</v>
      </c>
      <c r="B50" s="19" t="s">
        <v>2734</v>
      </c>
      <c r="C50" s="36">
        <v>46197</v>
      </c>
      <c r="D50" s="37">
        <v>0.83333333333333337</v>
      </c>
      <c r="E50" s="19" t="s">
        <v>2698</v>
      </c>
      <c r="F50" s="19" t="s">
        <v>151</v>
      </c>
      <c r="G50" s="19" t="s">
        <v>62</v>
      </c>
      <c r="H50" s="38"/>
      <c r="I50" s="39"/>
      <c r="J50" s="39"/>
      <c r="K50" s="39"/>
      <c r="L50" s="39"/>
      <c r="M50" s="39"/>
      <c r="N50" s="39"/>
      <c r="O50" s="39"/>
      <c r="P50" s="39"/>
      <c r="Q50" s="3" t="e">
        <f t="shared" si="2"/>
        <v>#VALUE!</v>
      </c>
      <c r="R50" s="3" t="e">
        <f t="shared" si="3"/>
        <v>#VALUE!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e">
        <f t="shared" si="7"/>
        <v>#VALUE!</v>
      </c>
      <c r="W50" s="3" t="e">
        <f t="shared" si="8"/>
        <v>#VALUE!</v>
      </c>
      <c r="X50" s="3" t="e">
        <f t="shared" si="9"/>
        <v>#VALUE!</v>
      </c>
      <c r="Y50" s="3" t="e">
        <f t="shared" si="10"/>
        <v>#VALUE!</v>
      </c>
      <c r="Z50" s="3" t="str">
        <f t="shared" si="11"/>
        <v/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str">
        <f t="shared" si="15"/>
        <v/>
      </c>
      <c r="AE50" s="3" t="str">
        <f t="shared" si="16"/>
        <v/>
      </c>
      <c r="AF50" s="3" t="str">
        <f t="shared" si="17"/>
        <v/>
      </c>
      <c r="AG50" s="3" t="str">
        <f t="shared" si="18"/>
        <v/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/>
      <c r="J51" s="39"/>
      <c r="K51" s="39"/>
      <c r="L51" s="39"/>
      <c r="M51" s="39"/>
      <c r="N51" s="39"/>
      <c r="O51" s="39"/>
      <c r="P51" s="39"/>
      <c r="Q51" s="3" t="e">
        <f t="shared" si="2"/>
        <v>#VALUE!</v>
      </c>
      <c r="R51" s="3" t="e">
        <f t="shared" si="3"/>
        <v>#VALUE!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e">
        <f t="shared" si="7"/>
        <v>#VALUE!</v>
      </c>
      <c r="W51" s="3" t="e">
        <f t="shared" si="8"/>
        <v>#VALUE!</v>
      </c>
      <c r="X51" s="3" t="e">
        <f t="shared" si="9"/>
        <v>#VALUE!</v>
      </c>
      <c r="Y51" s="3" t="e">
        <f t="shared" si="10"/>
        <v>#VALUE!</v>
      </c>
      <c r="Z51" s="3" t="str">
        <f t="shared" si="11"/>
        <v/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str">
        <f t="shared" si="15"/>
        <v/>
      </c>
      <c r="AE51" s="3" t="str">
        <f t="shared" si="16"/>
        <v/>
      </c>
      <c r="AF51" s="3" t="str">
        <f t="shared" si="17"/>
        <v/>
      </c>
      <c r="AG51" s="3" t="str">
        <f t="shared" si="18"/>
        <v/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/>
      <c r="J52" s="39"/>
      <c r="K52" s="39"/>
      <c r="L52" s="39"/>
      <c r="M52" s="39"/>
      <c r="N52" s="39"/>
      <c r="O52" s="39"/>
      <c r="P52" s="39"/>
      <c r="Q52" s="3" t="e">
        <f t="shared" si="2"/>
        <v>#VALUE!</v>
      </c>
      <c r="R52" s="3" t="e">
        <f t="shared" si="3"/>
        <v>#VALUE!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e">
        <f t="shared" si="9"/>
        <v>#VALUE!</v>
      </c>
      <c r="Y52" s="3" t="e">
        <f t="shared" si="10"/>
        <v>#VALUE!</v>
      </c>
      <c r="Z52" s="3" t="str">
        <f t="shared" si="11"/>
        <v/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str">
        <f t="shared" si="17"/>
        <v/>
      </c>
      <c r="AG52" s="3" t="str">
        <f t="shared" si="18"/>
        <v/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/>
      <c r="J53" s="39"/>
      <c r="K53" s="39"/>
      <c r="L53" s="39"/>
      <c r="M53" s="39"/>
      <c r="N53" s="39"/>
      <c r="O53" s="39"/>
      <c r="P53" s="39"/>
      <c r="Q53" s="3" t="e">
        <f t="shared" si="2"/>
        <v>#VALUE!</v>
      </c>
      <c r="R53" s="3" t="e">
        <f t="shared" si="3"/>
        <v>#VALUE!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e">
        <f t="shared" si="9"/>
        <v>#VALUE!</v>
      </c>
      <c r="Y53" s="3" t="e">
        <f t="shared" si="10"/>
        <v>#VALUE!</v>
      </c>
      <c r="Z53" s="3" t="str">
        <f t="shared" si="11"/>
        <v/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str">
        <f t="shared" si="17"/>
        <v/>
      </c>
      <c r="AG53" s="3" t="str">
        <f t="shared" si="18"/>
        <v/>
      </c>
    </row>
    <row r="54" spans="1:33" x14ac:dyDescent="0.25">
      <c r="A54" s="28" t="s">
        <v>132</v>
      </c>
      <c r="B54" s="19" t="s">
        <v>2735</v>
      </c>
      <c r="C54" s="36">
        <v>46198</v>
      </c>
      <c r="D54" s="37">
        <v>8.3333333333333329E-2</v>
      </c>
      <c r="E54" s="19" t="s">
        <v>134</v>
      </c>
      <c r="F54" s="19" t="s">
        <v>2679</v>
      </c>
      <c r="G54" s="19" t="s">
        <v>62</v>
      </c>
      <c r="H54" s="38"/>
      <c r="I54" s="39"/>
      <c r="J54" s="39"/>
      <c r="K54" s="39"/>
      <c r="L54" s="39"/>
      <c r="M54" s="39"/>
      <c r="N54" s="39"/>
      <c r="O54" s="39"/>
      <c r="P54" s="39"/>
      <c r="Q54" s="3" t="e">
        <f t="shared" si="2"/>
        <v>#VALUE!</v>
      </c>
      <c r="R54" s="3" t="e">
        <f t="shared" si="3"/>
        <v>#VALUE!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e">
        <f t="shared" si="9"/>
        <v>#VALUE!</v>
      </c>
      <c r="Y54" s="3" t="e">
        <f t="shared" si="10"/>
        <v>#VALUE!</v>
      </c>
      <c r="Z54" s="3" t="str">
        <f t="shared" si="11"/>
        <v/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str">
        <f t="shared" si="17"/>
        <v/>
      </c>
      <c r="AG54" s="3" t="str">
        <f t="shared" si="18"/>
        <v/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/>
      <c r="J55" s="39"/>
      <c r="K55" s="39"/>
      <c r="L55" s="39"/>
      <c r="M55" s="39"/>
      <c r="N55" s="39"/>
      <c r="O55" s="39"/>
      <c r="P55" s="39"/>
      <c r="Q55" s="3" t="e">
        <f t="shared" si="2"/>
        <v>#VALUE!</v>
      </c>
      <c r="R55" s="3" t="e">
        <f t="shared" si="3"/>
        <v>#VALUE!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e">
        <f t="shared" si="9"/>
        <v>#VALUE!</v>
      </c>
      <c r="Y55" s="3" t="e">
        <f t="shared" si="10"/>
        <v>#VALUE!</v>
      </c>
      <c r="Z55" s="3" t="str">
        <f t="shared" si="11"/>
        <v/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str">
        <f t="shared" si="17"/>
        <v/>
      </c>
      <c r="AG55" s="3" t="str">
        <f t="shared" si="18"/>
        <v/>
      </c>
    </row>
    <row r="56" spans="1:33" x14ac:dyDescent="0.25">
      <c r="A56" s="28" t="s">
        <v>124</v>
      </c>
      <c r="B56" s="19" t="s">
        <v>2736</v>
      </c>
      <c r="C56" s="36">
        <v>46198</v>
      </c>
      <c r="D56" s="37">
        <v>0.875</v>
      </c>
      <c r="E56" s="19" t="s">
        <v>2711</v>
      </c>
      <c r="F56" s="19" t="s">
        <v>2680</v>
      </c>
      <c r="G56" s="19" t="s">
        <v>62</v>
      </c>
      <c r="H56" s="38"/>
      <c r="I56" s="39"/>
      <c r="J56" s="39"/>
      <c r="K56" s="39"/>
      <c r="L56" s="39"/>
      <c r="M56" s="39"/>
      <c r="N56" s="39"/>
      <c r="O56" s="39"/>
      <c r="P56" s="39"/>
      <c r="Q56" s="3" t="e">
        <f t="shared" si="2"/>
        <v>#VALUE!</v>
      </c>
      <c r="R56" s="3" t="e">
        <f t="shared" si="3"/>
        <v>#VALUE!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e">
        <f t="shared" si="9"/>
        <v>#VALUE!</v>
      </c>
      <c r="Y56" s="3" t="e">
        <f t="shared" si="10"/>
        <v>#VALUE!</v>
      </c>
      <c r="Z56" s="3" t="str">
        <f t="shared" si="11"/>
        <v/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str">
        <f t="shared" si="17"/>
        <v/>
      </c>
      <c r="AG56" s="3" t="str">
        <f t="shared" si="18"/>
        <v/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/>
      <c r="J57" s="39"/>
      <c r="K57" s="39"/>
      <c r="L57" s="39"/>
      <c r="M57" s="39"/>
      <c r="N57" s="39"/>
      <c r="O57" s="39"/>
      <c r="P57" s="39"/>
      <c r="Q57" s="3" t="e">
        <f t="shared" si="2"/>
        <v>#VALUE!</v>
      </c>
      <c r="R57" s="3" t="e">
        <f t="shared" si="3"/>
        <v>#VALUE!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e">
        <f t="shared" si="9"/>
        <v>#VALUE!</v>
      </c>
      <c r="Y57" s="3" t="e">
        <f t="shared" si="10"/>
        <v>#VALUE!</v>
      </c>
      <c r="Z57" s="3" t="str">
        <f t="shared" si="11"/>
        <v/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str">
        <f t="shared" si="17"/>
        <v/>
      </c>
      <c r="AG57" s="3" t="str">
        <f t="shared" si="18"/>
        <v/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/>
      <c r="J58" s="39"/>
      <c r="K58" s="39"/>
      <c r="L58" s="39"/>
      <c r="M58" s="39"/>
      <c r="N58" s="39"/>
      <c r="O58" s="39"/>
      <c r="P58" s="39"/>
      <c r="Q58" s="3" t="e">
        <f t="shared" si="2"/>
        <v>#VALUE!</v>
      </c>
      <c r="R58" s="3" t="e">
        <f t="shared" si="3"/>
        <v>#VALUE!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e">
        <f t="shared" si="9"/>
        <v>#VALUE!</v>
      </c>
      <c r="Y58" s="3" t="e">
        <f t="shared" si="10"/>
        <v>#VALUE!</v>
      </c>
      <c r="Z58" s="3" t="str">
        <f t="shared" si="11"/>
        <v/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str">
        <f t="shared" si="17"/>
        <v/>
      </c>
      <c r="AG58" s="3" t="str">
        <f t="shared" si="18"/>
        <v/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/>
      <c r="J59" s="39"/>
      <c r="K59" s="39"/>
      <c r="L59" s="39"/>
      <c r="M59" s="39"/>
      <c r="N59" s="39"/>
      <c r="O59" s="39"/>
      <c r="P59" s="39"/>
      <c r="Q59" s="3" t="e">
        <f t="shared" si="2"/>
        <v>#VALUE!</v>
      </c>
      <c r="R59" s="3" t="e">
        <f t="shared" si="3"/>
        <v>#VALUE!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e">
        <f t="shared" si="9"/>
        <v>#VALUE!</v>
      </c>
      <c r="Y59" s="3" t="e">
        <f t="shared" si="10"/>
        <v>#VALUE!</v>
      </c>
      <c r="Z59" s="3" t="str">
        <f t="shared" si="11"/>
        <v/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str">
        <f t="shared" si="17"/>
        <v/>
      </c>
      <c r="AG59" s="3" t="str">
        <f t="shared" si="18"/>
        <v/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/>
      <c r="J60" s="39"/>
      <c r="K60" s="39"/>
      <c r="L60" s="39"/>
      <c r="M60" s="39"/>
      <c r="N60" s="39"/>
      <c r="O60" s="39"/>
      <c r="P60" s="39"/>
      <c r="Q60" s="3" t="e">
        <f t="shared" si="2"/>
        <v>#VALUE!</v>
      </c>
      <c r="R60" s="3" t="e">
        <f t="shared" si="3"/>
        <v>#VALUE!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e">
        <f t="shared" si="9"/>
        <v>#VALUE!</v>
      </c>
      <c r="Y60" s="3" t="e">
        <f t="shared" si="10"/>
        <v>#VALUE!</v>
      </c>
      <c r="Z60" s="3" t="str">
        <f t="shared" si="11"/>
        <v/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str">
        <f t="shared" si="17"/>
        <v/>
      </c>
      <c r="AG60" s="3" t="str">
        <f t="shared" si="18"/>
        <v/>
      </c>
    </row>
    <row r="61" spans="1:33" x14ac:dyDescent="0.25">
      <c r="A61" s="28" t="s">
        <v>112</v>
      </c>
      <c r="B61" s="19" t="s">
        <v>2737</v>
      </c>
      <c r="C61" s="36">
        <v>46199</v>
      </c>
      <c r="D61" s="37">
        <v>0.125</v>
      </c>
      <c r="E61" s="19" t="s">
        <v>2678</v>
      </c>
      <c r="F61" s="19" t="s">
        <v>2507</v>
      </c>
      <c r="G61" s="19" t="s">
        <v>62</v>
      </c>
      <c r="H61" s="38"/>
      <c r="I61" s="39"/>
      <c r="J61" s="39"/>
      <c r="K61" s="39"/>
      <c r="L61" s="39"/>
      <c r="M61" s="39"/>
      <c r="N61" s="39"/>
      <c r="O61" s="39"/>
      <c r="P61" s="39"/>
      <c r="Q61" s="3" t="e">
        <f t="shared" si="2"/>
        <v>#VALUE!</v>
      </c>
      <c r="R61" s="3" t="e">
        <f t="shared" si="3"/>
        <v>#VALUE!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e">
        <f t="shared" si="9"/>
        <v>#VALUE!</v>
      </c>
      <c r="Y61" s="3" t="e">
        <f t="shared" si="10"/>
        <v>#VALUE!</v>
      </c>
      <c r="Z61" s="3" t="str">
        <f t="shared" si="11"/>
        <v/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str">
        <f t="shared" si="17"/>
        <v/>
      </c>
      <c r="AG61" s="3" t="str">
        <f t="shared" si="18"/>
        <v/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/>
      <c r="J62" s="39"/>
      <c r="K62" s="39"/>
      <c r="L62" s="39"/>
      <c r="M62" s="39"/>
      <c r="N62" s="39"/>
      <c r="O62" s="39"/>
      <c r="P62" s="39"/>
      <c r="Q62" s="3" t="e">
        <f t="shared" si="2"/>
        <v>#VALUE!</v>
      </c>
      <c r="R62" s="3" t="e">
        <f t="shared" si="3"/>
        <v>#VALUE!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e">
        <f t="shared" si="9"/>
        <v>#VALUE!</v>
      </c>
      <c r="Y62" s="3" t="e">
        <f t="shared" si="10"/>
        <v>#VALUE!</v>
      </c>
      <c r="Z62" s="3" t="str">
        <f t="shared" si="11"/>
        <v/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str">
        <f t="shared" si="17"/>
        <v/>
      </c>
      <c r="AG62" s="3" t="str">
        <f t="shared" si="18"/>
        <v/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/>
      <c r="J63" s="39"/>
      <c r="K63" s="39"/>
      <c r="L63" s="39"/>
      <c r="M63" s="39"/>
      <c r="N63" s="39"/>
      <c r="O63" s="39"/>
      <c r="P63" s="39"/>
      <c r="Q63" s="3" t="e">
        <f t="shared" si="2"/>
        <v>#VALUE!</v>
      </c>
      <c r="R63" s="3" t="e">
        <f t="shared" si="3"/>
        <v>#VALUE!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e">
        <f t="shared" si="9"/>
        <v>#VALUE!</v>
      </c>
      <c r="Y63" s="3" t="e">
        <f t="shared" si="10"/>
        <v>#VALUE!</v>
      </c>
      <c r="Z63" s="3" t="str">
        <f t="shared" si="11"/>
        <v/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str">
        <f t="shared" si="17"/>
        <v/>
      </c>
      <c r="AG63" s="3" t="str">
        <f t="shared" si="18"/>
        <v/>
      </c>
    </row>
    <row r="64" spans="1:33" x14ac:dyDescent="0.25">
      <c r="A64" s="28" t="s">
        <v>92</v>
      </c>
      <c r="B64" s="19" t="s">
        <v>2738</v>
      </c>
      <c r="C64" s="36">
        <v>46200</v>
      </c>
      <c r="D64" s="37">
        <v>4.1666666666666664E-2</v>
      </c>
      <c r="E64" s="19" t="s">
        <v>2720</v>
      </c>
      <c r="F64" s="19" t="s">
        <v>95</v>
      </c>
      <c r="G64" s="19" t="s">
        <v>62</v>
      </c>
      <c r="H64" s="38"/>
      <c r="I64" s="39"/>
      <c r="J64" s="39"/>
      <c r="K64" s="39"/>
      <c r="L64" s="39"/>
      <c r="M64" s="39"/>
      <c r="N64" s="39"/>
      <c r="O64" s="39"/>
      <c r="P64" s="39"/>
      <c r="Q64" s="3" t="e">
        <f t="shared" si="2"/>
        <v>#VALUE!</v>
      </c>
      <c r="R64" s="3" t="e">
        <f t="shared" si="3"/>
        <v>#VALUE!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e">
        <f t="shared" si="9"/>
        <v>#VALUE!</v>
      </c>
      <c r="Y64" s="3" t="e">
        <f t="shared" si="10"/>
        <v>#VALUE!</v>
      </c>
      <c r="Z64" s="3" t="str">
        <f t="shared" si="11"/>
        <v/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str">
        <f t="shared" si="17"/>
        <v/>
      </c>
      <c r="AG64" s="3" t="str">
        <f t="shared" si="18"/>
        <v/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/>
      <c r="J65" s="39"/>
      <c r="K65" s="39"/>
      <c r="L65" s="39"/>
      <c r="M65" s="39"/>
      <c r="N65" s="39"/>
      <c r="O65" s="39"/>
      <c r="P65" s="39"/>
      <c r="Q65" s="3" t="e">
        <f t="shared" si="2"/>
        <v>#VALUE!</v>
      </c>
      <c r="R65" s="3" t="e">
        <f t="shared" si="3"/>
        <v>#VALUE!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e">
        <f t="shared" si="9"/>
        <v>#VALUE!</v>
      </c>
      <c r="Y65" s="3" t="e">
        <f t="shared" si="10"/>
        <v>#VALUE!</v>
      </c>
      <c r="Z65" s="3" t="str">
        <f t="shared" si="11"/>
        <v/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str">
        <f t="shared" si="17"/>
        <v/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/>
      <c r="J66" s="39"/>
      <c r="K66" s="39"/>
      <c r="L66" s="39"/>
      <c r="M66" s="39"/>
      <c r="N66" s="39"/>
      <c r="O66" s="39"/>
      <c r="P66" s="39"/>
      <c r="Q66" s="3" t="e">
        <f t="shared" si="2"/>
        <v>#VALUE!</v>
      </c>
      <c r="R66" s="3" t="e">
        <f t="shared" si="3"/>
        <v>#VALUE!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e">
        <f t="shared" si="9"/>
        <v>#VALUE!</v>
      </c>
      <c r="Y66" s="3" t="e">
        <f t="shared" si="10"/>
        <v>#VALUE!</v>
      </c>
      <c r="Z66" s="3" t="str">
        <f t="shared" si="11"/>
        <v/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str">
        <f t="shared" si="17"/>
        <v/>
      </c>
      <c r="AG66" s="3" t="str">
        <f t="shared" si="18"/>
        <v/>
      </c>
    </row>
    <row r="67" spans="1:33" x14ac:dyDescent="0.25">
      <c r="A67" s="28" t="s">
        <v>88</v>
      </c>
      <c r="B67" s="19" t="s">
        <v>2739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/>
      <c r="J67" s="39"/>
      <c r="K67" s="39"/>
      <c r="L67" s="39"/>
      <c r="M67" s="39"/>
      <c r="N67" s="39"/>
      <c r="O67" s="39"/>
      <c r="P67" s="39"/>
      <c r="Q67" s="3" t="e">
        <f t="shared" ref="Q67:Q105" si="19">IF(LEFT(H67,1)-RIGHT(H67,1)=0,"D",IF(LEFT(H67,1)-RIGHT(H67,1)&gt;0,"H","A"))</f>
        <v>#VALUE!</v>
      </c>
      <c r="R67" s="3" t="e">
        <f t="shared" ref="R67:R105" si="20">IF(LEFT(I67,1)-RIGHT(I67,1)=0,"D",IF(LEFT(I67,1)-RIGHT(I67,1)&gt;0,"H","A"))</f>
        <v>#VALUE!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e">
        <f t="shared" ref="X67:X105" si="26">IF(LEFT(O67,1)-RIGHT(O67,1)=0,"D",IF(LEFT(O67,1)-RIGHT(O67,1)&gt;0,"H","A"))</f>
        <v>#VALUE!</v>
      </c>
      <c r="Y67" s="3" t="e">
        <f t="shared" ref="Y67:Y105" si="27">IF(LEFT(P67,1)-RIGHT(P67,1)=0,"D",IF(LEFT(P67,1)-RIGHT(P67,1)&gt;0,"H","A"))</f>
        <v>#VALUE!</v>
      </c>
      <c r="Z67" s="3" t="str">
        <f t="shared" ref="Z67:Z105" si="28">IF(I67="","",IF(I67=$H67,"W",IF(R67=$Q67,"D","L")))</f>
        <v/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str">
        <f t="shared" ref="AF67:AF105" si="34">IF(O67="","",IF(O67=$H67,"W",IF(X67=$Q67,"D","L")))</f>
        <v/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/>
      <c r="J68" s="39"/>
      <c r="K68" s="39"/>
      <c r="L68" s="39"/>
      <c r="M68" s="39"/>
      <c r="N68" s="39"/>
      <c r="O68" s="39"/>
      <c r="P68" s="39"/>
      <c r="Q68" s="3" t="e">
        <f t="shared" si="19"/>
        <v>#VALUE!</v>
      </c>
      <c r="R68" s="3" t="e">
        <f t="shared" si="20"/>
        <v>#VALUE!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e">
        <f t="shared" si="26"/>
        <v>#VALUE!</v>
      </c>
      <c r="Y68" s="3" t="e">
        <f t="shared" si="27"/>
        <v>#VALUE!</v>
      </c>
      <c r="Z68" s="3" t="str">
        <f t="shared" si="28"/>
        <v/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str">
        <f t="shared" si="34"/>
        <v/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/>
      <c r="J69" s="39"/>
      <c r="K69" s="39"/>
      <c r="L69" s="39"/>
      <c r="M69" s="39"/>
      <c r="N69" s="39"/>
      <c r="O69" s="39"/>
      <c r="P69" s="39"/>
      <c r="Q69" s="3" t="e">
        <f t="shared" si="19"/>
        <v>#VALUE!</v>
      </c>
      <c r="R69" s="3" t="e">
        <f t="shared" si="20"/>
        <v>#VALUE!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e">
        <f t="shared" si="26"/>
        <v>#VALUE!</v>
      </c>
      <c r="Y69" s="3" t="e">
        <f t="shared" si="27"/>
        <v>#VALUE!</v>
      </c>
      <c r="Z69" s="3" t="str">
        <f t="shared" si="28"/>
        <v/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str">
        <f t="shared" si="34"/>
        <v/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/>
      <c r="J70" s="39"/>
      <c r="K70" s="39"/>
      <c r="L70" s="39"/>
      <c r="M70" s="39"/>
      <c r="N70" s="39"/>
      <c r="O70" s="39"/>
      <c r="P70" s="39"/>
      <c r="Q70" s="3" t="e">
        <f t="shared" si="19"/>
        <v>#VALUE!</v>
      </c>
      <c r="R70" s="3" t="e">
        <f t="shared" si="20"/>
        <v>#VALUE!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e">
        <f t="shared" si="26"/>
        <v>#VALUE!</v>
      </c>
      <c r="Y70" s="3" t="e">
        <f t="shared" si="27"/>
        <v>#VALUE!</v>
      </c>
      <c r="Z70" s="3" t="str">
        <f t="shared" si="28"/>
        <v/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str">
        <f t="shared" si="34"/>
        <v/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/>
      <c r="J71" s="39"/>
      <c r="K71" s="39"/>
      <c r="L71" s="39"/>
      <c r="M71" s="39"/>
      <c r="N71" s="39"/>
      <c r="O71" s="39"/>
      <c r="P71" s="39"/>
      <c r="Q71" s="3" t="e">
        <f t="shared" si="19"/>
        <v>#VALUE!</v>
      </c>
      <c r="R71" s="3" t="e">
        <f t="shared" si="20"/>
        <v>#VALUE!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e">
        <f t="shared" si="26"/>
        <v>#VALUE!</v>
      </c>
      <c r="Y71" s="3" t="e">
        <f t="shared" si="27"/>
        <v>#VALUE!</v>
      </c>
      <c r="Z71" s="3" t="str">
        <f t="shared" si="28"/>
        <v/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str">
        <f t="shared" si="34"/>
        <v/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/>
      <c r="J72" s="39"/>
      <c r="K72" s="39"/>
      <c r="L72" s="39"/>
      <c r="M72" s="39"/>
      <c r="N72" s="39"/>
      <c r="O72" s="39"/>
      <c r="P72" s="39"/>
      <c r="Q72" s="3" t="e">
        <f t="shared" si="19"/>
        <v>#VALUE!</v>
      </c>
      <c r="R72" s="3" t="e">
        <f t="shared" si="20"/>
        <v>#VALUE!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e">
        <f t="shared" si="26"/>
        <v>#VALUE!</v>
      </c>
      <c r="Y72" s="3" t="e">
        <f t="shared" si="27"/>
        <v>#VALUE!</v>
      </c>
      <c r="Z72" s="3" t="str">
        <f t="shared" si="28"/>
        <v/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str">
        <f t="shared" si="34"/>
        <v/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/>
      <c r="J73" s="39"/>
      <c r="K73" s="39"/>
      <c r="L73" s="39"/>
      <c r="M73" s="39"/>
      <c r="N73" s="39"/>
      <c r="O73" s="39"/>
      <c r="P73" s="39"/>
      <c r="Q73" s="3" t="e">
        <f t="shared" si="19"/>
        <v>#VALUE!</v>
      </c>
      <c r="R73" s="3" t="e">
        <f t="shared" si="20"/>
        <v>#VALUE!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e">
        <f t="shared" si="26"/>
        <v>#VALUE!</v>
      </c>
      <c r="Y73" s="3" t="e">
        <f t="shared" si="27"/>
        <v>#VALUE!</v>
      </c>
      <c r="Z73" s="3" t="str">
        <f t="shared" si="28"/>
        <v/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str">
        <f t="shared" si="34"/>
        <v/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2740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2740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2740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2740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2740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2740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2740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2740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2740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2740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2740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2740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2740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2740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2740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2741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2743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2743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2744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2744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2745</v>
      </c>
      <c r="F1" s="3" t="s">
        <v>2746</v>
      </c>
      <c r="G1" s="3" t="s">
        <v>2742</v>
      </c>
      <c r="H1" s="3" t="s">
        <v>2743</v>
      </c>
      <c r="I1" s="3" t="s">
        <v>2747</v>
      </c>
    </row>
    <row r="2" spans="1:9" x14ac:dyDescent="0.25">
      <c r="A2" s="3" t="s">
        <v>60</v>
      </c>
      <c r="B2" s="3" t="s">
        <v>2748</v>
      </c>
      <c r="C2" s="3" t="s">
        <v>2749</v>
      </c>
      <c r="D2" s="3" t="s">
        <v>2750</v>
      </c>
      <c r="E2" s="3" t="s">
        <v>2751</v>
      </c>
      <c r="F2" s="3" t="s">
        <v>2751</v>
      </c>
      <c r="G2" s="3" t="s">
        <v>2751</v>
      </c>
      <c r="H2" s="3" t="s">
        <v>2751</v>
      </c>
      <c r="I2" s="3" t="s">
        <v>2751</v>
      </c>
    </row>
    <row r="3" spans="1:9" x14ac:dyDescent="0.25">
      <c r="A3" s="3" t="s">
        <v>66</v>
      </c>
      <c r="B3" s="3" t="s">
        <v>2752</v>
      </c>
      <c r="C3" s="3" t="s">
        <v>2750</v>
      </c>
      <c r="D3" s="3" t="s">
        <v>2749</v>
      </c>
      <c r="E3" s="3" t="s">
        <v>2751</v>
      </c>
      <c r="F3" s="3" t="s">
        <v>2751</v>
      </c>
      <c r="G3" s="3" t="s">
        <v>2751</v>
      </c>
      <c r="H3" s="3" t="s">
        <v>2751</v>
      </c>
      <c r="I3" s="3" t="s">
        <v>2751</v>
      </c>
    </row>
    <row r="4" spans="1:9" x14ac:dyDescent="0.25">
      <c r="A4" s="3" t="s">
        <v>111</v>
      </c>
      <c r="B4" s="3" t="s">
        <v>2753</v>
      </c>
      <c r="C4" s="3" t="s">
        <v>2507</v>
      </c>
      <c r="D4" s="3" t="s">
        <v>2754</v>
      </c>
      <c r="E4" s="3" t="s">
        <v>2751</v>
      </c>
      <c r="F4" s="3" t="s">
        <v>2751</v>
      </c>
      <c r="G4" s="3" t="s">
        <v>2751</v>
      </c>
      <c r="H4" s="3" t="s">
        <v>2751</v>
      </c>
      <c r="I4" s="3" t="s">
        <v>2751</v>
      </c>
    </row>
    <row r="5" spans="1:9" x14ac:dyDescent="0.25">
      <c r="A5" s="3" t="s">
        <v>61</v>
      </c>
      <c r="B5" s="3" t="s">
        <v>2749</v>
      </c>
      <c r="C5" s="3" t="s">
        <v>2748</v>
      </c>
      <c r="D5" s="3" t="s">
        <v>2752</v>
      </c>
      <c r="E5" s="3" t="s">
        <v>2751</v>
      </c>
      <c r="F5" s="3" t="s">
        <v>2751</v>
      </c>
      <c r="G5" s="3" t="s">
        <v>2751</v>
      </c>
      <c r="H5" s="3" t="s">
        <v>2751</v>
      </c>
      <c r="I5" s="3" t="s">
        <v>2751</v>
      </c>
    </row>
    <row r="6" spans="1:9" x14ac:dyDescent="0.25">
      <c r="A6" s="3" t="s">
        <v>87</v>
      </c>
      <c r="B6" s="3" t="s">
        <v>2755</v>
      </c>
      <c r="C6" s="3" t="s">
        <v>2756</v>
      </c>
      <c r="D6" s="3" t="s">
        <v>2757</v>
      </c>
      <c r="E6" s="3" t="s">
        <v>2751</v>
      </c>
      <c r="F6" s="3" t="s">
        <v>2751</v>
      </c>
      <c r="G6" s="3" t="s">
        <v>2751</v>
      </c>
      <c r="H6" s="3" t="s">
        <v>2751</v>
      </c>
      <c r="I6" s="3" t="s">
        <v>2751</v>
      </c>
    </row>
    <row r="7" spans="1:9" x14ac:dyDescent="0.25">
      <c r="A7" s="3" t="s">
        <v>2758</v>
      </c>
      <c r="B7" s="3" t="s">
        <v>2759</v>
      </c>
      <c r="C7" s="3" t="s">
        <v>2760</v>
      </c>
      <c r="D7" s="3" t="s">
        <v>2761</v>
      </c>
      <c r="E7" s="3" t="s">
        <v>2751</v>
      </c>
      <c r="F7" s="3" t="s">
        <v>2751</v>
      </c>
      <c r="G7" s="3" t="s">
        <v>2751</v>
      </c>
      <c r="H7" s="3" t="s">
        <v>2751</v>
      </c>
      <c r="I7" s="3" t="s">
        <v>2751</v>
      </c>
    </row>
    <row r="8" spans="1:9" x14ac:dyDescent="0.25">
      <c r="A8" s="3" t="s">
        <v>143</v>
      </c>
      <c r="B8" s="3" t="s">
        <v>2762</v>
      </c>
      <c r="C8" s="3" t="s">
        <v>2763</v>
      </c>
      <c r="D8" s="3" t="s">
        <v>2764</v>
      </c>
      <c r="E8" s="3" t="s">
        <v>2751</v>
      </c>
      <c r="F8" s="3" t="s">
        <v>2751</v>
      </c>
      <c r="G8" s="3" t="s">
        <v>2751</v>
      </c>
      <c r="H8" s="3" t="s">
        <v>2751</v>
      </c>
      <c r="I8" s="3" t="s">
        <v>2751</v>
      </c>
    </row>
    <row r="9" spans="1:9" x14ac:dyDescent="0.25">
      <c r="A9" s="3" t="s">
        <v>155</v>
      </c>
      <c r="B9" s="3" t="s">
        <v>2765</v>
      </c>
      <c r="C9" s="3" t="s">
        <v>2761</v>
      </c>
      <c r="D9" s="3" t="s">
        <v>2760</v>
      </c>
      <c r="E9" s="3" t="s">
        <v>2751</v>
      </c>
      <c r="F9" s="3" t="s">
        <v>2751</v>
      </c>
      <c r="G9" s="3" t="s">
        <v>2751</v>
      </c>
      <c r="H9" s="3" t="s">
        <v>2751</v>
      </c>
      <c r="I9" s="3" t="s">
        <v>2751</v>
      </c>
    </row>
    <row r="10" spans="1:9" x14ac:dyDescent="0.25">
      <c r="A10" s="3" t="s">
        <v>2720</v>
      </c>
      <c r="B10" s="3" t="s">
        <v>2766</v>
      </c>
      <c r="C10" s="3" t="s">
        <v>2767</v>
      </c>
      <c r="D10" s="3" t="s">
        <v>2768</v>
      </c>
      <c r="E10" s="3" t="s">
        <v>2751</v>
      </c>
      <c r="F10" s="3" t="s">
        <v>2751</v>
      </c>
      <c r="G10" s="3" t="s">
        <v>2751</v>
      </c>
      <c r="H10" s="3" t="s">
        <v>2751</v>
      </c>
      <c r="I10" s="3" t="s">
        <v>2751</v>
      </c>
    </row>
    <row r="11" spans="1:9" x14ac:dyDescent="0.25">
      <c r="A11" s="3" t="s">
        <v>74</v>
      </c>
      <c r="B11" s="3" t="s">
        <v>2769</v>
      </c>
      <c r="C11" s="3" t="s">
        <v>2770</v>
      </c>
      <c r="D11" s="3" t="s">
        <v>2771</v>
      </c>
      <c r="E11" s="3" t="s">
        <v>2751</v>
      </c>
      <c r="F11" s="3" t="s">
        <v>2751</v>
      </c>
      <c r="G11" s="3" t="s">
        <v>2751</v>
      </c>
      <c r="H11" s="3" t="s">
        <v>2751</v>
      </c>
      <c r="I11" s="3" t="s">
        <v>2751</v>
      </c>
    </row>
    <row r="12" spans="1:9" x14ac:dyDescent="0.25">
      <c r="A12" s="3" t="s">
        <v>78</v>
      </c>
      <c r="B12" s="3" t="s">
        <v>2772</v>
      </c>
      <c r="C12" s="3" t="s">
        <v>2773</v>
      </c>
      <c r="D12" s="3" t="s">
        <v>2774</v>
      </c>
      <c r="E12" s="3" t="s">
        <v>2751</v>
      </c>
      <c r="F12" s="3" t="s">
        <v>2751</v>
      </c>
      <c r="G12" s="3" t="s">
        <v>2751</v>
      </c>
      <c r="H12" s="3" t="s">
        <v>2751</v>
      </c>
      <c r="I12" s="3" t="s">
        <v>2751</v>
      </c>
    </row>
    <row r="13" spans="1:9" x14ac:dyDescent="0.25">
      <c r="A13" s="3" t="s">
        <v>2775</v>
      </c>
      <c r="B13" s="3" t="s">
        <v>2776</v>
      </c>
      <c r="C13" s="3" t="s">
        <v>2777</v>
      </c>
      <c r="D13" s="3" t="s">
        <v>2778</v>
      </c>
      <c r="E13" s="3" t="s">
        <v>2751</v>
      </c>
      <c r="F13" s="3" t="s">
        <v>2751</v>
      </c>
      <c r="G13" s="3" t="s">
        <v>2751</v>
      </c>
      <c r="H13" s="3" t="s">
        <v>2751</v>
      </c>
      <c r="I13" s="3" t="s">
        <v>2751</v>
      </c>
    </row>
    <row r="14" spans="1:9" x14ac:dyDescent="0.25">
      <c r="A14" s="3" t="s">
        <v>138</v>
      </c>
      <c r="B14" s="3" t="s">
        <v>2779</v>
      </c>
      <c r="C14" s="3" t="s">
        <v>2780</v>
      </c>
      <c r="D14" s="3" t="s">
        <v>2781</v>
      </c>
      <c r="E14" s="3" t="s">
        <v>2751</v>
      </c>
      <c r="F14" s="3" t="s">
        <v>2751</v>
      </c>
      <c r="G14" s="3" t="s">
        <v>2751</v>
      </c>
      <c r="H14" s="3" t="s">
        <v>2751</v>
      </c>
      <c r="I14" s="3" t="s">
        <v>2751</v>
      </c>
    </row>
    <row r="15" spans="1:9" x14ac:dyDescent="0.25">
      <c r="A15" s="3" t="s">
        <v>2782</v>
      </c>
      <c r="B15" s="3" t="s">
        <v>2771</v>
      </c>
      <c r="C15" s="3" t="s">
        <v>2783</v>
      </c>
      <c r="D15" s="3" t="s">
        <v>2769</v>
      </c>
      <c r="E15" s="3" t="s">
        <v>2751</v>
      </c>
      <c r="F15" s="3" t="s">
        <v>2751</v>
      </c>
      <c r="G15" s="3" t="s">
        <v>2751</v>
      </c>
      <c r="H15" s="3" t="s">
        <v>2751</v>
      </c>
      <c r="I15" s="3" t="s">
        <v>2751</v>
      </c>
    </row>
    <row r="16" spans="1:9" x14ac:dyDescent="0.25">
      <c r="A16" s="3" t="s">
        <v>130</v>
      </c>
      <c r="B16" s="3" t="s">
        <v>2778</v>
      </c>
      <c r="C16" s="3" t="s">
        <v>2784</v>
      </c>
      <c r="D16" s="3" t="s">
        <v>2776</v>
      </c>
      <c r="E16" s="3" t="s">
        <v>2751</v>
      </c>
      <c r="F16" s="3" t="s">
        <v>2751</v>
      </c>
      <c r="G16" s="3" t="s">
        <v>2751</v>
      </c>
      <c r="H16" s="3" t="s">
        <v>2751</v>
      </c>
      <c r="I16" s="3" t="s">
        <v>2751</v>
      </c>
    </row>
    <row r="17" spans="1:9" x14ac:dyDescent="0.25">
      <c r="A17" s="3" t="s">
        <v>90</v>
      </c>
      <c r="B17" s="3" t="s">
        <v>2785</v>
      </c>
      <c r="C17" s="3" t="s">
        <v>2757</v>
      </c>
      <c r="D17" s="3" t="s">
        <v>2756</v>
      </c>
      <c r="E17" s="3" t="s">
        <v>2751</v>
      </c>
      <c r="F17" s="3" t="s">
        <v>2751</v>
      </c>
      <c r="G17" s="3" t="s">
        <v>2751</v>
      </c>
      <c r="H17" s="3" t="s">
        <v>2751</v>
      </c>
      <c r="I17" s="3" t="s">
        <v>2751</v>
      </c>
    </row>
    <row r="18" spans="1:9" x14ac:dyDescent="0.25">
      <c r="A18" s="3" t="s">
        <v>83</v>
      </c>
      <c r="B18" s="3" t="s">
        <v>2786</v>
      </c>
      <c r="C18" s="3" t="s">
        <v>2774</v>
      </c>
      <c r="D18" s="3" t="s">
        <v>2773</v>
      </c>
      <c r="E18" s="3" t="s">
        <v>2751</v>
      </c>
      <c r="F18" s="3" t="s">
        <v>2751</v>
      </c>
      <c r="G18" s="3" t="s">
        <v>2751</v>
      </c>
      <c r="H18" s="3" t="s">
        <v>2751</v>
      </c>
      <c r="I18" s="3" t="s">
        <v>2751</v>
      </c>
    </row>
    <row r="19" spans="1:9" x14ac:dyDescent="0.25">
      <c r="A19" s="3" t="s">
        <v>107</v>
      </c>
      <c r="B19" s="3" t="s">
        <v>2787</v>
      </c>
      <c r="C19" s="3" t="s">
        <v>2788</v>
      </c>
      <c r="D19" s="3" t="s">
        <v>2789</v>
      </c>
      <c r="E19" s="3" t="s">
        <v>2751</v>
      </c>
      <c r="F19" s="3" t="s">
        <v>2751</v>
      </c>
      <c r="G19" s="3" t="s">
        <v>2751</v>
      </c>
      <c r="H19" s="3" t="s">
        <v>2751</v>
      </c>
      <c r="I19" s="3" t="s">
        <v>2751</v>
      </c>
    </row>
    <row r="20" spans="1:9" x14ac:dyDescent="0.25">
      <c r="A20" s="3" t="s">
        <v>131</v>
      </c>
      <c r="B20" s="3" t="s">
        <v>2784</v>
      </c>
      <c r="C20" s="3" t="s">
        <v>2778</v>
      </c>
      <c r="D20" s="3" t="s">
        <v>2777</v>
      </c>
      <c r="E20" s="3" t="s">
        <v>2751</v>
      </c>
      <c r="F20" s="3" t="s">
        <v>2751</v>
      </c>
      <c r="G20" s="3" t="s">
        <v>2751</v>
      </c>
      <c r="H20" s="3" t="s">
        <v>2751</v>
      </c>
      <c r="I20" s="3" t="s">
        <v>2751</v>
      </c>
    </row>
    <row r="21" spans="1:9" x14ac:dyDescent="0.25">
      <c r="A21" s="3" t="s">
        <v>79</v>
      </c>
      <c r="B21" s="3" t="s">
        <v>2773</v>
      </c>
      <c r="C21" s="3" t="s">
        <v>2772</v>
      </c>
      <c r="D21" s="3" t="s">
        <v>2786</v>
      </c>
      <c r="E21" s="3" t="s">
        <v>2751</v>
      </c>
      <c r="F21" s="3" t="s">
        <v>2751</v>
      </c>
      <c r="G21" s="3" t="s">
        <v>2751</v>
      </c>
      <c r="H21" s="3" t="s">
        <v>2751</v>
      </c>
      <c r="I21" s="3" t="s">
        <v>2751</v>
      </c>
    </row>
    <row r="22" spans="1:9" x14ac:dyDescent="0.25">
      <c r="A22" s="3" t="s">
        <v>147</v>
      </c>
      <c r="B22" s="3" t="s">
        <v>2764</v>
      </c>
      <c r="C22" s="3" t="s">
        <v>2790</v>
      </c>
      <c r="D22" s="3" t="s">
        <v>2762</v>
      </c>
      <c r="E22" s="3" t="s">
        <v>2751</v>
      </c>
      <c r="F22" s="3" t="s">
        <v>2751</v>
      </c>
      <c r="G22" s="3" t="s">
        <v>2751</v>
      </c>
      <c r="H22" s="3" t="s">
        <v>2751</v>
      </c>
      <c r="I22" s="3" t="s">
        <v>2751</v>
      </c>
    </row>
    <row r="23" spans="1:9" x14ac:dyDescent="0.25">
      <c r="A23" s="3" t="s">
        <v>1522</v>
      </c>
      <c r="B23" s="3" t="s">
        <v>2757</v>
      </c>
      <c r="C23" s="3" t="s">
        <v>2785</v>
      </c>
      <c r="D23" s="3" t="s">
        <v>2755</v>
      </c>
      <c r="E23" s="3" t="s">
        <v>2751</v>
      </c>
      <c r="F23" s="3" t="s">
        <v>2751</v>
      </c>
      <c r="G23" s="3" t="s">
        <v>2751</v>
      </c>
      <c r="H23" s="3" t="s">
        <v>2751</v>
      </c>
      <c r="I23" s="3" t="s">
        <v>2751</v>
      </c>
    </row>
    <row r="24" spans="1:9" x14ac:dyDescent="0.25">
      <c r="A24" s="3" t="s">
        <v>103</v>
      </c>
      <c r="B24" s="3" t="s">
        <v>2789</v>
      </c>
      <c r="C24" s="3" t="s">
        <v>2791</v>
      </c>
      <c r="D24" s="3" t="s">
        <v>2787</v>
      </c>
      <c r="E24" s="3" t="s">
        <v>2751</v>
      </c>
      <c r="F24" s="3" t="s">
        <v>2751</v>
      </c>
      <c r="G24" s="3" t="s">
        <v>2751</v>
      </c>
      <c r="H24" s="3" t="s">
        <v>2751</v>
      </c>
      <c r="I24" s="3" t="s">
        <v>2751</v>
      </c>
    </row>
    <row r="25" spans="1:9" x14ac:dyDescent="0.25">
      <c r="A25" s="3" t="s">
        <v>2680</v>
      </c>
      <c r="B25" s="3" t="s">
        <v>2777</v>
      </c>
      <c r="C25" s="3" t="s">
        <v>2776</v>
      </c>
      <c r="D25" s="3" t="s">
        <v>2784</v>
      </c>
      <c r="E25" s="3" t="s">
        <v>2751</v>
      </c>
      <c r="F25" s="3" t="s">
        <v>2751</v>
      </c>
      <c r="G25" s="3" t="s">
        <v>2751</v>
      </c>
      <c r="H25" s="3" t="s">
        <v>2751</v>
      </c>
      <c r="I25" s="3" t="s">
        <v>2751</v>
      </c>
    </row>
    <row r="26" spans="1:9" x14ac:dyDescent="0.25">
      <c r="A26" s="3" t="s">
        <v>118</v>
      </c>
      <c r="B26" s="3" t="s">
        <v>2792</v>
      </c>
      <c r="C26" s="3" t="s">
        <v>2793</v>
      </c>
      <c r="D26" s="3" t="s">
        <v>2794</v>
      </c>
      <c r="E26" s="3" t="s">
        <v>2751</v>
      </c>
      <c r="F26" s="3" t="s">
        <v>2751</v>
      </c>
      <c r="G26" s="3" t="s">
        <v>2751</v>
      </c>
      <c r="H26" s="3" t="s">
        <v>2751</v>
      </c>
      <c r="I26" s="3" t="s">
        <v>2751</v>
      </c>
    </row>
    <row r="27" spans="1:9" x14ac:dyDescent="0.25">
      <c r="A27" s="3" t="s">
        <v>65</v>
      </c>
      <c r="B27" s="3" t="s">
        <v>2750</v>
      </c>
      <c r="C27" s="3" t="s">
        <v>2752</v>
      </c>
      <c r="D27" s="3" t="s">
        <v>2748</v>
      </c>
      <c r="E27" s="3" t="s">
        <v>2751</v>
      </c>
      <c r="F27" s="3" t="s">
        <v>2751</v>
      </c>
      <c r="G27" s="3" t="s">
        <v>2751</v>
      </c>
      <c r="H27" s="3" t="s">
        <v>2751</v>
      </c>
      <c r="I27" s="3" t="s">
        <v>2751</v>
      </c>
    </row>
    <row r="28" spans="1:9" x14ac:dyDescent="0.25">
      <c r="A28" s="3" t="s">
        <v>139</v>
      </c>
      <c r="B28" s="3" t="s">
        <v>2780</v>
      </c>
      <c r="C28" s="3" t="s">
        <v>2779</v>
      </c>
      <c r="D28" s="3" t="s">
        <v>2795</v>
      </c>
      <c r="E28" s="3" t="s">
        <v>2751</v>
      </c>
      <c r="F28" s="3" t="s">
        <v>2751</v>
      </c>
      <c r="G28" s="3" t="s">
        <v>2751</v>
      </c>
      <c r="H28" s="3" t="s">
        <v>2751</v>
      </c>
      <c r="I28" s="3" t="s">
        <v>2751</v>
      </c>
    </row>
    <row r="29" spans="1:9" x14ac:dyDescent="0.25">
      <c r="A29" s="3" t="s">
        <v>146</v>
      </c>
      <c r="B29" s="3" t="s">
        <v>2790</v>
      </c>
      <c r="C29" s="3" t="s">
        <v>2764</v>
      </c>
      <c r="D29" s="3" t="s">
        <v>2763</v>
      </c>
      <c r="E29" s="3" t="s">
        <v>2751</v>
      </c>
      <c r="F29" s="3" t="s">
        <v>2751</v>
      </c>
      <c r="G29" s="3" t="s">
        <v>2751</v>
      </c>
      <c r="H29" s="3" t="s">
        <v>2751</v>
      </c>
      <c r="I29" s="3" t="s">
        <v>2751</v>
      </c>
    </row>
    <row r="30" spans="1:9" x14ac:dyDescent="0.25">
      <c r="A30" s="3" t="s">
        <v>123</v>
      </c>
      <c r="B30" s="3" t="s">
        <v>2796</v>
      </c>
      <c r="C30" s="3" t="s">
        <v>2794</v>
      </c>
      <c r="D30" s="3" t="s">
        <v>2793</v>
      </c>
      <c r="E30" s="3" t="s">
        <v>2751</v>
      </c>
      <c r="F30" s="3" t="s">
        <v>2751</v>
      </c>
      <c r="G30" s="3" t="s">
        <v>2751</v>
      </c>
      <c r="H30" s="3" t="s">
        <v>2751</v>
      </c>
      <c r="I30" s="3" t="s">
        <v>2751</v>
      </c>
    </row>
    <row r="31" spans="1:9" x14ac:dyDescent="0.25">
      <c r="A31" s="3" t="s">
        <v>86</v>
      </c>
      <c r="B31" s="3" t="s">
        <v>2756</v>
      </c>
      <c r="C31" s="3" t="s">
        <v>2755</v>
      </c>
      <c r="D31" s="3" t="s">
        <v>2785</v>
      </c>
      <c r="E31" s="3" t="s">
        <v>2751</v>
      </c>
      <c r="F31" s="3" t="s">
        <v>2751</v>
      </c>
      <c r="G31" s="3" t="s">
        <v>2751</v>
      </c>
      <c r="H31" s="3" t="s">
        <v>2751</v>
      </c>
      <c r="I31" s="3" t="s">
        <v>2751</v>
      </c>
    </row>
    <row r="32" spans="1:9" x14ac:dyDescent="0.25">
      <c r="A32" s="3" t="s">
        <v>106</v>
      </c>
      <c r="B32" s="3" t="s">
        <v>2788</v>
      </c>
      <c r="C32" s="3" t="s">
        <v>2787</v>
      </c>
      <c r="D32" s="3" t="s">
        <v>2791</v>
      </c>
      <c r="E32" s="3" t="s">
        <v>2751</v>
      </c>
      <c r="F32" s="3" t="s">
        <v>2751</v>
      </c>
      <c r="G32" s="3" t="s">
        <v>2751</v>
      </c>
      <c r="H32" s="3" t="s">
        <v>2751</v>
      </c>
      <c r="I32" s="3" t="s">
        <v>2751</v>
      </c>
    </row>
    <row r="33" spans="1:9" x14ac:dyDescent="0.25">
      <c r="A33" s="3" t="s">
        <v>82</v>
      </c>
      <c r="B33" s="3" t="s">
        <v>2774</v>
      </c>
      <c r="C33" s="3" t="s">
        <v>2786</v>
      </c>
      <c r="D33" s="3" t="s">
        <v>2772</v>
      </c>
      <c r="E33" s="3" t="s">
        <v>2751</v>
      </c>
      <c r="F33" s="3" t="s">
        <v>2751</v>
      </c>
      <c r="G33" s="3" t="s">
        <v>2751</v>
      </c>
      <c r="H33" s="3" t="s">
        <v>2751</v>
      </c>
      <c r="I33" s="3" t="s">
        <v>2751</v>
      </c>
    </row>
    <row r="34" spans="1:9" x14ac:dyDescent="0.25">
      <c r="A34" s="3" t="s">
        <v>110</v>
      </c>
      <c r="B34" s="3" t="s">
        <v>2507</v>
      </c>
      <c r="C34" s="3" t="s">
        <v>2753</v>
      </c>
      <c r="D34" s="3" t="s">
        <v>2797</v>
      </c>
      <c r="E34" s="3" t="s">
        <v>2751</v>
      </c>
      <c r="F34" s="3" t="s">
        <v>2751</v>
      </c>
      <c r="G34" s="3" t="s">
        <v>2751</v>
      </c>
      <c r="H34" s="3" t="s">
        <v>2751</v>
      </c>
      <c r="I34" s="3" t="s">
        <v>2751</v>
      </c>
    </row>
    <row r="35" spans="1:9" x14ac:dyDescent="0.25">
      <c r="A35" s="3" t="s">
        <v>75</v>
      </c>
      <c r="B35" s="3" t="s">
        <v>2770</v>
      </c>
      <c r="C35" s="3" t="s">
        <v>2769</v>
      </c>
      <c r="D35" s="3" t="s">
        <v>2783</v>
      </c>
      <c r="E35" s="3" t="s">
        <v>2751</v>
      </c>
      <c r="F35" s="3" t="s">
        <v>2751</v>
      </c>
      <c r="G35" s="3" t="s">
        <v>2751</v>
      </c>
      <c r="H35" s="3" t="s">
        <v>2751</v>
      </c>
      <c r="I35" s="3" t="s">
        <v>2751</v>
      </c>
    </row>
    <row r="36" spans="1:9" x14ac:dyDescent="0.25">
      <c r="A36" s="3" t="s">
        <v>151</v>
      </c>
      <c r="B36" s="3" t="s">
        <v>2760</v>
      </c>
      <c r="C36" s="3" t="s">
        <v>2759</v>
      </c>
      <c r="D36" s="3" t="s">
        <v>2765</v>
      </c>
      <c r="E36" s="3" t="s">
        <v>2751</v>
      </c>
      <c r="F36" s="3" t="s">
        <v>2751</v>
      </c>
      <c r="G36" s="3" t="s">
        <v>2751</v>
      </c>
      <c r="H36" s="3" t="s">
        <v>2751</v>
      </c>
      <c r="I36" s="3" t="s">
        <v>2751</v>
      </c>
    </row>
    <row r="37" spans="1:9" x14ac:dyDescent="0.25">
      <c r="A37" s="3" t="s">
        <v>95</v>
      </c>
      <c r="B37" s="3" t="s">
        <v>2767</v>
      </c>
      <c r="C37" s="3" t="s">
        <v>2766</v>
      </c>
      <c r="D37" s="3" t="s">
        <v>2798</v>
      </c>
      <c r="E37" s="3" t="s">
        <v>2751</v>
      </c>
      <c r="F37" s="3" t="s">
        <v>2751</v>
      </c>
      <c r="G37" s="3" t="s">
        <v>2751</v>
      </c>
      <c r="H37" s="3" t="s">
        <v>2751</v>
      </c>
      <c r="I37" s="3" t="s">
        <v>2751</v>
      </c>
    </row>
    <row r="38" spans="1:9" x14ac:dyDescent="0.25">
      <c r="A38" s="3" t="s">
        <v>142</v>
      </c>
      <c r="B38" s="3" t="s">
        <v>2763</v>
      </c>
      <c r="C38" s="3" t="s">
        <v>2762</v>
      </c>
      <c r="D38" s="3" t="s">
        <v>2790</v>
      </c>
      <c r="E38" s="3" t="s">
        <v>2751</v>
      </c>
      <c r="F38" s="3" t="s">
        <v>2751</v>
      </c>
      <c r="G38" s="3" t="s">
        <v>2751</v>
      </c>
      <c r="H38" s="3" t="s">
        <v>2751</v>
      </c>
      <c r="I38" s="3" t="s">
        <v>2751</v>
      </c>
    </row>
    <row r="39" spans="1:9" x14ac:dyDescent="0.25">
      <c r="A39" s="3" t="s">
        <v>102</v>
      </c>
      <c r="B39" s="3" t="s">
        <v>2791</v>
      </c>
      <c r="C39" s="3" t="s">
        <v>2789</v>
      </c>
      <c r="D39" s="3" t="s">
        <v>2788</v>
      </c>
      <c r="E39" s="3" t="s">
        <v>2751</v>
      </c>
      <c r="F39" s="3" t="s">
        <v>2751</v>
      </c>
      <c r="G39" s="3" t="s">
        <v>2751</v>
      </c>
      <c r="H39" s="3" t="s">
        <v>2751</v>
      </c>
      <c r="I39" s="3" t="s">
        <v>2751</v>
      </c>
    </row>
    <row r="40" spans="1:9" x14ac:dyDescent="0.25">
      <c r="A40" s="3" t="s">
        <v>134</v>
      </c>
      <c r="B40" s="3" t="s">
        <v>2781</v>
      </c>
      <c r="C40" s="3" t="s">
        <v>2795</v>
      </c>
      <c r="D40" s="3" t="s">
        <v>2779</v>
      </c>
      <c r="E40" s="3" t="s">
        <v>2751</v>
      </c>
      <c r="F40" s="3" t="s">
        <v>2751</v>
      </c>
      <c r="G40" s="3" t="s">
        <v>2751</v>
      </c>
      <c r="H40" s="3" t="s">
        <v>2751</v>
      </c>
      <c r="I40" s="3" t="s">
        <v>2751</v>
      </c>
    </row>
    <row r="41" spans="1:9" x14ac:dyDescent="0.25">
      <c r="A41" s="3" t="s">
        <v>2679</v>
      </c>
      <c r="B41" s="3" t="s">
        <v>2795</v>
      </c>
      <c r="C41" s="3" t="s">
        <v>2781</v>
      </c>
      <c r="D41" s="3" t="s">
        <v>2780</v>
      </c>
      <c r="E41" s="3" t="s">
        <v>2751</v>
      </c>
      <c r="F41" s="3" t="s">
        <v>2751</v>
      </c>
      <c r="G41" s="3" t="s">
        <v>2751</v>
      </c>
      <c r="H41" s="3" t="s">
        <v>2751</v>
      </c>
      <c r="I41" s="3" t="s">
        <v>2751</v>
      </c>
    </row>
    <row r="42" spans="1:9" x14ac:dyDescent="0.25">
      <c r="A42" s="3" t="s">
        <v>99</v>
      </c>
      <c r="B42" s="3" t="s">
        <v>2798</v>
      </c>
      <c r="C42" s="3" t="s">
        <v>2768</v>
      </c>
      <c r="D42" s="3" t="s">
        <v>2767</v>
      </c>
      <c r="E42" s="3" t="s">
        <v>2751</v>
      </c>
      <c r="F42" s="3" t="s">
        <v>2751</v>
      </c>
      <c r="G42" s="3" t="s">
        <v>2751</v>
      </c>
      <c r="H42" s="3" t="s">
        <v>2751</v>
      </c>
      <c r="I42" s="3" t="s">
        <v>2751</v>
      </c>
    </row>
    <row r="43" spans="1:9" x14ac:dyDescent="0.25">
      <c r="A43" s="3" t="s">
        <v>119</v>
      </c>
      <c r="B43" s="3" t="s">
        <v>2793</v>
      </c>
      <c r="C43" s="3" t="s">
        <v>2792</v>
      </c>
      <c r="D43" s="3" t="s">
        <v>2796</v>
      </c>
      <c r="E43" s="3" t="s">
        <v>2751</v>
      </c>
      <c r="F43" s="3" t="s">
        <v>2751</v>
      </c>
      <c r="G43" s="3" t="s">
        <v>2751</v>
      </c>
      <c r="H43" s="3" t="s">
        <v>2751</v>
      </c>
      <c r="I43" s="3" t="s">
        <v>2751</v>
      </c>
    </row>
    <row r="44" spans="1:9" x14ac:dyDescent="0.25">
      <c r="A44" s="3" t="s">
        <v>154</v>
      </c>
      <c r="B44" s="3" t="s">
        <v>2761</v>
      </c>
      <c r="C44" s="3" t="s">
        <v>2765</v>
      </c>
      <c r="D44" s="3" t="s">
        <v>2759</v>
      </c>
      <c r="E44" s="3" t="s">
        <v>2751</v>
      </c>
      <c r="F44" s="3" t="s">
        <v>2751</v>
      </c>
      <c r="G44" s="3" t="s">
        <v>2751</v>
      </c>
      <c r="H44" s="3" t="s">
        <v>2751</v>
      </c>
      <c r="I44" s="3" t="s">
        <v>2751</v>
      </c>
    </row>
    <row r="45" spans="1:9" x14ac:dyDescent="0.25">
      <c r="A45" s="3" t="s">
        <v>122</v>
      </c>
      <c r="B45" s="3" t="s">
        <v>2794</v>
      </c>
      <c r="C45" s="3" t="s">
        <v>2796</v>
      </c>
      <c r="D45" s="3" t="s">
        <v>2792</v>
      </c>
      <c r="E45" s="3" t="s">
        <v>2751</v>
      </c>
      <c r="F45" s="3" t="s">
        <v>2751</v>
      </c>
      <c r="G45" s="3" t="s">
        <v>2751</v>
      </c>
      <c r="H45" s="3" t="s">
        <v>2751</v>
      </c>
      <c r="I45" s="3" t="s">
        <v>2751</v>
      </c>
    </row>
    <row r="46" spans="1:9" x14ac:dyDescent="0.25">
      <c r="A46" s="3" t="s">
        <v>2678</v>
      </c>
      <c r="B46" s="3" t="s">
        <v>2797</v>
      </c>
      <c r="C46" s="3" t="s">
        <v>2754</v>
      </c>
      <c r="D46" s="3" t="s">
        <v>2507</v>
      </c>
      <c r="E46" s="3" t="s">
        <v>2751</v>
      </c>
      <c r="F46" s="3" t="s">
        <v>2751</v>
      </c>
      <c r="G46" s="3" t="s">
        <v>2751</v>
      </c>
      <c r="H46" s="3" t="s">
        <v>2751</v>
      </c>
      <c r="I46" s="3" t="s">
        <v>2751</v>
      </c>
    </row>
    <row r="47" spans="1:9" x14ac:dyDescent="0.25">
      <c r="A47" s="3" t="s">
        <v>2507</v>
      </c>
      <c r="B47" s="3" t="s">
        <v>2754</v>
      </c>
      <c r="C47" s="3" t="s">
        <v>2797</v>
      </c>
      <c r="D47" s="3" t="s">
        <v>2753</v>
      </c>
      <c r="E47" s="3" t="s">
        <v>2751</v>
      </c>
      <c r="F47" s="3" t="s">
        <v>2751</v>
      </c>
      <c r="G47" s="3" t="s">
        <v>2751</v>
      </c>
      <c r="H47" s="3" t="s">
        <v>2751</v>
      </c>
      <c r="I47" s="3" t="s">
        <v>2751</v>
      </c>
    </row>
    <row r="48" spans="1:9" x14ac:dyDescent="0.25">
      <c r="A48" s="3" t="s">
        <v>98</v>
      </c>
      <c r="B48" s="3" t="s">
        <v>2768</v>
      </c>
      <c r="C48" s="3" t="s">
        <v>2798</v>
      </c>
      <c r="D48" s="3" t="s">
        <v>2766</v>
      </c>
      <c r="E48" s="3" t="s">
        <v>2751</v>
      </c>
      <c r="F48" s="3" t="s">
        <v>2751</v>
      </c>
      <c r="G48" s="3" t="s">
        <v>2751</v>
      </c>
      <c r="H48" s="3" t="s">
        <v>2751</v>
      </c>
      <c r="I48" s="3" t="s">
        <v>2751</v>
      </c>
    </row>
    <row r="49" spans="1:9" x14ac:dyDescent="0.25">
      <c r="A49" s="3" t="s">
        <v>71</v>
      </c>
      <c r="B49" s="3" t="s">
        <v>2783</v>
      </c>
      <c r="C49" s="3" t="s">
        <v>2771</v>
      </c>
      <c r="D49" s="3" t="s">
        <v>2770</v>
      </c>
      <c r="E49" s="3" t="s">
        <v>2751</v>
      </c>
      <c r="F49" s="3" t="s">
        <v>2751</v>
      </c>
      <c r="G49" s="3" t="s">
        <v>2751</v>
      </c>
      <c r="H49" s="3" t="s">
        <v>2751</v>
      </c>
      <c r="I49" s="3" t="s">
        <v>2751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2799</v>
      </c>
      <c r="C1" s="3" t="s">
        <v>2800</v>
      </c>
      <c r="D1" s="3" t="s">
        <v>260</v>
      </c>
      <c r="E1" s="3" t="s">
        <v>261</v>
      </c>
      <c r="F1" s="3" t="s">
        <v>2801</v>
      </c>
      <c r="G1" s="3" t="s">
        <v>2801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2758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2758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2758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2758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2758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2758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2758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2758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2758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2758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2758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2758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2758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2758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2758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2758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2758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2758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2758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2758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2758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2758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2758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2758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2758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2758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2720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2720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2720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2720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2720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2720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2720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2720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2720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2720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2720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2720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2720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2720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2720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2720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2720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2720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2720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2720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2720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2720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2720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2720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2720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2720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2711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2711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2711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2711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2711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2711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2711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2711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2711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2711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2711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2711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2711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2711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2711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2711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2711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2711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2711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2711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2711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2711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2711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2711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2711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2711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2782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2782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2782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2782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2782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2782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2782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2782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2782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2782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2782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2782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2782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2782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2782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2782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2782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2782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2782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2782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2782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2782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2782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2782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2782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2782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2680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2680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2680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2680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2680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2680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2680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2680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2680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2680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2680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2680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2680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2680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2680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2680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2680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2680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2680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2680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2680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2680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2680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2680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2680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2680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2679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2679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2679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2679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2679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2679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2679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2679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2679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2679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2679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2679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2679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2679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2679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2679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2679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2679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2679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2679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2679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2679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2679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2679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2679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2679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2678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2678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2678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2678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2678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2678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2678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2678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2678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2678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2678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2678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2678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2678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2678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2678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2678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2678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2678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2678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2678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2678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2678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2678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2678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2678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2802</v>
      </c>
      <c r="D2" s="4" t="s">
        <v>2803</v>
      </c>
      <c r="G2" s="4" t="s">
        <v>2804</v>
      </c>
      <c r="J2" s="4" t="s">
        <v>2805</v>
      </c>
      <c r="M2" s="4" t="s">
        <v>2806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2758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2679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2807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2678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2808</v>
      </c>
      <c r="D8" s="4" t="s">
        <v>2809</v>
      </c>
      <c r="G8" s="4" t="s">
        <v>2810</v>
      </c>
      <c r="J8" s="4" t="s">
        <v>2811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2775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2680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2720</v>
      </c>
      <c r="K12" s="3">
        <f>COUNTIF(PickedPlayers!F:F,J12)</f>
        <v>0</v>
      </c>
    </row>
    <row r="14" spans="1:14" s="4" customFormat="1" x14ac:dyDescent="0.25">
      <c r="A14" s="4" t="s">
        <v>2812</v>
      </c>
      <c r="D14" s="4" t="s">
        <v>2813</v>
      </c>
      <c r="G14" s="4" t="s">
        <v>2814</v>
      </c>
      <c r="J14" s="4" t="s">
        <v>2815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2782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2816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2817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2818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2819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2820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2821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2822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2823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2824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2825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2826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2827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2828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2829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2830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2831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2832</v>
      </c>
      <c r="B1" t="s">
        <v>2806</v>
      </c>
      <c r="C1" t="s">
        <v>2800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2670</v>
      </c>
      <c r="F2" t="s">
        <v>2670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2674</v>
      </c>
      <c r="F3" t="s">
        <v>2674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2675</v>
      </c>
      <c r="F4" t="s">
        <v>2675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2676</v>
      </c>
      <c r="F5" t="s">
        <v>2671</v>
      </c>
    </row>
    <row r="6" spans="1:6" x14ac:dyDescent="0.25">
      <c r="A6" s="3" t="s">
        <v>87</v>
      </c>
      <c r="C6" t="s">
        <v>1572</v>
      </c>
      <c r="E6" t="s">
        <v>2677</v>
      </c>
      <c r="F6" t="s">
        <v>2833</v>
      </c>
    </row>
    <row r="7" spans="1:6" x14ac:dyDescent="0.25">
      <c r="A7" s="3" t="s">
        <v>2758</v>
      </c>
      <c r="C7" t="s">
        <v>1800</v>
      </c>
      <c r="E7" t="s">
        <v>2672</v>
      </c>
    </row>
    <row r="8" spans="1:6" x14ac:dyDescent="0.25">
      <c r="A8" s="3" t="s">
        <v>143</v>
      </c>
      <c r="C8" t="s">
        <v>2367</v>
      </c>
      <c r="E8" t="s">
        <v>2673</v>
      </c>
    </row>
    <row r="9" spans="1:6" x14ac:dyDescent="0.25">
      <c r="A9" s="3" t="s">
        <v>155</v>
      </c>
      <c r="C9" t="s">
        <v>2655</v>
      </c>
      <c r="E9" t="s">
        <v>2833</v>
      </c>
    </row>
    <row r="10" spans="1:6" x14ac:dyDescent="0.25">
      <c r="A10" s="3" t="s">
        <v>2720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2775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2782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2680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2679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2678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2026-06-18T13:01:37Z</dcterms:modified>
  <cp:category/>
  <cp:contentStatus/>
</cp:coreProperties>
</file>