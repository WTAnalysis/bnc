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950" documentId="8_{DE49DC6A-C840-492B-B227-19D455AF6A7E}" xr6:coauthVersionLast="47" xr6:coauthVersionMax="47" xr10:uidLastSave="{8E509D40-9C72-924A-BFD4-DF83E0AF721A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AE92" i="20"/>
  <c r="AG92" i="20"/>
  <c r="S93" i="20"/>
  <c r="AA93" i="20"/>
  <c r="V93" i="20"/>
  <c r="AD93" i="20"/>
  <c r="AE93" i="20"/>
  <c r="AG93" i="20"/>
  <c r="S94" i="20"/>
  <c r="AA94" i="20"/>
  <c r="AC94" i="20"/>
  <c r="V94" i="20"/>
  <c r="AD94" i="20"/>
  <c r="AE94" i="20"/>
  <c r="AF94" i="20"/>
  <c r="AG94" i="20"/>
  <c r="S95" i="20"/>
  <c r="AA95" i="20"/>
  <c r="V95" i="20"/>
  <c r="AD95" i="20"/>
  <c r="AE95" i="20"/>
  <c r="AG95" i="20"/>
  <c r="Z96" i="20"/>
  <c r="AA96" i="20"/>
  <c r="V96" i="20"/>
  <c r="AD96" i="20"/>
  <c r="AE96" i="20"/>
  <c r="AF96" i="20"/>
  <c r="AG96" i="20"/>
  <c r="AA97" i="20"/>
  <c r="AC97" i="20"/>
  <c r="V97" i="20"/>
  <c r="AD97" i="20"/>
  <c r="AE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 s="1"/>
  <c r="T90" i="20"/>
  <c r="AB90" i="20"/>
  <c r="U90" i="20"/>
  <c r="W90" i="20"/>
  <c r="X90" i="20"/>
  <c r="AF90" i="20" s="1"/>
  <c r="R91" i="20"/>
  <c r="Z91" i="20" s="1"/>
  <c r="T91" i="20"/>
  <c r="AB91" i="20"/>
  <c r="U91" i="20"/>
  <c r="W91" i="20"/>
  <c r="X91" i="20"/>
  <c r="AF91" i="20" s="1"/>
  <c r="R92" i="20"/>
  <c r="Z92" i="20" s="1"/>
  <c r="T92" i="20"/>
  <c r="AB92" i="20"/>
  <c r="U92" i="20"/>
  <c r="AC92" i="20" s="1"/>
  <c r="W92" i="20"/>
  <c r="X92" i="20"/>
  <c r="AF92" i="20" s="1"/>
  <c r="Y92" i="20"/>
  <c r="R93" i="20"/>
  <c r="Z93" i="20" s="1"/>
  <c r="T93" i="20"/>
  <c r="AB93" i="20"/>
  <c r="U93" i="20"/>
  <c r="AC93" i="20" s="1"/>
  <c r="W93" i="20"/>
  <c r="X93" i="20"/>
  <c r="AF93" i="20" s="1"/>
  <c r="Y93" i="20"/>
  <c r="R94" i="20"/>
  <c r="Z94" i="20" s="1"/>
  <c r="T94" i="20"/>
  <c r="AB94" i="20"/>
  <c r="U94" i="20"/>
  <c r="W94" i="20"/>
  <c r="X94" i="20"/>
  <c r="Y94" i="20"/>
  <c r="R95" i="20"/>
  <c r="Z95" i="20" s="1"/>
  <c r="T95" i="20"/>
  <c r="AB95" i="20"/>
  <c r="U95" i="20"/>
  <c r="AC95" i="20" s="1"/>
  <c r="W95" i="20"/>
  <c r="X95" i="20"/>
  <c r="AF95" i="20" s="1"/>
  <c r="Y95" i="20"/>
  <c r="R96" i="20"/>
  <c r="S96" i="20"/>
  <c r="T96" i="20"/>
  <c r="AB96" i="20" s="1"/>
  <c r="U96" i="20"/>
  <c r="AC96" i="20" s="1"/>
  <c r="W96" i="20"/>
  <c r="X96" i="20"/>
  <c r="Y96" i="20"/>
  <c r="R97" i="20"/>
  <c r="Z97" i="20" s="1"/>
  <c r="S97" i="20"/>
  <c r="T97" i="20"/>
  <c r="AB97" i="20" s="1"/>
  <c r="U97" i="20"/>
  <c r="W97" i="20"/>
  <c r="X97" i="20"/>
  <c r="AF97" i="20" s="1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<sst xmlns="http://schemas.openxmlformats.org/spreadsheetml/2006/main" count="16705" uniqueCount="2882">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</sst>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F11" sqref="F11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5" sqref="C135:E13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N9" sqref="N9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374</v>
      </c>
      <c r="C16" s="29" t="s">
        <v>40</v>
      </c>
      <c r="D16" s="30" t="str">
        <f>VLOOKUP($C16,Fixtures!A:I,2,FALSE)</f>
        <v>ALG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2695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USA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PAR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2695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2695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2691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2695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2692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activeCell="Q5" sqref="Q5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Q5" sqref="Q5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2695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328</v>
      </c>
      <c r="C11" s="29" t="s">
        <v>40</v>
      </c>
      <c r="D11" s="30" t="str">
        <f>VLOOKUP($C11,Fixtures!A:I,2,FALSE)</f>
        <v>ALG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2691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2685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2685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2691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2695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idden="1" x14ac:dyDescent="0.25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N19" sqref="N19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2695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2691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2691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2690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2695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290</v>
      </c>
      <c r="C15" s="29" t="s">
        <v>40</v>
      </c>
      <c r="D15" s="30" t="str">
        <f>VLOOKUP($C15,Fixtures!A:I,2,FALSE)</f>
        <v>ALG</v>
      </c>
      <c r="E15" s="48" t="s">
        <v>2692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2689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2690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2691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2690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2695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N17" sqref="N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SWI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2692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2692</v>
      </c>
      <c r="O18" s="31">
        <f>VLOOKUP($B18,PickedPlayers!D:Q,10,FALSE)</f>
        <v>0</v>
      </c>
      <c r="P18" s="30" t="str">
        <f>VLOOKUP($C18,Fixtures!A:I,6,FALSE)</f>
        <v>ARG</v>
      </c>
      <c r="Q18" s="20" t="s">
        <v>2695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C14" sqref="C14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2700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2691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2690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420</v>
      </c>
      <c r="C12" s="29" t="s">
        <v>40</v>
      </c>
      <c r="D12" s="30" t="str">
        <f>VLOOKUP($C12,Fixtures!A:I,2,FALSE)</f>
        <v>ALG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2701</v>
      </c>
      <c r="C14" s="29" t="s">
        <v>40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2695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2692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2689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2689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2685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75" activePane="bottomLeft" state="frozen"/>
      <selection activeCell="C1" sqref="C1"/>
      <selection pane="bottomLeft" activeCell="N90" sqref="N90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/>
      <c r="O92" s="39" t="s">
        <v>2713</v>
      </c>
      <c r="P92" s="39"/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e">
        <f t="shared" si="25"/>
        <v>#VALUE!</v>
      </c>
      <c r="X92" s="3" t="str">
        <f t="shared" si="26"/>
        <v>H</v>
      </c>
      <c r="Y92" s="3" t="e">
        <f t="shared" si="27"/>
        <v>#VALUE!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str">
        <f t="shared" si="33"/>
        <v/>
      </c>
      <c r="AF92" s="3" t="e">
        <f t="shared" si="34"/>
        <v>#VALUE!</v>
      </c>
      <c r="AG92" s="3" t="str">
        <f t="shared" si="35"/>
        <v/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/>
      <c r="O93" s="39" t="s">
        <v>2717</v>
      </c>
      <c r="P93" s="39"/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e">
        <f t="shared" si="25"/>
        <v>#VALUE!</v>
      </c>
      <c r="X93" s="3" t="str">
        <f t="shared" si="26"/>
        <v>D</v>
      </c>
      <c r="Y93" s="3" t="e">
        <f t="shared" si="27"/>
        <v>#VALUE!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str">
        <f t="shared" si="33"/>
        <v/>
      </c>
      <c r="AF93" s="3" t="e">
        <f t="shared" si="34"/>
        <v>#VALUE!</v>
      </c>
      <c r="AG93" s="3" t="str">
        <f t="shared" si="35"/>
        <v/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/>
      <c r="O94" s="39" t="s">
        <v>2727</v>
      </c>
      <c r="P94" s="39"/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e">
        <f t="shared" si="25"/>
        <v>#VALUE!</v>
      </c>
      <c r="X94" s="3" t="str">
        <f t="shared" si="26"/>
        <v>A</v>
      </c>
      <c r="Y94" s="3" t="e">
        <f t="shared" si="27"/>
        <v>#VALUE!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str">
        <f t="shared" si="33"/>
        <v/>
      </c>
      <c r="AF94" s="3" t="e">
        <f t="shared" si="34"/>
        <v>#VALUE!</v>
      </c>
      <c r="AG94" s="3" t="str">
        <f t="shared" si="35"/>
        <v/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/>
      <c r="O95" s="39" t="s">
        <v>2717</v>
      </c>
      <c r="P95" s="39"/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e">
        <f t="shared" si="25"/>
        <v>#VALUE!</v>
      </c>
      <c r="X95" s="3" t="str">
        <f t="shared" si="26"/>
        <v>D</v>
      </c>
      <c r="Y95" s="3" t="e">
        <f t="shared" si="27"/>
        <v>#VALUE!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str">
        <f t="shared" si="33"/>
        <v/>
      </c>
      <c r="AF95" s="3" t="e">
        <f t="shared" si="34"/>
        <v>#VALUE!</v>
      </c>
      <c r="AG95" s="3" t="str">
        <f t="shared" si="35"/>
        <v/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/>
      <c r="K96" s="39" t="s">
        <v>2734</v>
      </c>
      <c r="L96" s="39" t="s">
        <v>2738</v>
      </c>
      <c r="M96" s="39" t="s">
        <v>2715</v>
      </c>
      <c r="N96" s="39"/>
      <c r="O96" s="39" t="s">
        <v>2712</v>
      </c>
      <c r="P96" s="39"/>
      <c r="Q96" s="3" t="e">
        <f t="shared" si="19"/>
        <v>#VALUE!</v>
      </c>
      <c r="R96" s="3" t="str">
        <f t="shared" si="20"/>
        <v>H</v>
      </c>
      <c r="S96" s="3" t="e">
        <f t="shared" si="21"/>
        <v>#VALUE!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e">
        <f t="shared" si="25"/>
        <v>#VALUE!</v>
      </c>
      <c r="X96" s="3" t="str">
        <f t="shared" si="26"/>
        <v>H</v>
      </c>
      <c r="Y96" s="3" t="e">
        <f t="shared" si="27"/>
        <v>#VALUE!</v>
      </c>
      <c r="Z96" s="3" t="e">
        <f t="shared" si="28"/>
        <v>#VALUE!</v>
      </c>
      <c r="AA96" s="3" t="str">
        <f t="shared" si="29"/>
        <v/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str">
        <f t="shared" si="33"/>
        <v/>
      </c>
      <c r="AF96" s="3" t="e">
        <f t="shared" si="34"/>
        <v>#VALUE!</v>
      </c>
      <c r="AG96" s="3" t="str">
        <f t="shared" si="35"/>
        <v/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/>
      <c r="K97" s="39" t="s">
        <v>2715</v>
      </c>
      <c r="L97" s="39" t="s">
        <v>2713</v>
      </c>
      <c r="M97" s="39" t="s">
        <v>2713</v>
      </c>
      <c r="N97" s="39"/>
      <c r="O97" s="39" t="s">
        <v>2717</v>
      </c>
      <c r="P97" s="39"/>
      <c r="Q97" s="3" t="e">
        <f t="shared" si="19"/>
        <v>#VALUE!</v>
      </c>
      <c r="R97" s="3" t="str">
        <f t="shared" si="20"/>
        <v>H</v>
      </c>
      <c r="S97" s="3" t="e">
        <f t="shared" si="21"/>
        <v>#VALUE!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e">
        <f t="shared" si="25"/>
        <v>#VALUE!</v>
      </c>
      <c r="X97" s="3" t="str">
        <f t="shared" si="26"/>
        <v>D</v>
      </c>
      <c r="Y97" s="3" t="e">
        <f t="shared" si="27"/>
        <v>#VALUE!</v>
      </c>
      <c r="Z97" s="3" t="e">
        <f t="shared" si="28"/>
        <v>#VALUE!</v>
      </c>
      <c r="AA97" s="3" t="str">
        <f t="shared" si="29"/>
        <v/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str">
        <f t="shared" si="33"/>
        <v/>
      </c>
      <c r="AF97" s="3" t="e">
        <f t="shared" si="34"/>
        <v>#VALUE!</v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2783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7" workbookViewId="0">
      <selection activeCell="F53" sqref="F5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2793</v>
      </c>
      <c r="H3" s="3" t="s">
        <v>2793</v>
      </c>
      <c r="I3" s="3" t="s">
        <v>2793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2793</v>
      </c>
      <c r="H6" s="3" t="s">
        <v>2793</v>
      </c>
      <c r="I6" s="3" t="s">
        <v>2793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2793</v>
      </c>
      <c r="G7" s="3" t="s">
        <v>2793</v>
      </c>
      <c r="H7" s="3" t="s">
        <v>2793</v>
      </c>
      <c r="I7" s="3" t="s">
        <v>2793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2793</v>
      </c>
      <c r="H8" s="3" t="s">
        <v>2793</v>
      </c>
      <c r="I8" s="3" t="s">
        <v>2793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2793</v>
      </c>
      <c r="H9" s="3" t="s">
        <v>2793</v>
      </c>
      <c r="I9" s="3" t="s">
        <v>2793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2793</v>
      </c>
      <c r="H11" s="3" t="s">
        <v>2793</v>
      </c>
      <c r="I11" s="3" t="s">
        <v>2793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2793</v>
      </c>
      <c r="H17" s="3" t="s">
        <v>2793</v>
      </c>
      <c r="I17" s="3" t="s">
        <v>2793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2793</v>
      </c>
      <c r="H18" s="3" t="s">
        <v>2793</v>
      </c>
      <c r="I18" s="3" t="s">
        <v>2793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2793</v>
      </c>
      <c r="H19" s="3" t="s">
        <v>2793</v>
      </c>
      <c r="I19" s="3" t="s">
        <v>2793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2793</v>
      </c>
      <c r="H28" s="3" t="s">
        <v>2793</v>
      </c>
      <c r="I28" s="3" t="s">
        <v>2793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2793</v>
      </c>
      <c r="H29" s="3" t="s">
        <v>2793</v>
      </c>
      <c r="I29" s="3" t="s">
        <v>2793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2793</v>
      </c>
      <c r="H32" s="3" t="s">
        <v>2793</v>
      </c>
      <c r="I32" s="3" t="s">
        <v>2793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2793</v>
      </c>
      <c r="H34" s="3" t="s">
        <v>2793</v>
      </c>
      <c r="I34" s="3" t="s">
        <v>2793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2793</v>
      </c>
      <c r="H35" s="3" t="s">
        <v>2793</v>
      </c>
      <c r="I35" s="3" t="s">
        <v>2793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2793</v>
      </c>
      <c r="H42" s="3" t="s">
        <v>2793</v>
      </c>
      <c r="I42" s="3" t="s">
        <v>2793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2793</v>
      </c>
      <c r="H44" s="3" t="s">
        <v>2793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2793</v>
      </c>
      <c r="H47" s="3" t="s">
        <v>2793</v>
      </c>
      <c r="I47" s="3" t="s">
        <v>2793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43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37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40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12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2026-07-04T17:11:45Z</dcterms:modified>
  <cp:category/>
  <cp:contentStatus/>
</cp:coreProperties>
</file>