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5030" documentId="8_{DE49DC6A-C840-492B-B227-19D455AF6A7E}" xr6:coauthVersionLast="47" xr6:coauthVersionMax="47" xr10:uidLastSave="{75198669-2060-459E-AE87-057FB0DDF87A}"/>
  <bookViews>
    <workbookView xWindow="-120" yWindow="-120" windowWidth="29040" windowHeight="15720" tabRatio="695" activeTab="6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26" l="1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4" i="26"/>
  <c r="Y14" i="26"/>
  <c r="X14" i="26"/>
  <c r="V14" i="26"/>
  <c r="U14" i="26"/>
  <c r="S14" i="26"/>
  <c r="R14" i="26"/>
  <c r="P14" i="26"/>
  <c r="O14" i="26"/>
  <c r="M14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V27" i="20"/>
  <c r="AD27" i="20"/>
  <c r="W27" i="20"/>
  <c r="AE27" i="20"/>
  <c r="AF27" i="20"/>
  <c r="V28" i="20"/>
  <c r="W28" i="20"/>
  <c r="V29" i="20"/>
  <c r="W29" i="20"/>
  <c r="V30" i="20"/>
  <c r="AD30" i="20"/>
  <c r="W30" i="20"/>
  <c r="V31" i="20"/>
  <c r="AD31" i="20"/>
  <c r="W31" i="20"/>
  <c r="AF31" i="20"/>
  <c r="V32" i="20"/>
  <c r="AD32" i="20"/>
  <c r="W32" i="20"/>
  <c r="AF32" i="20"/>
  <c r="V33" i="20"/>
  <c r="AD33" i="20"/>
  <c r="W33" i="20"/>
  <c r="AF33" i="20"/>
  <c r="V34" i="20"/>
  <c r="W34" i="20"/>
  <c r="AE34" i="20"/>
  <c r="AF34" i="20"/>
  <c r="Y34" i="20"/>
  <c r="Z35" i="20"/>
  <c r="AC35" i="20"/>
  <c r="V35" i="20"/>
  <c r="W35" i="20"/>
  <c r="AE35" i="20"/>
  <c r="Y35" i="20"/>
  <c r="AB36" i="20"/>
  <c r="V36" i="20"/>
  <c r="AD36" i="20"/>
  <c r="W36" i="20"/>
  <c r="AE36" i="20"/>
  <c r="Y36" i="20"/>
  <c r="AG36" i="20"/>
  <c r="Z37" i="20"/>
  <c r="V37" i="20"/>
  <c r="AD37" i="20"/>
  <c r="W37" i="20"/>
  <c r="Y37" i="20"/>
  <c r="V38" i="20"/>
  <c r="W38" i="20"/>
  <c r="AE38" i="20"/>
  <c r="Y38" i="20"/>
  <c r="AG38" i="20"/>
  <c r="V39" i="20"/>
  <c r="W39" i="20"/>
  <c r="Y39" i="20"/>
  <c r="V40" i="20"/>
  <c r="AD40" i="20"/>
  <c r="W40" i="20"/>
  <c r="Y40" i="20"/>
  <c r="V41" i="20"/>
  <c r="W41" i="20"/>
  <c r="AE41" i="20"/>
  <c r="Y41" i="20"/>
  <c r="AG41" i="20"/>
  <c r="V42" i="20"/>
  <c r="W42" i="20"/>
  <c r="AE42" i="20"/>
  <c r="Y42" i="20"/>
  <c r="V43" i="20"/>
  <c r="W43" i="20"/>
  <c r="X43" i="20"/>
  <c r="AF43" i="20"/>
  <c r="Y43" i="20"/>
  <c r="AG43" i="20"/>
  <c r="AC44" i="20"/>
  <c r="V44" i="20"/>
  <c r="AD44" i="20"/>
  <c r="W44" i="20"/>
  <c r="AE44" i="20"/>
  <c r="X44" i="20"/>
  <c r="AF44" i="20"/>
  <c r="Y44" i="20"/>
  <c r="V45" i="20"/>
  <c r="W45" i="20"/>
  <c r="X45" i="20"/>
  <c r="Y45" i="20"/>
  <c r="AG45" i="20"/>
  <c r="V46" i="20"/>
  <c r="W46" i="20"/>
  <c r="X46" i="20"/>
  <c r="Y46" i="20"/>
  <c r="V47" i="20"/>
  <c r="AD47" i="20"/>
  <c r="W47" i="20"/>
  <c r="X47" i="20"/>
  <c r="AF47" i="20"/>
  <c r="Y47" i="20"/>
  <c r="AG47" i="20"/>
  <c r="V48" i="20"/>
  <c r="AD48" i="20"/>
  <c r="W48" i="20"/>
  <c r="AE48" i="20"/>
  <c r="X48" i="20"/>
  <c r="AF48" i="20"/>
  <c r="Y48" i="20"/>
  <c r="AG48" i="20"/>
  <c r="T49" i="20"/>
  <c r="V49" i="20"/>
  <c r="W49" i="20"/>
  <c r="AE49" i="20"/>
  <c r="X49" i="20"/>
  <c r="AF49" i="20"/>
  <c r="Y49" i="20"/>
  <c r="AG49" i="20"/>
  <c r="S50" i="20"/>
  <c r="AA50" i="20"/>
  <c r="T50" i="20"/>
  <c r="AB50" i="20"/>
  <c r="U50" i="20"/>
  <c r="V50" i="20"/>
  <c r="W50" i="20"/>
  <c r="X50" i="20"/>
  <c r="Y50" i="20"/>
  <c r="S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AA52" i="20"/>
  <c r="T52" i="20"/>
  <c r="U52" i="20"/>
  <c r="AC52" i="20"/>
  <c r="V52" i="20"/>
  <c r="W52" i="20"/>
  <c r="X52" i="20"/>
  <c r="Y52" i="20"/>
  <c r="AG52" i="20"/>
  <c r="Z53" i="20"/>
  <c r="S53" i="20"/>
  <c r="AA53" i="20"/>
  <c r="T53" i="20"/>
  <c r="AB53" i="20"/>
  <c r="U53" i="20"/>
  <c r="AC53" i="20"/>
  <c r="V53" i="20"/>
  <c r="W53" i="20"/>
  <c r="AE53" i="20"/>
  <c r="X53" i="20"/>
  <c r="AF53" i="20"/>
  <c r="Y53" i="20"/>
  <c r="AG53" i="20"/>
  <c r="S54" i="20"/>
  <c r="T54" i="20"/>
  <c r="U54" i="20"/>
  <c r="V54" i="20"/>
  <c r="W54" i="20"/>
  <c r="X54" i="20"/>
  <c r="Y54" i="20"/>
  <c r="S55" i="20"/>
  <c r="T55" i="20"/>
  <c r="U55" i="20"/>
  <c r="V55" i="20"/>
  <c r="W55" i="20"/>
  <c r="X55" i="20"/>
  <c r="Y55" i="20"/>
  <c r="S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T57" i="20"/>
  <c r="AB57" i="20"/>
  <c r="U57" i="20"/>
  <c r="AC57" i="20"/>
  <c r="V57" i="20"/>
  <c r="AD57" i="20"/>
  <c r="W57" i="20"/>
  <c r="AE57" i="20"/>
  <c r="X57" i="20"/>
  <c r="AF57" i="20"/>
  <c r="Y57" i="20"/>
  <c r="Z58" i="20"/>
  <c r="S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AA59" i="20"/>
  <c r="T59" i="20"/>
  <c r="U59" i="20"/>
  <c r="AC59" i="20"/>
  <c r="V59" i="20"/>
  <c r="AD59" i="20"/>
  <c r="W59" i="20"/>
  <c r="X59" i="20"/>
  <c r="Y59" i="20"/>
  <c r="AG59" i="20"/>
  <c r="S60" i="20"/>
  <c r="AA60" i="20"/>
  <c r="T60" i="20"/>
  <c r="AB60" i="20"/>
  <c r="U60" i="20"/>
  <c r="AC60" i="20"/>
  <c r="V60" i="20"/>
  <c r="AD60" i="20"/>
  <c r="W60" i="20"/>
  <c r="X60" i="20"/>
  <c r="Y60" i="20"/>
  <c r="AG60" i="20"/>
  <c r="S61" i="20"/>
  <c r="T61" i="20"/>
  <c r="U61" i="20"/>
  <c r="V61" i="20"/>
  <c r="W61" i="20"/>
  <c r="X61" i="20"/>
  <c r="Y61" i="20"/>
  <c r="Z62" i="20"/>
  <c r="S62" i="20"/>
  <c r="AA62" i="20"/>
  <c r="T62" i="20"/>
  <c r="AB62" i="20"/>
  <c r="U62" i="20"/>
  <c r="V62" i="20"/>
  <c r="W62" i="20"/>
  <c r="AE62" i="20"/>
  <c r="X62" i="20"/>
  <c r="AF62" i="20"/>
  <c r="Y62" i="20"/>
  <c r="AG62" i="20"/>
  <c r="Z63" i="20"/>
  <c r="S63" i="20"/>
  <c r="T63" i="20"/>
  <c r="U63" i="20"/>
  <c r="V63" i="20"/>
  <c r="W63" i="20"/>
  <c r="X63" i="20"/>
  <c r="AF63" i="20"/>
  <c r="Y63" i="20"/>
  <c r="S64" i="20"/>
  <c r="AA64" i="20"/>
  <c r="T64" i="20"/>
  <c r="AB64" i="20"/>
  <c r="U64" i="20"/>
  <c r="V64" i="20"/>
  <c r="W64" i="20"/>
  <c r="X64" i="20"/>
  <c r="Y64" i="20"/>
  <c r="S65" i="20"/>
  <c r="T65" i="20"/>
  <c r="AB65" i="20"/>
  <c r="U65" i="20"/>
  <c r="AC65" i="20"/>
  <c r="V65" i="20"/>
  <c r="AD65" i="20"/>
  <c r="W65" i="20"/>
  <c r="X65" i="20"/>
  <c r="Y65" i="20"/>
  <c r="AG65" i="20"/>
  <c r="S66" i="20"/>
  <c r="T66" i="20"/>
  <c r="U66" i="20"/>
  <c r="AC66" i="20"/>
  <c r="V66" i="20"/>
  <c r="W66" i="20"/>
  <c r="AE66" i="20"/>
  <c r="X66" i="20"/>
  <c r="Y66" i="20"/>
  <c r="S67" i="20"/>
  <c r="AA67" i="20"/>
  <c r="T67" i="20"/>
  <c r="AB67" i="20"/>
  <c r="U67" i="20"/>
  <c r="V67" i="20"/>
  <c r="W67" i="20"/>
  <c r="AE67" i="20"/>
  <c r="X67" i="20"/>
  <c r="Y67" i="20"/>
  <c r="AG67" i="20"/>
  <c r="Z68" i="20"/>
  <c r="S68" i="20"/>
  <c r="AA68" i="20"/>
  <c r="T68" i="20"/>
  <c r="AB68" i="20"/>
  <c r="U68" i="20"/>
  <c r="V68" i="20"/>
  <c r="W68" i="20"/>
  <c r="AE68" i="20"/>
  <c r="X68" i="20"/>
  <c r="AF68" i="20"/>
  <c r="Y68" i="20"/>
  <c r="AG68" i="20"/>
  <c r="Z69" i="20"/>
  <c r="S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T70" i="20"/>
  <c r="U70" i="20"/>
  <c r="V70" i="20"/>
  <c r="AD70" i="20"/>
  <c r="W70" i="20"/>
  <c r="X70" i="20"/>
  <c r="Y70" i="20"/>
  <c r="S71" i="20"/>
  <c r="T71" i="20"/>
  <c r="AB71" i="20"/>
  <c r="U71" i="20"/>
  <c r="V71" i="20"/>
  <c r="W71" i="20"/>
  <c r="AE71" i="20"/>
  <c r="X71" i="20"/>
  <c r="Y71" i="20"/>
  <c r="S72" i="20"/>
  <c r="AA72" i="20"/>
  <c r="T72" i="20"/>
  <c r="AB72" i="20"/>
  <c r="U72" i="20"/>
  <c r="V72" i="20"/>
  <c r="W72" i="20"/>
  <c r="X72" i="20"/>
  <c r="Y72" i="20"/>
  <c r="AG72" i="20"/>
  <c r="S73" i="20"/>
  <c r="AA73" i="20"/>
  <c r="T73" i="20"/>
  <c r="AB73" i="20"/>
  <c r="U73" i="20"/>
  <c r="AC73" i="20"/>
  <c r="V73" i="20"/>
  <c r="AD73" i="20"/>
  <c r="W73" i="20"/>
  <c r="X73" i="20"/>
  <c r="Y73" i="20"/>
  <c r="AG73" i="20"/>
  <c r="S74" i="20"/>
  <c r="U74" i="20"/>
  <c r="V74" i="20"/>
  <c r="W74" i="20"/>
  <c r="Y74" i="20"/>
  <c r="AG74" i="20"/>
  <c r="S75" i="20"/>
  <c r="U75" i="20"/>
  <c r="V75" i="20"/>
  <c r="AD75" i="20"/>
  <c r="W75" i="20"/>
  <c r="AE75" i="20"/>
  <c r="Y75" i="20"/>
  <c r="Z76" i="20"/>
  <c r="S76" i="20"/>
  <c r="AA76" i="20"/>
  <c r="U76" i="20"/>
  <c r="V76" i="20"/>
  <c r="W76" i="20"/>
  <c r="AE76" i="20"/>
  <c r="Y76" i="20"/>
  <c r="AG76" i="20"/>
  <c r="S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Q78" i="20"/>
  <c r="AC78" i="20"/>
  <c r="V78" i="20"/>
  <c r="AD78" i="20"/>
  <c r="W78" i="20"/>
  <c r="AE78" i="20"/>
  <c r="Y78" i="20"/>
  <c r="AG78" i="20"/>
  <c r="Q79" i="20"/>
  <c r="Z79" i="20"/>
  <c r="S79" i="20"/>
  <c r="AA79" i="20"/>
  <c r="U79" i="20"/>
  <c r="AC79" i="20"/>
  <c r="V79" i="20"/>
  <c r="AD79" i="20"/>
  <c r="W79" i="20"/>
  <c r="AE79" i="20"/>
  <c r="Y79" i="20"/>
  <c r="AG79" i="20"/>
  <c r="AA80" i="20"/>
  <c r="U80" i="20"/>
  <c r="AC80" i="20"/>
  <c r="V80" i="20"/>
  <c r="Q80" i="20"/>
  <c r="AD80" i="20"/>
  <c r="W80" i="20"/>
  <c r="AE80" i="20"/>
  <c r="Y80" i="20"/>
  <c r="AG80" i="20"/>
  <c r="S81" i="20"/>
  <c r="Q81" i="20"/>
  <c r="AA81" i="20"/>
  <c r="U81" i="20"/>
  <c r="AC81" i="20"/>
  <c r="V81" i="20"/>
  <c r="AD81" i="20"/>
  <c r="W81" i="20"/>
  <c r="AE81" i="20"/>
  <c r="X81" i="20"/>
  <c r="AF81" i="20"/>
  <c r="Y81" i="20"/>
  <c r="AG81" i="20"/>
  <c r="S82" i="20"/>
  <c r="Q82" i="20"/>
  <c r="AA82" i="20"/>
  <c r="U82" i="20"/>
  <c r="AC82" i="20"/>
  <c r="V82" i="20"/>
  <c r="AD82" i="20"/>
  <c r="W82" i="20"/>
  <c r="AE82" i="20"/>
  <c r="X82" i="20"/>
  <c r="AF82" i="20"/>
  <c r="Y82" i="20"/>
  <c r="AG82" i="20"/>
  <c r="Q83" i="20"/>
  <c r="Z83" i="20"/>
  <c r="S83" i="20"/>
  <c r="AA83" i="20"/>
  <c r="U83" i="20"/>
  <c r="AC83" i="20"/>
  <c r="V83" i="20"/>
  <c r="AD83" i="20"/>
  <c r="W83" i="20"/>
  <c r="AE83" i="20"/>
  <c r="X83" i="20"/>
  <c r="AF83" i="20"/>
  <c r="AG83" i="20"/>
  <c r="S84" i="20"/>
  <c r="AA84" i="20"/>
  <c r="U84" i="20"/>
  <c r="AC84" i="20"/>
  <c r="V84" i="20"/>
  <c r="AD84" i="20"/>
  <c r="W84" i="20"/>
  <c r="AE84" i="20"/>
  <c r="X84" i="20"/>
  <c r="AF84" i="20"/>
  <c r="Y84" i="20"/>
  <c r="AG84" i="20"/>
  <c r="S85" i="20"/>
  <c r="AA85" i="20"/>
  <c r="U85" i="20"/>
  <c r="AC85" i="20"/>
  <c r="V85" i="20"/>
  <c r="AD85" i="20"/>
  <c r="W85" i="20"/>
  <c r="AE85" i="20"/>
  <c r="X85" i="20"/>
  <c r="AF85" i="20"/>
  <c r="Y85" i="20"/>
  <c r="AG85" i="20"/>
  <c r="Z86" i="20"/>
  <c r="S86" i="20"/>
  <c r="AA86" i="20"/>
  <c r="U86" i="20"/>
  <c r="AC86" i="20"/>
  <c r="V86" i="20"/>
  <c r="AD86" i="20"/>
  <c r="W86" i="20"/>
  <c r="AE86" i="20"/>
  <c r="X86" i="20"/>
  <c r="AF86" i="20"/>
  <c r="Y86" i="20"/>
  <c r="AG86" i="20"/>
  <c r="S87" i="20"/>
  <c r="AA87" i="20"/>
  <c r="U87" i="20"/>
  <c r="AC87" i="20"/>
  <c r="V87" i="20"/>
  <c r="AD87" i="20"/>
  <c r="W87" i="20"/>
  <c r="AE87" i="20"/>
  <c r="X87" i="20"/>
  <c r="AF87" i="20"/>
  <c r="Y87" i="20"/>
  <c r="AG87" i="20"/>
  <c r="Z88" i="20"/>
  <c r="S88" i="20"/>
  <c r="AA88" i="20"/>
  <c r="U88" i="20"/>
  <c r="AC88" i="20"/>
  <c r="V88" i="20"/>
  <c r="AD88" i="20"/>
  <c r="W88" i="20"/>
  <c r="AE88" i="20"/>
  <c r="X88" i="20"/>
  <c r="AF88" i="20"/>
  <c r="Y88" i="20"/>
  <c r="AG88" i="20"/>
  <c r="Z89" i="20"/>
  <c r="S89" i="20"/>
  <c r="AA89" i="20"/>
  <c r="U89" i="20"/>
  <c r="AC89" i="20"/>
  <c r="V89" i="20"/>
  <c r="AD89" i="20"/>
  <c r="W89" i="20"/>
  <c r="AE89" i="20"/>
  <c r="X89" i="20"/>
  <c r="AF89" i="20"/>
  <c r="Y89" i="20"/>
  <c r="AG89" i="20"/>
  <c r="R90" i="20"/>
  <c r="Z90" i="20"/>
  <c r="S90" i="20"/>
  <c r="AA90" i="20"/>
  <c r="T90" i="20"/>
  <c r="AB90" i="20"/>
  <c r="U90" i="20"/>
  <c r="AC90" i="20"/>
  <c r="V90" i="20"/>
  <c r="AD90" i="20"/>
  <c r="AE90" i="20"/>
  <c r="X90" i="20"/>
  <c r="AF90" i="20"/>
  <c r="Y90" i="20"/>
  <c r="AG90" i="20"/>
  <c r="R91" i="20"/>
  <c r="Z91" i="20"/>
  <c r="S91" i="20"/>
  <c r="AA91" i="20"/>
  <c r="T91" i="20"/>
  <c r="AB91" i="20"/>
  <c r="U91" i="20"/>
  <c r="AC91" i="20"/>
  <c r="V91" i="20"/>
  <c r="AD91" i="20"/>
  <c r="AE91" i="20"/>
  <c r="X91" i="20"/>
  <c r="AF91" i="20"/>
  <c r="Y91" i="20"/>
  <c r="AG91" i="20"/>
  <c r="R92" i="20"/>
  <c r="Z92" i="20"/>
  <c r="S92" i="20"/>
  <c r="AA92" i="20"/>
  <c r="T92" i="20"/>
  <c r="AB92" i="20"/>
  <c r="U92" i="20"/>
  <c r="AC92" i="20"/>
  <c r="V92" i="20"/>
  <c r="AD92" i="20"/>
  <c r="W92" i="20"/>
  <c r="AE92" i="20"/>
  <c r="X92" i="20"/>
  <c r="AF92" i="20"/>
  <c r="Y92" i="20"/>
  <c r="AG92" i="20"/>
  <c r="R93" i="20"/>
  <c r="Z93" i="20"/>
  <c r="S93" i="20"/>
  <c r="AA93" i="20"/>
  <c r="T93" i="20"/>
  <c r="AB93" i="20"/>
  <c r="U93" i="20"/>
  <c r="AC93" i="20"/>
  <c r="V93" i="20"/>
  <c r="AD93" i="20"/>
  <c r="W93" i="20"/>
  <c r="AE93" i="20"/>
  <c r="X93" i="20"/>
  <c r="AF93" i="20"/>
  <c r="Y93" i="20"/>
  <c r="AG93" i="20"/>
  <c r="R94" i="20"/>
  <c r="Z94" i="20"/>
  <c r="S94" i="20"/>
  <c r="AA94" i="20"/>
  <c r="T94" i="20"/>
  <c r="AB94" i="20"/>
  <c r="U94" i="20"/>
  <c r="AC94" i="20"/>
  <c r="V94" i="20"/>
  <c r="AD94" i="20"/>
  <c r="W94" i="20"/>
  <c r="AE94" i="20"/>
  <c r="X94" i="20"/>
  <c r="AF94" i="20"/>
  <c r="Y94" i="20"/>
  <c r="AG94" i="20"/>
  <c r="R95" i="20"/>
  <c r="Z95" i="20"/>
  <c r="S95" i="20"/>
  <c r="AA95" i="20"/>
  <c r="T95" i="20"/>
  <c r="AB95" i="20"/>
  <c r="U95" i="20"/>
  <c r="AC95" i="20"/>
  <c r="V95" i="20"/>
  <c r="AD95" i="20"/>
  <c r="W95" i="20"/>
  <c r="AE95" i="20"/>
  <c r="X95" i="20"/>
  <c r="AF95" i="20"/>
  <c r="Y95" i="20"/>
  <c r="AG95" i="20"/>
  <c r="R96" i="20"/>
  <c r="Z96" i="20"/>
  <c r="S96" i="20"/>
  <c r="AA96" i="20"/>
  <c r="T96" i="20"/>
  <c r="AB96" i="20"/>
  <c r="U96" i="20"/>
  <c r="AC96" i="20"/>
  <c r="V96" i="20"/>
  <c r="AD96" i="20"/>
  <c r="W96" i="20"/>
  <c r="AE96" i="20"/>
  <c r="X96" i="20"/>
  <c r="AF96" i="20"/>
  <c r="Y96" i="20"/>
  <c r="AG96" i="20"/>
  <c r="R97" i="20"/>
  <c r="Z97" i="20"/>
  <c r="S97" i="20"/>
  <c r="AA97" i="20"/>
  <c r="T97" i="20"/>
  <c r="AB97" i="20"/>
  <c r="U97" i="20"/>
  <c r="AC97" i="20"/>
  <c r="V97" i="20"/>
  <c r="AD97" i="20"/>
  <c r="W97" i="20"/>
  <c r="AE97" i="20"/>
  <c r="X97" i="20"/>
  <c r="AF97" i="20"/>
  <c r="Y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9" i="23"/>
  <c r="Y19" i="23"/>
  <c r="X19" i="23"/>
  <c r="V19" i="23"/>
  <c r="U19" i="23"/>
  <c r="S19" i="23"/>
  <c r="R19" i="23"/>
  <c r="P19" i="23"/>
  <c r="O19" i="23"/>
  <c r="M19" i="23"/>
  <c r="L19" i="23"/>
  <c r="J19" i="23"/>
  <c r="I19" i="23"/>
  <c r="G19" i="23"/>
  <c r="F19" i="23"/>
  <c r="D19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T27" i="20"/>
  <c r="AB27" i="20"/>
  <c r="U27" i="20"/>
  <c r="AC27" i="20"/>
  <c r="X27" i="20"/>
  <c r="Y27" i="20"/>
  <c r="R28" i="20"/>
  <c r="Z28" i="20"/>
  <c r="S28" i="20"/>
  <c r="T28" i="20"/>
  <c r="U28" i="20"/>
  <c r="X28" i="20"/>
  <c r="Y28" i="20"/>
  <c r="AG28" i="20"/>
  <c r="R29" i="20"/>
  <c r="S29" i="20"/>
  <c r="T29" i="20"/>
  <c r="U29" i="20"/>
  <c r="X29" i="20"/>
  <c r="AF29" i="20"/>
  <c r="Y29" i="20"/>
  <c r="R30" i="20"/>
  <c r="S30" i="20"/>
  <c r="T30" i="20"/>
  <c r="AB30" i="20"/>
  <c r="U30" i="20"/>
  <c r="X30" i="20"/>
  <c r="Y30" i="20"/>
  <c r="R31" i="20"/>
  <c r="S31" i="20"/>
  <c r="T31" i="20"/>
  <c r="U31" i="20"/>
  <c r="X31" i="20"/>
  <c r="Y31" i="20"/>
  <c r="AG31" i="20"/>
  <c r="R32" i="20"/>
  <c r="S32" i="20"/>
  <c r="T32" i="20"/>
  <c r="AB32" i="20"/>
  <c r="U32" i="20"/>
  <c r="AC32" i="20"/>
  <c r="X32" i="20"/>
  <c r="Y32" i="20"/>
  <c r="AG32" i="20"/>
  <c r="R33" i="20"/>
  <c r="Z33" i="20"/>
  <c r="S33" i="20"/>
  <c r="T33" i="20"/>
  <c r="U33" i="20"/>
  <c r="AC33" i="20"/>
  <c r="X33" i="20"/>
  <c r="Y33" i="20"/>
  <c r="AG33" i="20"/>
  <c r="R34" i="20"/>
  <c r="Z34" i="20"/>
  <c r="S34" i="20"/>
  <c r="T34" i="20"/>
  <c r="U34" i="20"/>
  <c r="X34" i="20"/>
  <c r="R35" i="20"/>
  <c r="S35" i="20"/>
  <c r="AA35" i="20"/>
  <c r="T35" i="20"/>
  <c r="U35" i="20"/>
  <c r="X35" i="20"/>
  <c r="R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S38" i="20"/>
  <c r="AA38" i="20"/>
  <c r="T38" i="20"/>
  <c r="AB38" i="20"/>
  <c r="U38" i="20"/>
  <c r="X38" i="20"/>
  <c r="AF38" i="20"/>
  <c r="R39" i="20"/>
  <c r="S39" i="20"/>
  <c r="T39" i="20"/>
  <c r="U39" i="20"/>
  <c r="X39" i="20"/>
  <c r="R40" i="20"/>
  <c r="Z40" i="20"/>
  <c r="S40" i="20"/>
  <c r="T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T42" i="20"/>
  <c r="U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S46" i="20"/>
  <c r="T46" i="20"/>
  <c r="U46" i="20"/>
  <c r="R47" i="20"/>
  <c r="S47" i="20"/>
  <c r="AA47" i="20"/>
  <c r="T47" i="20"/>
  <c r="U47" i="20"/>
  <c r="R48" i="20"/>
  <c r="S48" i="20"/>
  <c r="AA48" i="20"/>
  <c r="T48" i="20"/>
  <c r="AB48" i="20"/>
  <c r="U48" i="20"/>
  <c r="AC48" i="20"/>
  <c r="R49" i="20"/>
  <c r="S49" i="20"/>
  <c r="AA49" i="20"/>
  <c r="U49" i="20"/>
  <c r="R50" i="20"/>
  <c r="R51" i="20"/>
  <c r="Z51" i="20"/>
  <c r="R52" i="20"/>
  <c r="R53" i="20"/>
  <c r="R54" i="20"/>
  <c r="R55" i="20"/>
  <c r="Z55" i="20"/>
  <c r="R56" i="20"/>
  <c r="R57" i="20"/>
  <c r="Z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Z70" i="20"/>
  <c r="R71" i="20"/>
  <c r="Z71" i="20"/>
  <c r="R72" i="20"/>
  <c r="Z72" i="20"/>
  <c r="R73" i="20"/>
  <c r="R74" i="20"/>
  <c r="T74" i="20"/>
  <c r="X74" i="20"/>
  <c r="R75" i="20"/>
  <c r="T75" i="20"/>
  <c r="AB75" i="20"/>
  <c r="X75" i="20"/>
  <c r="R76" i="20"/>
  <c r="T76" i="20"/>
  <c r="AB76" i="20"/>
  <c r="X76" i="20"/>
  <c r="R77" i="20"/>
  <c r="Z77" i="20"/>
  <c r="T77" i="20"/>
  <c r="AB77" i="20"/>
  <c r="X77" i="20"/>
  <c r="R78" i="20"/>
  <c r="Z78" i="20"/>
  <c r="T78" i="20"/>
  <c r="AB78" i="20"/>
  <c r="X78" i="20"/>
  <c r="AF78" i="20"/>
  <c r="R79" i="20"/>
  <c r="T79" i="20"/>
  <c r="AB79" i="20"/>
  <c r="X79" i="20"/>
  <c r="AF79" i="20"/>
  <c r="R80" i="20"/>
  <c r="Z80" i="20"/>
  <c r="S80" i="20"/>
  <c r="T80" i="20"/>
  <c r="AB80" i="20"/>
  <c r="X80" i="20"/>
  <c r="AF80" i="20"/>
  <c r="R81" i="20"/>
  <c r="Z81" i="20"/>
  <c r="T81" i="20"/>
  <c r="AB81" i="20"/>
  <c r="R82" i="20"/>
  <c r="Z82" i="20"/>
  <c r="T82" i="20"/>
  <c r="AB82" i="20"/>
  <c r="R83" i="20"/>
  <c r="T83" i="20"/>
  <c r="AB83" i="20"/>
  <c r="Y83" i="20"/>
  <c r="R84" i="20"/>
  <c r="Z84" i="20"/>
  <c r="T84" i="20"/>
  <c r="AB84" i="20"/>
  <c r="R85" i="20"/>
  <c r="Z85" i="20"/>
  <c r="T85" i="20"/>
  <c r="AB85" i="20"/>
  <c r="R86" i="20"/>
  <c r="T86" i="20"/>
  <c r="AB86" i="20"/>
  <c r="R87" i="20"/>
  <c r="Z87" i="20"/>
  <c r="T87" i="20"/>
  <c r="AB87" i="20"/>
  <c r="R88" i="20"/>
  <c r="T88" i="20"/>
  <c r="AB88" i="20"/>
  <c r="R89" i="20"/>
  <c r="T89" i="20"/>
  <c r="AB89" i="20"/>
  <c r="W90" i="20"/>
  <c r="W91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E26" i="20"/>
  <c r="AD26" i="20"/>
  <c r="Q27" i="20"/>
  <c r="Z27" i="20"/>
  <c r="Q28" i="20"/>
  <c r="AB28" i="20"/>
  <c r="Q29" i="20"/>
  <c r="AD29" i="20"/>
  <c r="Q30" i="20"/>
  <c r="AG30" i="20"/>
  <c r="Q31" i="20"/>
  <c r="AB31" i="20"/>
  <c r="Q32" i="20"/>
  <c r="Z32" i="20"/>
  <c r="Q33" i="20"/>
  <c r="AA33" i="20"/>
  <c r="Q34" i="20"/>
  <c r="AC34" i="20"/>
  <c r="Q35" i="20"/>
  <c r="AB35" i="20"/>
  <c r="Q36" i="20"/>
  <c r="AC36" i="20"/>
  <c r="Q37" i="20"/>
  <c r="AE37" i="20"/>
  <c r="Q38" i="20"/>
  <c r="AC38" i="20"/>
  <c r="Q39" i="20"/>
  <c r="AD39" i="20"/>
  <c r="Q40" i="20"/>
  <c r="AE40" i="20"/>
  <c r="Q41" i="20"/>
  <c r="AB41" i="20"/>
  <c r="Q42" i="20"/>
  <c r="AG42" i="20"/>
  <c r="Q43" i="20"/>
  <c r="AC43" i="20"/>
  <c r="Q44" i="20"/>
  <c r="AG44" i="20"/>
  <c r="Q45" i="20"/>
  <c r="AC45" i="20"/>
  <c r="Q46" i="20"/>
  <c r="AA46" i="20"/>
  <c r="Q47" i="20"/>
  <c r="AB47" i="20"/>
  <c r="Q48" i="20"/>
  <c r="Z48" i="20"/>
  <c r="Q49" i="20"/>
  <c r="Z49" i="20"/>
  <c r="Q50" i="20"/>
  <c r="AC50" i="20"/>
  <c r="Q51" i="20"/>
  <c r="Q52" i="20"/>
  <c r="AF52" i="20"/>
  <c r="Q53" i="20"/>
  <c r="AD53" i="20"/>
  <c r="Q54" i="20"/>
  <c r="AC54" i="20"/>
  <c r="Q55" i="20"/>
  <c r="AF55" i="20"/>
  <c r="Q56" i="20"/>
  <c r="Z56" i="20"/>
  <c r="Q57" i="20"/>
  <c r="AA57" i="20"/>
  <c r="Q58" i="20"/>
  <c r="AA58" i="20"/>
  <c r="Q59" i="20"/>
  <c r="AF59" i="20"/>
  <c r="Q60" i="20"/>
  <c r="Z60" i="20"/>
  <c r="Q61" i="20"/>
  <c r="AA61" i="20"/>
  <c r="Q62" i="20"/>
  <c r="AC62" i="20"/>
  <c r="Q63" i="20"/>
  <c r="AB63" i="20"/>
  <c r="Q64" i="20"/>
  <c r="AD64" i="20"/>
  <c r="Q65" i="20"/>
  <c r="AE65" i="20"/>
  <c r="Q66" i="20"/>
  <c r="Z66" i="20"/>
  <c r="Q67" i="20"/>
  <c r="Z67" i="20"/>
  <c r="Q68" i="20"/>
  <c r="AC68" i="20"/>
  <c r="Q69" i="20"/>
  <c r="AA69" i="20"/>
  <c r="Q70" i="20"/>
  <c r="AA70" i="20"/>
  <c r="Q71" i="20"/>
  <c r="AC71" i="20"/>
  <c r="Q72" i="20"/>
  <c r="AD72" i="20"/>
  <c r="Q73" i="20"/>
  <c r="AE73" i="20"/>
  <c r="Q74" i="20"/>
  <c r="AA74" i="20"/>
  <c r="Q75" i="20"/>
  <c r="AA75" i="20"/>
  <c r="Q76" i="20"/>
  <c r="AC76" i="20"/>
  <c r="Q77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1" i="14"/>
  <c r="Y12" i="14"/>
  <c r="Y13" i="14"/>
  <c r="Y14" i="14"/>
  <c r="Y15" i="14"/>
  <c r="Y16" i="14"/>
  <c r="Y17" i="14"/>
  <c r="Y18" i="14"/>
  <c r="Y19" i="14"/>
  <c r="V4" i="14"/>
  <c r="V5" i="14"/>
  <c r="V6" i="14"/>
  <c r="V7" i="14"/>
  <c r="V8" i="14"/>
  <c r="V11" i="14"/>
  <c r="V12" i="14"/>
  <c r="V13" i="14"/>
  <c r="V14" i="14"/>
  <c r="V15" i="14"/>
  <c r="V16" i="14"/>
  <c r="V17" i="14"/>
  <c r="V18" i="14"/>
  <c r="V19" i="14"/>
  <c r="S4" i="14"/>
  <c r="S5" i="14"/>
  <c r="S6" i="14"/>
  <c r="S7" i="14"/>
  <c r="S8" i="14"/>
  <c r="S11" i="14"/>
  <c r="S12" i="14"/>
  <c r="S13" i="14"/>
  <c r="S14" i="14"/>
  <c r="S15" i="14"/>
  <c r="S16" i="14"/>
  <c r="S17" i="14"/>
  <c r="S18" i="14"/>
  <c r="S19" i="14"/>
  <c r="P4" i="14"/>
  <c r="P5" i="14"/>
  <c r="P6" i="14"/>
  <c r="P7" i="14"/>
  <c r="P8" i="14"/>
  <c r="P11" i="14"/>
  <c r="P12" i="14"/>
  <c r="P13" i="14"/>
  <c r="P14" i="14"/>
  <c r="P15" i="14"/>
  <c r="P16" i="14"/>
  <c r="P17" i="14"/>
  <c r="P18" i="14"/>
  <c r="P19" i="14"/>
  <c r="M4" i="14"/>
  <c r="M5" i="14"/>
  <c r="M6" i="14"/>
  <c r="M7" i="14"/>
  <c r="M8" i="14"/>
  <c r="M11" i="14"/>
  <c r="M12" i="14"/>
  <c r="M13" i="14"/>
  <c r="M14" i="14"/>
  <c r="M15" i="14"/>
  <c r="M16" i="14"/>
  <c r="M17" i="14"/>
  <c r="M18" i="14"/>
  <c r="M19" i="14"/>
  <c r="Y3" i="14"/>
  <c r="V3" i="14"/>
  <c r="U3" i="14"/>
  <c r="S3" i="14"/>
  <c r="P3" i="14"/>
  <c r="M3" i="14"/>
  <c r="D19" i="14"/>
  <c r="D18" i="14"/>
  <c r="D17" i="14"/>
  <c r="D16" i="14"/>
  <c r="D15" i="14"/>
  <c r="D14" i="14"/>
  <c r="D13" i="14"/>
  <c r="D12" i="14"/>
  <c r="D11" i="14"/>
  <c r="D9" i="14"/>
  <c r="D8" i="14"/>
  <c r="D7" i="14"/>
  <c r="D6" i="14"/>
  <c r="D5" i="14"/>
  <c r="D4" i="14"/>
  <c r="D3" i="14"/>
  <c r="AA4" i="14"/>
  <c r="AA5" i="14"/>
  <c r="AA6" i="14"/>
  <c r="AA7" i="14"/>
  <c r="AA8" i="14"/>
  <c r="AA11" i="14"/>
  <c r="AA12" i="14"/>
  <c r="AA13" i="14"/>
  <c r="AA14" i="14"/>
  <c r="AA15" i="14"/>
  <c r="AA16" i="14"/>
  <c r="AA17" i="14"/>
  <c r="AA18" i="14"/>
  <c r="AA19" i="14"/>
  <c r="X4" i="14"/>
  <c r="X5" i="14"/>
  <c r="X6" i="14"/>
  <c r="X7" i="14"/>
  <c r="X8" i="14"/>
  <c r="X11" i="14"/>
  <c r="X12" i="14"/>
  <c r="X13" i="14"/>
  <c r="X14" i="14"/>
  <c r="X15" i="14"/>
  <c r="X16" i="14"/>
  <c r="X17" i="14"/>
  <c r="X18" i="14"/>
  <c r="X19" i="14"/>
  <c r="U4" i="14"/>
  <c r="U5" i="14"/>
  <c r="U6" i="14"/>
  <c r="U7" i="14"/>
  <c r="U8" i="14"/>
  <c r="U11" i="14"/>
  <c r="U12" i="14"/>
  <c r="U13" i="14"/>
  <c r="U14" i="14"/>
  <c r="U15" i="14"/>
  <c r="U16" i="14"/>
  <c r="U17" i="14"/>
  <c r="U18" i="14"/>
  <c r="U19" i="14"/>
  <c r="R4" i="14"/>
  <c r="R5" i="14"/>
  <c r="R6" i="14"/>
  <c r="R7" i="14"/>
  <c r="R8" i="14"/>
  <c r="R11" i="14"/>
  <c r="R12" i="14"/>
  <c r="R13" i="14"/>
  <c r="R14" i="14"/>
  <c r="R15" i="14"/>
  <c r="R16" i="14"/>
  <c r="R17" i="14"/>
  <c r="R18" i="14"/>
  <c r="R19" i="14"/>
  <c r="O4" i="14"/>
  <c r="O5" i="14"/>
  <c r="O6" i="14"/>
  <c r="O7" i="14"/>
  <c r="O8" i="14"/>
  <c r="O11" i="14"/>
  <c r="O12" i="14"/>
  <c r="O13" i="14"/>
  <c r="O14" i="14"/>
  <c r="O15" i="14"/>
  <c r="O16" i="14"/>
  <c r="O17" i="14"/>
  <c r="O18" i="14"/>
  <c r="O19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G41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C4" i="3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AF73" i="20"/>
  <c r="Z73" i="20"/>
  <c r="AC72" i="20"/>
  <c r="AF72" i="20"/>
  <c r="AE72" i="20"/>
  <c r="AG71" i="20"/>
  <c r="AA71" i="20"/>
  <c r="AF71" i="20"/>
  <c r="AD71" i="20"/>
  <c r="AF70" i="20"/>
  <c r="AC70" i="20"/>
  <c r="AB70" i="20"/>
  <c r="AE70" i="20"/>
  <c r="AG70" i="20"/>
  <c r="AD68" i="20"/>
  <c r="AF67" i="20"/>
  <c r="AD67" i="20"/>
  <c r="AC67" i="20"/>
  <c r="AD66" i="20"/>
  <c r="AG66" i="20"/>
  <c r="AA66" i="20"/>
  <c r="AB66" i="20"/>
  <c r="AF66" i="20"/>
  <c r="AA65" i="20"/>
  <c r="AF65" i="20"/>
  <c r="Z65" i="20"/>
  <c r="AC64" i="20"/>
  <c r="AF64" i="20"/>
  <c r="AE64" i="20"/>
  <c r="Z64" i="20"/>
  <c r="AG64" i="20"/>
  <c r="AG63" i="20"/>
  <c r="AA63" i="20"/>
  <c r="AE63" i="20"/>
  <c r="AD63" i="20"/>
  <c r="AC63" i="20"/>
  <c r="AD62" i="20"/>
  <c r="AF61" i="20"/>
  <c r="AE61" i="20"/>
  <c r="AC61" i="20"/>
  <c r="AD61" i="20"/>
  <c r="AB61" i="20"/>
  <c r="Z61" i="20"/>
  <c r="AG61" i="20"/>
  <c r="AF60" i="20"/>
  <c r="AE60" i="20"/>
  <c r="AE59" i="20"/>
  <c r="Z59" i="20"/>
  <c r="AB59" i="20"/>
  <c r="AG57" i="20"/>
  <c r="AE55" i="20"/>
  <c r="AD55" i="20"/>
  <c r="AC55" i="20"/>
  <c r="AG55" i="20"/>
  <c r="AA55" i="20"/>
  <c r="AB55" i="20"/>
  <c r="AB54" i="20"/>
  <c r="AG54" i="20"/>
  <c r="AA54" i="20"/>
  <c r="AF54" i="20"/>
  <c r="AE54" i="20"/>
  <c r="Z54" i="20"/>
  <c r="AD54" i="20"/>
  <c r="AB52" i="20"/>
  <c r="Z52" i="20"/>
  <c r="AE52" i="20"/>
  <c r="AD52" i="20"/>
  <c r="AG50" i="20"/>
  <c r="Z50" i="20"/>
  <c r="AE50" i="20"/>
  <c r="AF50" i="20"/>
  <c r="AD50" i="20"/>
  <c r="AD49" i="20"/>
  <c r="AC49" i="20"/>
  <c r="AB49" i="20"/>
  <c r="Z47" i="20"/>
  <c r="AC47" i="20"/>
  <c r="AE47" i="20"/>
  <c r="AF46" i="20"/>
  <c r="Z46" i="20"/>
  <c r="AD46" i="20"/>
  <c r="AE46" i="20"/>
  <c r="AB46" i="20"/>
  <c r="AC46" i="20"/>
  <c r="AG46" i="20"/>
  <c r="AF45" i="20"/>
  <c r="AE45" i="20"/>
  <c r="AD45" i="20"/>
  <c r="AB43" i="20"/>
  <c r="Z43" i="20"/>
  <c r="AE43" i="20"/>
  <c r="AD43" i="20"/>
  <c r="AA42" i="20"/>
  <c r="AC42" i="20"/>
  <c r="AD42" i="20"/>
  <c r="Z42" i="20"/>
  <c r="AB42" i="20"/>
  <c r="AD41" i="20"/>
  <c r="AC41" i="20"/>
  <c r="AB40" i="20"/>
  <c r="AG40" i="20"/>
  <c r="AA40" i="20"/>
  <c r="AA39" i="20"/>
  <c r="AG39" i="20"/>
  <c r="Z39" i="20"/>
  <c r="AE39" i="20"/>
  <c r="AF39" i="20"/>
  <c r="AC39" i="20"/>
  <c r="AB39" i="20"/>
  <c r="Z38" i="20"/>
  <c r="AD38" i="20"/>
  <c r="AG37" i="20"/>
  <c r="Z36" i="20"/>
  <c r="AD35" i="20"/>
  <c r="AF35" i="20"/>
  <c r="AG35" i="20"/>
  <c r="AB34" i="20"/>
  <c r="AA34" i="20"/>
  <c r="AG34" i="20"/>
  <c r="AD34" i="20"/>
  <c r="AB33" i="20"/>
  <c r="AE33" i="20"/>
  <c r="AE32" i="20"/>
  <c r="AA32" i="20"/>
  <c r="AA31" i="20"/>
  <c r="AE31" i="20"/>
  <c r="AC31" i="20"/>
  <c r="Z31" i="20"/>
  <c r="AF30" i="20"/>
  <c r="Z30" i="20"/>
  <c r="AC30" i="20"/>
  <c r="AA30" i="20"/>
  <c r="AE30" i="20"/>
  <c r="AB29" i="20"/>
  <c r="AG29" i="20"/>
  <c r="Z29" i="20"/>
  <c r="AA29" i="20"/>
  <c r="AE29" i="20"/>
  <c r="AC29" i="20"/>
  <c r="AE28" i="20"/>
  <c r="AA28" i="20"/>
  <c r="AD28" i="20"/>
  <c r="AC28" i="20"/>
  <c r="AF28" i="20"/>
  <c r="AG27" i="20"/>
  <c r="AA27" i="20"/>
  <c r="AF26" i="20"/>
  <c r="AF74" i="20"/>
  <c r="AE74" i="20"/>
  <c r="Z74" i="20"/>
  <c r="AD74" i="20"/>
  <c r="AC74" i="20"/>
  <c r="AB74" i="20"/>
  <c r="AG75" i="20"/>
  <c r="AC75" i="20"/>
  <c r="AF75" i="20"/>
  <c r="Z75" i="20"/>
  <c r="AF76" i="20"/>
  <c r="AD76" i="20"/>
  <c r="H12" i="10"/>
  <c r="O24" i="3"/>
  <c r="G48" i="3"/>
  <c r="K49" i="3"/>
  <c r="G25" i="3"/>
  <c r="C49" i="3"/>
  <c r="H4" i="10"/>
  <c r="O49" i="3"/>
  <c r="O23" i="3"/>
  <c r="C50" i="3"/>
  <c r="K48" i="3"/>
  <c r="O50" i="3"/>
  <c r="K23" i="3"/>
  <c r="C22" i="3"/>
  <c r="C24" i="3"/>
  <c r="C23" i="3"/>
  <c r="C25" i="3"/>
  <c r="G24" i="3"/>
  <c r="G22" i="3"/>
  <c r="G23" i="3"/>
  <c r="K9" i="10"/>
  <c r="N4" i="10"/>
  <c r="O25" i="3"/>
  <c r="E4" i="10"/>
  <c r="K22" i="3"/>
  <c r="K47" i="3"/>
  <c r="K12" i="10"/>
  <c r="B17" i="10"/>
  <c r="K6" i="10"/>
  <c r="E12" i="10"/>
  <c r="K4" i="10"/>
  <c r="B16" i="10"/>
  <c r="H16" i="10"/>
  <c r="H18" i="10"/>
  <c r="K5" i="10"/>
  <c r="K10" i="10"/>
  <c r="K24" i="3"/>
  <c r="E9" i="10"/>
  <c r="O47" i="3"/>
  <c r="B5" i="10"/>
  <c r="E6" i="10"/>
  <c r="N6" i="10"/>
  <c r="E11" i="10"/>
  <c r="E3" i="10"/>
  <c r="K16" i="10"/>
  <c r="H10" i="10"/>
  <c r="K11" i="10"/>
  <c r="C47" i="3"/>
  <c r="E10" i="10"/>
  <c r="O22" i="3"/>
  <c r="H17" i="10"/>
  <c r="G47" i="3"/>
  <c r="G49" i="3"/>
  <c r="H5" i="10"/>
  <c r="E17" i="10"/>
  <c r="P18" i="3"/>
  <c r="H6" i="10"/>
  <c r="K17" i="10"/>
  <c r="B9" i="10"/>
  <c r="B6" i="10"/>
  <c r="K25" i="3"/>
  <c r="B12" i="10"/>
  <c r="N3" i="10"/>
  <c r="K15" i="10"/>
  <c r="E18" i="10"/>
  <c r="E16" i="10"/>
  <c r="B18" i="10"/>
  <c r="H11" i="10"/>
  <c r="O48" i="3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C48" i="3"/>
  <c r="G50" i="3"/>
</calcChain>
</file>

<file path=xl/sharedStrings.xml><?xml version="1.0" encoding="utf-8"?>
<sst xmlns="http://schemas.openxmlformats.org/spreadsheetml/2006/main" count="16735" uniqueCount="2887">
  <si>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</si>
  <si>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</si>
  <si>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</si>
  <si>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</si>
  <si>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</si>
  <si>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</si>
  <si>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</si>
  <si>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</si>
  <si>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</si>
  <si>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</si>
  <si>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</si>
  <si>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</si>
  <si>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</si>
  <si>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</si>
  <si>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</si>
  <si>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</si>
  <si>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</si>
  <si>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</si>
  <si>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</si>
  <si>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</si>
  <si>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</si>
  <si>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</si>
  <si>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</si>
  <si>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</si>
  <si>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</si>
  <si>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</si>
  <si>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</si>
  <si>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</si>
  <si>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</si>
  <si>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</si>
  <si>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</si>
  <si>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</si>
  <si>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</si>
  <si>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</si>
  <si>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</si>
  <si>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</si>
  <si>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</si>
  <si>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Argentina vs Cabo Verde</t>
  </si>
  <si>
    <t>22:00:00Z</t>
  </si>
  <si>
    <t>Argentina</t>
  </si>
  <si>
    <t>Cabo Verde</t>
  </si>
  <si>
    <t>Last 32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</si>
  <si>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</si>
  <si>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</si>
  <si>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</si>
  <si>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</si>
  <si>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</si>
  <si>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</si>
  <si>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</si>
  <si>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</si>
  <si>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</si>
  <si>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</si>
  <si>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</si>
  <si>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</si>
  <si>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</si>
  <si>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</si>
  <si>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</si>
  <si>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</si>
  <si>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</si>
  <si>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</si>
  <si>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</si>
  <si>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</si>
  <si>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</si>
  <si>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</si>
  <si>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</si>
  <si>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</si>
  <si>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</si>
  <si>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</si>
  <si>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</si>
  <si>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</si>
  <si>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</si>
  <si>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</si>
  <si>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</si>
  <si>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</si>
  <si>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</si>
  <si>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</si>
  <si>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</si>
  <si>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</si>
  <si>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</si>
  <si>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</si>
  <si>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</si>
  <si>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</si>
  <si>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</si>
  <si>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</si>
  <si>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</si>
  <si>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</si>
  <si>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</si>
  <si>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</si>
  <si>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</si>
  <si>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</si>
  <si>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</si>
  <si>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</si>
  <si>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</si>
  <si>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</si>
  <si>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</si>
  <si>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</si>
  <si>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</si>
  <si>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</si>
  <si>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</si>
  <si>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</si>
  <si>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</si>
  <si>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</si>
  <si>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</si>
  <si>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</si>
  <si>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</si>
  <si>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</si>
  <si>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</si>
  <si>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</si>
  <si>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</si>
  <si>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</si>
  <si>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</si>
  <si>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</si>
  <si>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</si>
  <si>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</si>
  <si>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</si>
  <si>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</si>
  <si>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</si>
  <si>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</si>
  <si>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</si>
  <si>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</si>
  <si>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</si>
  <si>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</si>
  <si>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</si>
  <si>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</si>
  <si>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</si>
  <si>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</si>
  <si>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</si>
  <si>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</si>
  <si>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</si>
  <si>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</si>
  <si>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</si>
  <si>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</si>
  <si>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</si>
  <si>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</si>
  <si>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</si>
  <si>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</si>
  <si>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</si>
  <si>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</si>
  <si>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</si>
  <si>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</si>
  <si>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</si>
  <si>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</si>
  <si>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</si>
  <si>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</si>
  <si>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</si>
  <si>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</si>
  <si>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</si>
  <si>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</si>
  <si>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</si>
  <si>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</si>
  <si>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</si>
  <si>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</si>
  <si>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</si>
  <si>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</si>
  <si>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</si>
  <si>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</si>
  <si>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</si>
  <si>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</si>
  <si>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</si>
  <si>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</si>
  <si>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</si>
  <si>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</si>
  <si>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</si>
  <si>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</si>
  <si>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</si>
  <si>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</si>
  <si>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</si>
  <si>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</si>
  <si>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</si>
  <si>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</si>
  <si>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</si>
  <si>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</si>
  <si>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</si>
  <si>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</si>
  <si>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</si>
  <si>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</si>
  <si>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</si>
  <si>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</si>
  <si>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</si>
  <si>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</si>
  <si>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</si>
  <si>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</si>
  <si>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</si>
  <si>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</si>
  <si>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</si>
  <si>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</si>
  <si>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</si>
  <si>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</si>
  <si>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</si>
  <si>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</si>
  <si>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</si>
  <si>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</si>
  <si>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</si>
  <si>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</si>
  <si>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</si>
  <si>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</si>
  <si>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</si>
  <si>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</si>
  <si>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</si>
  <si>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</si>
  <si>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</si>
  <si>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</si>
  <si>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</si>
  <si>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</si>
  <si>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</si>
  <si>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</si>
  <si>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</si>
  <si>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</si>
  <si>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</si>
  <si>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</si>
  <si>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</si>
  <si>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</si>
  <si>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</si>
  <si>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</si>
  <si>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</si>
  <si>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</si>
  <si>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</si>
  <si>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</si>
  <si>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</si>
  <si>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</si>
  <si>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</si>
  <si>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</si>
  <si>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</si>
  <si>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</si>
  <si>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</si>
  <si>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</si>
  <si>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</si>
  <si>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</si>
  <si>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</si>
  <si>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</si>
  <si>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</si>
  <si>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</si>
  <si>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</si>
  <si>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</si>
  <si>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</si>
  <si>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</si>
  <si>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</si>
  <si>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</si>
  <si>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</si>
  <si>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</si>
  <si>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</si>
  <si>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</si>
  <si>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</si>
  <si>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</si>
  <si>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</si>
  <si>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</si>
  <si>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</si>
  <si>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</si>
  <si>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</si>
  <si>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</si>
  <si>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</si>
  <si>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</si>
  <si>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</si>
  <si>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</si>
  <si>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</si>
  <si>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</si>
  <si>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</si>
  <si>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</si>
  <si>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</si>
  <si>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</si>
  <si>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</si>
  <si>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</si>
  <si>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</si>
  <si>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</si>
  <si>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</si>
  <si>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</si>
  <si>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</si>
  <si>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</si>
  <si>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</si>
  <si>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</si>
  <si>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</si>
  <si>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</si>
  <si>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</si>
  <si>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</si>
  <si>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</si>
  <si>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</si>
  <si>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</si>
  <si>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</si>
  <si>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</si>
  <si>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</si>
  <si>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</si>
  <si>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</si>
  <si>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</si>
  <si>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</si>
  <si>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</si>
  <si>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</si>
  <si>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</si>
  <si>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</si>
  <si>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</si>
  <si>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</si>
  <si>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</si>
  <si>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</si>
  <si>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</si>
  <si>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</si>
  <si>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</si>
  <si>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</si>
  <si>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</si>
  <si>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</si>
  <si>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</si>
  <si>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</si>
  <si>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</si>
  <si>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</si>
  <si>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</si>
  <si>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</si>
  <si>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</si>
  <si>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</si>
  <si>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</si>
  <si>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</si>
  <si>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</si>
  <si>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</si>
  <si>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</si>
  <si>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</si>
  <si>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</si>
  <si>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</si>
  <si>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</si>
  <si>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</si>
  <si>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</si>
  <si>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</si>
  <si>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</si>
  <si>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</si>
  <si>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</si>
  <si>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</si>
  <si>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</si>
  <si>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</si>
  <si>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</si>
  <si>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</si>
  <si>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</si>
  <si>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</si>
  <si>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</si>
  <si>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</si>
  <si>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</si>
  <si>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</si>
  <si>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</si>
  <si>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</si>
  <si>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</si>
  <si>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</si>
  <si>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</si>
  <si>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</si>
  <si>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</si>
  <si>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</si>
  <si>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</si>
  <si>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</si>
  <si>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</si>
  <si>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</si>
  <si>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</si>
  <si>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</si>
  <si>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</si>
  <si>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</si>
  <si>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</si>
  <si>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</si>
  <si>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</si>
  <si>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</si>
  <si>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</si>
  <si>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</si>
  <si>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</si>
  <si>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</si>
  <si>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</si>
  <si>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</si>
  <si>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</si>
  <si>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</si>
  <si>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</si>
  <si>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</si>
  <si>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</si>
  <si>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</si>
  <si>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</si>
  <si>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</si>
  <si>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</si>
  <si>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</si>
  <si>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</si>
  <si>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</si>
  <si>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</si>
  <si>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</si>
  <si>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</si>
  <si>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</si>
  <si>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</si>
  <si>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</si>
  <si>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</si>
  <si>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</si>
  <si>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</si>
  <si>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</si>
  <si>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</si>
  <si>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</si>
  <si>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</si>
  <si>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</si>
  <si>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</si>
  <si>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</si>
  <si>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</si>
  <si>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</si>
  <si>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</si>
  <si>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</si>
  <si>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</si>
  <si>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</si>
  <si>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</si>
  <si>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</si>
  <si>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</si>
  <si>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</si>
  <si>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</si>
  <si>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</si>
  <si>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</si>
  <si>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</si>
  <si>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</si>
  <si>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</si>
  <si>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</si>
  <si>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</si>
  <si>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</si>
  <si>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</si>
  <si>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</si>
  <si>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</si>
  <si>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</si>
  <si>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</si>
  <si>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</si>
  <si>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</si>
  <si>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</si>
  <si>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</si>
  <si>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</si>
  <si>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</si>
  <si>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</si>
  <si>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</si>
  <si>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</si>
  <si>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</si>
  <si>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</si>
  <si>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</si>
  <si>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</si>
  <si>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</si>
  <si>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</si>
  <si>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</si>
  <si>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</si>
  <si>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</si>
  <si>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</si>
  <si>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</si>
  <si>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</si>
  <si>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</si>
  <si>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</si>
  <si>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</si>
  <si>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</si>
  <si>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</si>
  <si>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</si>
  <si>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</si>
  <si>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</si>
  <si>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</si>
  <si>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</si>
  <si>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</si>
  <si>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</si>
  <si>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</si>
  <si>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</si>
  <si>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</si>
  <si>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</si>
  <si>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</si>
  <si>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</si>
  <si>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</si>
  <si>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</si>
  <si>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</si>
  <si>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</si>
  <si>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</si>
  <si>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</si>
  <si>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</si>
  <si>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</si>
  <si>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</si>
  <si>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</si>
  <si>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</si>
  <si>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</si>
  <si>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</si>
  <si>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</si>
  <si>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</si>
  <si>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</si>
  <si>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</si>
  <si>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</si>
  <si>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</si>
  <si>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</si>
  <si>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</si>
  <si>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</si>
  <si>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</si>
  <si>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</si>
  <si>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</si>
  <si>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</si>
  <si>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</si>
  <si>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</si>
  <si>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</si>
  <si>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</si>
  <si>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</si>
  <si>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</si>
  <si>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</si>
  <si>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</si>
  <si>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</si>
  <si>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</si>
  <si>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</si>
  <si>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</si>
  <si>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</si>
  <si>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</si>
  <si>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</si>
  <si>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</si>
  <si>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</si>
  <si>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</si>
  <si>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</si>
  <si>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</si>
  <si>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</si>
  <si>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</si>
  <si>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</si>
  <si>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</si>
  <si>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</si>
  <si>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</si>
  <si>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</si>
  <si>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</si>
  <si>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</si>
  <si>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</si>
  <si>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</si>
  <si>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</si>
  <si>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</si>
  <si>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</si>
  <si>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</si>
  <si>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</si>
  <si>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</si>
  <si>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</si>
  <si>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</si>
  <si>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</si>
  <si>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</si>
  <si>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</si>
  <si>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</si>
  <si>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</si>
  <si>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</si>
  <si>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</si>
  <si>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</si>
  <si>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</si>
  <si>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</si>
  <si>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</si>
  <si>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</si>
  <si>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</si>
  <si>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</si>
  <si>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</si>
  <si>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</si>
  <si>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</si>
  <si>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</si>
  <si>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</si>
  <si>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</si>
  <si>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</si>
  <si>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</si>
  <si>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</si>
  <si>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</si>
  <si>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</si>
  <si>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</si>
  <si>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</si>
  <si>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</si>
  <si>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</si>
  <si>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</si>
  <si>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</si>
  <si>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</si>
  <si>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</si>
  <si>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</si>
  <si>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</si>
  <si>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</si>
  <si>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</si>
  <si>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</si>
  <si>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</si>
  <si>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</si>
  <si>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</si>
  <si>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</si>
  <si>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</si>
  <si>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</si>
  <si>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</si>
  <si>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</si>
  <si>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</si>
  <si>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</si>
  <si>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</si>
  <si>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</si>
  <si>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</si>
  <si>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</si>
  <si>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</si>
  <si>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</si>
  <si>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</si>
  <si>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</si>
  <si>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</si>
  <si>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</si>
  <si>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</si>
  <si>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</si>
  <si>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</si>
  <si>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</si>
  <si>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</si>
  <si>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</si>
  <si>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</si>
  <si>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</si>
  <si>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</si>
  <si>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</si>
  <si>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</si>
  <si>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</si>
  <si>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</si>
  <si>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</si>
  <si>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</si>
  <si>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</si>
  <si>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</si>
  <si>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</si>
  <si>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</si>
  <si>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</si>
  <si>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</si>
  <si>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</si>
  <si>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</si>
  <si>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</si>
  <si>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</si>
  <si>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</si>
  <si>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</si>
  <si>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</si>
  <si>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</si>
  <si>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</si>
  <si>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</si>
  <si>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</si>
  <si>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</si>
  <si>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</si>
  <si>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</si>
  <si>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</si>
  <si>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</si>
  <si>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</si>
  <si>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</si>
  <si>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</si>
  <si>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</si>
  <si>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</si>
  <si>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</si>
  <si>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</si>
  <si>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</si>
  <si>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</si>
  <si>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</si>
  <si>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</si>
  <si>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</si>
  <si>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</si>
  <si>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</si>
  <si>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</si>
  <si>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</si>
  <si>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</si>
  <si>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</si>
  <si>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</si>
  <si>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</si>
  <si>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</si>
  <si>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</si>
  <si>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</si>
  <si>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</si>
  <si>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</si>
  <si>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</si>
  <si>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</si>
  <si>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</si>
  <si>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</si>
  <si>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</si>
  <si>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</si>
  <si>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</si>
  <si>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</si>
  <si>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</si>
  <si>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</si>
  <si>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</si>
  <si>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</si>
  <si>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</si>
  <si>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</si>
  <si>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</si>
  <si>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</si>
  <si>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</si>
  <si>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</si>
  <si>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</si>
  <si>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</si>
  <si>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</si>
  <si>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</si>
  <si>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</si>
  <si>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</si>
  <si>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</si>
  <si>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</si>
  <si>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</si>
  <si>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</si>
  <si>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</si>
  <si>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</si>
  <si>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</si>
  <si>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</si>
  <si>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</si>
  <si>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</si>
  <si>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</si>
  <si>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</si>
  <si>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</si>
  <si>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</si>
  <si>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</si>
  <si>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</si>
  <si>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</si>
  <si>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</si>
  <si>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</si>
  <si>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</si>
  <si>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</si>
  <si>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</si>
  <si>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</si>
  <si>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</si>
  <si>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</si>
  <si>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</si>
  <si>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</si>
  <si>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</si>
  <si>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</si>
  <si>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</si>
  <si>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</si>
  <si>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</si>
  <si>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</si>
  <si>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</si>
  <si>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</si>
  <si>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</si>
  <si>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</si>
  <si>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</si>
  <si>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</si>
  <si>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</si>
  <si>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</si>
  <si>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</si>
  <si>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</si>
  <si>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</si>
  <si>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</si>
  <si>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</si>
  <si>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</si>
  <si>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</si>
  <si>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</si>
  <si>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</si>
  <si>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</si>
  <si>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</si>
  <si>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</si>
  <si>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</si>
  <si>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</si>
  <si>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</si>
  <si>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</si>
  <si>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</si>
  <si>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</si>
  <si>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</si>
  <si>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</si>
  <si>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</si>
  <si>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</si>
  <si>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</si>
  <si>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</si>
  <si>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</si>
  <si>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</si>
  <si>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</si>
  <si>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</si>
  <si>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</si>
  <si>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</si>
  <si>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</si>
  <si>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</si>
  <si>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</si>
  <si>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</si>
  <si>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</si>
  <si>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</si>
  <si>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</si>
  <si>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</si>
  <si>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</si>
  <si>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</si>
  <si>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</si>
  <si>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</si>
  <si>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</si>
  <si>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</si>
  <si>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</si>
  <si>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</si>
  <si>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</si>
  <si>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</si>
  <si>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</si>
  <si>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</si>
  <si>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</si>
  <si>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</si>
  <si>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</si>
  <si>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</si>
  <si>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</si>
  <si>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</si>
  <si>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</si>
  <si>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</si>
  <si>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</si>
  <si>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</si>
  <si>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</si>
  <si>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</si>
  <si>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</si>
  <si>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</si>
  <si>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</si>
  <si>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</si>
  <si>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</si>
  <si>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</si>
  <si>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</si>
  <si>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</si>
  <si>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</si>
  <si>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</si>
  <si>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</si>
  <si>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</si>
  <si>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</si>
  <si>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</si>
  <si>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</si>
  <si>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</si>
  <si>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</si>
  <si>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</si>
  <si>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</si>
  <si>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</si>
  <si>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</si>
  <si>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</si>
  <si>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</si>
  <si>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</si>
  <si>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</si>
  <si>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</si>
  <si>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</si>
  <si>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</si>
  <si>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</si>
  <si>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</si>
  <si>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</si>
  <si>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</si>
  <si>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</si>
  <si>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</si>
  <si>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</si>
  <si>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</si>
  <si>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</si>
  <si>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</si>
  <si>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</si>
  <si>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</si>
  <si>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</si>
  <si>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</si>
  <si>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</si>
  <si>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</si>
  <si>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</si>
  <si>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</si>
  <si>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</si>
  <si>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</si>
  <si>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</si>
  <si>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</si>
  <si>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</si>
  <si>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</si>
  <si>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</si>
  <si>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</si>
  <si>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</si>
  <si>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</si>
  <si>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</si>
  <si>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</si>
  <si>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</si>
  <si>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</si>
  <si>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</si>
  <si>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</si>
  <si>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</si>
  <si>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</si>
  <si>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</si>
  <si>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</si>
  <si>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</si>
  <si>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</si>
  <si>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</si>
  <si>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</si>
  <si>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</si>
  <si>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</si>
  <si>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</si>
  <si>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</si>
  <si>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</si>
  <si>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</si>
  <si>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</si>
  <si>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</si>
  <si>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</si>
  <si>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</si>
  <si>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</si>
  <si>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</si>
  <si>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</si>
  <si>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</si>
  <si>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</si>
  <si>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</si>
  <si>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</si>
  <si>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</si>
  <si>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</si>
  <si>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</si>
  <si>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</si>
  <si>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</si>
  <si>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</si>
  <si>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</si>
  <si>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</si>
  <si>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</si>
  <si>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</si>
  <si>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</si>
  <si>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</si>
  <si>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</si>
  <si>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</si>
  <si>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</si>
  <si>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</si>
  <si>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</si>
  <si>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</si>
  <si>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</si>
  <si>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</si>
  <si>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</si>
  <si>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</si>
  <si>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</si>
  <si>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</si>
  <si>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</si>
  <si>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</si>
  <si>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</si>
  <si>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</si>
  <si>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</si>
  <si>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</si>
  <si>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</si>
  <si>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</si>
  <si>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</si>
  <si>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</si>
  <si>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</si>
  <si>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</si>
  <si>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</si>
  <si>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</si>
  <si>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</si>
  <si>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</si>
  <si>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</si>
  <si>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</si>
  <si>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</si>
  <si>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</si>
  <si>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</si>
  <si>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</si>
  <si>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</si>
  <si>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</si>
  <si>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</si>
  <si>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</si>
  <si>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</si>
  <si>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</si>
  <si>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</si>
  <si>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</si>
  <si>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</si>
  <si>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</si>
  <si>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</si>
  <si>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</si>
  <si>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</si>
  <si>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</si>
  <si>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</si>
  <si>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</si>
  <si>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</si>
  <si>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</si>
  <si>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</si>
  <si>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</si>
  <si>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</si>
  <si>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</si>
  <si>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</si>
  <si>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</si>
  <si>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</si>
  <si>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</si>
  <si>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</si>
  <si>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</si>
  <si>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</si>
  <si>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</si>
  <si>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</si>
  <si>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</si>
  <si>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</si>
  <si>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</si>
  <si>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</si>
  <si>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</si>
  <si>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</si>
  <si>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</si>
  <si>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</si>
  <si>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</si>
  <si>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</si>
  <si>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</si>
  <si>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</si>
  <si>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</si>
  <si>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</si>
  <si>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</si>
  <si>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</si>
  <si>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</si>
  <si>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</si>
  <si>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</si>
  <si>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</si>
  <si>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</si>
  <si>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</si>
  <si>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</si>
  <si>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</si>
  <si>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</si>
  <si>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</si>
  <si>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</si>
  <si>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</si>
  <si>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</si>
  <si>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</si>
  <si>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</si>
  <si>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</si>
  <si>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</si>
  <si>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</si>
  <si>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</si>
  <si>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</si>
  <si>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</si>
  <si>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</si>
  <si>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</si>
  <si>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</si>
  <si>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</si>
  <si>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</si>
  <si>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</si>
  <si>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</si>
  <si>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</si>
  <si>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</si>
  <si>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</si>
  <si>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</si>
  <si>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</si>
  <si>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</si>
  <si>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</si>
  <si>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</si>
  <si>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</si>
  <si>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</si>
  <si>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</si>
  <si>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</si>
  <si>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</si>
  <si>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</si>
  <si>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</si>
  <si>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</si>
  <si>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</si>
  <si>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</si>
  <si>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</si>
  <si>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</si>
  <si>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</si>
  <si>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</si>
  <si>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</si>
  <si>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</si>
  <si>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</si>
  <si>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</si>
  <si>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</si>
  <si>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</si>
  <si>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</si>
  <si>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</si>
  <si>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</si>
  <si>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</si>
  <si>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</si>
  <si>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</si>
  <si>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</si>
  <si>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</si>
  <si>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</si>
  <si>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</si>
  <si>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</si>
  <si>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</si>
  <si>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</si>
  <si>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</si>
  <si>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</si>
  <si>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</si>
  <si>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</si>
  <si>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</si>
  <si>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</si>
  <si>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</si>
  <si>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</si>
  <si>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</si>
  <si>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</si>
  <si>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</si>
  <si>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</si>
  <si>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</si>
  <si>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</si>
  <si>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</si>
  <si>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</si>
  <si>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</si>
  <si>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</si>
  <si>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</si>
  <si>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</si>
  <si>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</si>
  <si>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</si>
  <si>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</si>
  <si>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</si>
  <si>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</si>
  <si>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</si>
  <si>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</si>
  <si>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</si>
  <si>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</si>
  <si>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</si>
  <si>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</si>
  <si>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</si>
  <si>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</si>
  <si>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</si>
  <si>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</si>
  <si>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</si>
  <si>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</si>
  <si>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</si>
  <si>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</si>
  <si>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</si>
  <si>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</si>
  <si>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</si>
  <si>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</si>
  <si>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</si>
  <si>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</si>
  <si>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</si>
  <si>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</si>
  <si>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</si>
  <si>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</si>
  <si>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</si>
  <si>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</si>
  <si>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</si>
  <si>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</si>
  <si>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</si>
  <si>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</si>
  <si>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</si>
  <si>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</si>
  <si>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</si>
  <si>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</si>
  <si>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</si>
  <si>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</si>
  <si>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</si>
  <si>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</si>
  <si>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</si>
  <si>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</si>
  <si>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</si>
  <si>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</si>
  <si>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</si>
  <si>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</si>
  <si>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</si>
  <si>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</si>
  <si>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</si>
  <si>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</si>
  <si>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</si>
  <si>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</si>
  <si>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</si>
  <si>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</si>
  <si>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</si>
  <si>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</si>
  <si>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</si>
  <si>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</si>
  <si>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</si>
  <si>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</si>
  <si>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</si>
  <si>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</si>
  <si>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</si>
  <si>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</si>
  <si>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</si>
  <si>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</si>
  <si>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</si>
  <si>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</si>
  <si>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</si>
  <si>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</si>
  <si>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</si>
  <si>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</si>
  <si>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</si>
  <si>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</si>
  <si>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</si>
  <si>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</si>
  <si>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</si>
  <si>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</si>
  <si>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</si>
  <si>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</si>
  <si>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</si>
  <si>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</si>
  <si>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</si>
  <si>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</si>
  <si>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</si>
  <si>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</si>
  <si>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</si>
  <si>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</si>
  <si>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</si>
  <si>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</si>
  <si>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</si>
  <si>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</si>
  <si>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</si>
  <si>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</si>
  <si>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</si>
  <si>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</si>
  <si>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</si>
  <si>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</si>
  <si>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</si>
  <si>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</si>
  <si>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</si>
  <si>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</si>
  <si>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</si>
  <si>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</si>
  <si>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</si>
  <si>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</si>
  <si>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</si>
  <si>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</si>
  <si>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</si>
  <si>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</si>
  <si>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</si>
  <si>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</si>
  <si>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</si>
  <si>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</si>
  <si>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</si>
  <si>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</si>
  <si>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</si>
  <si>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</si>
  <si>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</si>
  <si>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</si>
  <si>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</si>
  <si>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</si>
  <si>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</si>
  <si>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</si>
  <si>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</si>
  <si>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</si>
  <si>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</si>
  <si>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</si>
  <si>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</si>
  <si>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</si>
  <si>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</si>
  <si>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</si>
  <si>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</si>
  <si>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</si>
  <si>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</si>
  <si>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</si>
  <si>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</si>
  <si>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</si>
  <si>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</si>
  <si>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</si>
  <si>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</si>
  <si>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</si>
  <si>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</si>
  <si>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</si>
  <si>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</si>
  <si>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</si>
  <si>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</si>
  <si>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</si>
  <si>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</si>
  <si>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</si>
  <si>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</si>
  <si>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</si>
  <si>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</si>
  <si>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</si>
  <si>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</si>
  <si>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</si>
  <si>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</si>
  <si>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</si>
  <si>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</si>
  <si>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</si>
  <si>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</si>
  <si>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</si>
  <si>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</si>
  <si>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</si>
  <si>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</si>
  <si>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</si>
  <si>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</si>
  <si>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</si>
  <si>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</si>
  <si>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</si>
  <si>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</si>
  <si>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</si>
  <si>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</si>
  <si>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</si>
  <si>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</si>
  <si>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</si>
  <si>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</si>
  <si>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</si>
  <si>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</si>
  <si>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</si>
  <si>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</si>
  <si>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</si>
  <si>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</si>
  <si>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</si>
  <si>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</si>
  <si>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</si>
  <si>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</si>
  <si>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</si>
  <si>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</si>
  <si>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</si>
  <si>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</si>
  <si>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</si>
  <si>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</si>
  <si>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</si>
  <si>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</si>
  <si>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</si>
  <si>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</si>
  <si>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</si>
  <si>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</si>
  <si>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</si>
  <si>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</si>
  <si>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</si>
  <si>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</si>
  <si>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</si>
  <si>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</si>
  <si>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</si>
  <si>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</si>
  <si>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</si>
  <si>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</si>
  <si>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</si>
  <si>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</si>
  <si>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</si>
  <si>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</si>
  <si>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</si>
  <si>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</si>
  <si>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</si>
  <si>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</si>
  <si>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</si>
  <si>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</si>
  <si>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</si>
  <si>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</si>
  <si>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</si>
  <si>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</si>
  <si>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</si>
  <si>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</si>
  <si>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</si>
  <si>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</si>
  <si>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</si>
  <si>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</si>
  <si>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</si>
  <si>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</si>
  <si>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</si>
  <si>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</si>
  <si>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</si>
  <si>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</si>
  <si>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</si>
  <si>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</si>
  <si>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</si>
  <si>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</si>
  <si>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</si>
  <si>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</si>
  <si>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</si>
  <si>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</si>
  <si>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</si>
  <si>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</si>
  <si>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</si>
  <si>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</si>
  <si>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</si>
  <si>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</si>
  <si>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</si>
  <si>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</si>
  <si>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</si>
  <si>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</si>
  <si>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</si>
  <si>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</si>
  <si>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</si>
  <si>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</si>
  <si>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</si>
  <si>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</si>
  <si>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</si>
  <si>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</si>
  <si>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</si>
  <si>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</si>
  <si>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</si>
  <si>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</si>
  <si>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</si>
  <si>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</si>
  <si>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</si>
  <si>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</si>
  <si>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</si>
  <si>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</si>
  <si>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</si>
  <si>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</si>
  <si>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</si>
  <si>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</si>
  <si>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</si>
  <si>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</si>
  <si>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</si>
  <si>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</si>
  <si>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</si>
  <si>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</si>
  <si>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</si>
  <si>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</si>
  <si>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</si>
  <si>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</si>
  <si>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</si>
  <si>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</si>
  <si>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</si>
  <si>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</si>
  <si>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</si>
  <si>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</si>
  <si>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</si>
  <si>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</si>
  <si>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</si>
  <si>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</si>
  <si>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</si>
  <si>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</si>
  <si>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</si>
  <si>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</si>
  <si>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</si>
  <si>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</si>
  <si>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</si>
  <si>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</si>
  <si>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</si>
  <si>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</si>
  <si>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</si>
  <si>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</si>
  <si>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</si>
  <si>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</si>
  <si>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</si>
  <si>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</si>
  <si>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</si>
  <si>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</si>
  <si>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</si>
  <si>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</si>
  <si>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</si>
  <si>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</si>
  <si>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</si>
  <si>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</si>
  <si>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</si>
  <si>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</si>
  <si>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</si>
  <si>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</si>
  <si>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</si>
  <si>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</si>
  <si>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</si>
  <si>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</si>
  <si>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</si>
  <si>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</si>
  <si>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</si>
  <si>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</si>
  <si>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</si>
  <si>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</si>
  <si>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</si>
  <si>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</si>
  <si>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</si>
  <si>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</si>
  <si>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</si>
  <si>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</si>
  <si>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</si>
  <si>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</si>
  <si>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</si>
  <si>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</si>
  <si>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</si>
  <si>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</si>
  <si>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</si>
  <si>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</si>
  <si>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</si>
  <si>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</si>
  <si>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</si>
  <si>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</si>
  <si>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</si>
  <si>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</si>
  <si>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</si>
  <si>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</si>
  <si>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</si>
  <si>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</si>
  <si>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</si>
  <si>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</si>
  <si>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</si>
  <si>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</si>
  <si>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</si>
  <si>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</si>
  <si>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</si>
  <si>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</si>
  <si>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</si>
  <si>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</si>
  <si>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</si>
  <si>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</si>
  <si>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</si>
  <si>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</si>
  <si>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</si>
  <si>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</si>
  <si>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</si>
  <si>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</si>
  <si>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</si>
  <si>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</si>
  <si>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</si>
  <si>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</si>
  <si>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</si>
  <si>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</si>
  <si>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</si>
  <si>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</si>
  <si>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</si>
  <si>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</si>
  <si>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</si>
  <si>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</si>
  <si>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</si>
  <si>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</si>
  <si>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</si>
  <si>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</si>
  <si>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</si>
  <si>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</si>
  <si>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</si>
  <si>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</si>
  <si>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</si>
  <si>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</si>
  <si>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</si>
  <si>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</si>
  <si>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</si>
  <si>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</si>
  <si>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</si>
  <si>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</si>
  <si>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</si>
  <si>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</si>
  <si>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</si>
  <si>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</si>
  <si>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</si>
  <si>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</si>
  <si>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</si>
  <si>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</si>
  <si>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</si>
  <si>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</si>
  <si>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</si>
  <si>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</si>
  <si>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</si>
  <si>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</si>
  <si>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</si>
  <si>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</si>
  <si>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</si>
  <si>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</si>
  <si>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</si>
  <si>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</si>
  <si>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</si>
  <si>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</si>
  <si>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</si>
  <si>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</si>
  <si>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</si>
  <si>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</si>
  <si>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</si>
  <si>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</si>
  <si>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</si>
  <si>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</si>
  <si>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</si>
  <si>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</si>
  <si>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</si>
  <si>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</si>
  <si>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</si>
  <si>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</si>
  <si>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</si>
  <si>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</si>
  <si>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</si>
  <si>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</si>
  <si>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</si>
  <si>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</si>
  <si>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</si>
  <si>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</si>
  <si>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</si>
  <si>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</si>
  <si>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</si>
  <si>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</si>
  <si>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</si>
  <si>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</si>
  <si>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</si>
  <si>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</si>
  <si>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</si>
  <si>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</si>
  <si>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</si>
  <si>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</si>
  <si>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</si>
  <si>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</si>
  <si>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</si>
  <si>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</si>
  <si>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</si>
  <si>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</si>
  <si>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</si>
  <si>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</si>
  <si>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</si>
  <si>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</si>
  <si>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</si>
  <si>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</si>
  <si>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</si>
  <si>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</si>
  <si>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</si>
  <si>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</si>
  <si>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</si>
  <si>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</si>
  <si>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</si>
  <si>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</si>
  <si>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</si>
  <si>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</si>
  <si>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</si>
  <si>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</si>
  <si>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</si>
  <si>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</si>
  <si>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</si>
  <si>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</si>
  <si>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</si>
  <si>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</si>
  <si>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</si>
  <si>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</si>
  <si>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</si>
  <si>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</si>
  <si>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</si>
  <si>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</si>
  <si>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</si>
  <si>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</si>
  <si>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</si>
  <si>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</si>
  <si>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</si>
  <si>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</si>
  <si>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</si>
  <si>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</si>
  <si>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</si>
  <si>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</si>
  <si>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</si>
  <si>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</si>
  <si>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</si>
  <si>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</si>
  <si>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</si>
  <si>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</si>
  <si>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</si>
  <si>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</si>
  <si>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</si>
  <si>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</si>
  <si>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</si>
  <si>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</si>
  <si>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</si>
  <si>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</si>
  <si>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</si>
  <si>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</si>
  <si>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</si>
  <si>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</si>
  <si>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</si>
  <si>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</si>
  <si>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</si>
  <si>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</si>
  <si>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</si>
  <si>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</si>
  <si>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</si>
  <si>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</si>
  <si>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</si>
  <si>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</si>
  <si>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</si>
  <si>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</si>
  <si>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</si>
  <si>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</si>
  <si>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</si>
  <si>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</si>
  <si>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</si>
  <si>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</si>
  <si>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</si>
  <si>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</si>
  <si>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</si>
  <si>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</si>
  <si>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</si>
  <si>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</si>
  <si>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</si>
  <si>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</si>
  <si>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</si>
  <si>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</si>
  <si>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</si>
  <si>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</si>
  <si>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</si>
  <si>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</si>
  <si>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</si>
  <si>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</si>
  <si>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</si>
  <si>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</si>
  <si>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</si>
  <si>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</si>
  <si>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</si>
  <si>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</si>
  <si>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</si>
  <si>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</si>
  <si>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</si>
  <si>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</si>
  <si>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</si>
  <si>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</si>
  <si>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</si>
  <si>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</si>
  <si>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</si>
  <si>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</si>
  <si>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</si>
  <si>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</si>
  <si>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</si>
  <si>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</si>
  <si>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</si>
  <si>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</si>
  <si>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</si>
  <si>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</si>
  <si>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</si>
  <si>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</si>
  <si>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</si>
  <si>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</si>
  <si>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</si>
  <si>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</si>
  <si>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</si>
  <si>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</si>
  <si>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</si>
  <si>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</si>
  <si>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</si>
  <si>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</si>
  <si>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</si>
  <si>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</si>
  <si>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</si>
  <si>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</si>
  <si>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</si>
  <si>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</si>
  <si>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</si>
  <si>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</si>
  <si>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</si>
  <si>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</si>
  <si>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</si>
  <si>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</si>
  <si>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</si>
  <si>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</si>
  <si>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</si>
  <si>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</si>
  <si>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</si>
  <si>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</si>
  <si>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</si>
  <si>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</si>
  <si>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</si>
  <si>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</si>
  <si>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</si>
  <si>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</si>
  <si>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</si>
  <si>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</si>
  <si>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</si>
  <si>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</si>
  <si>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</si>
  <si>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</si>
  <si>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</si>
  <si>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</si>
  <si>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</si>
  <si>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</si>
  <si>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</si>
  <si>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</si>
  <si>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</si>
  <si>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</si>
  <si>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</si>
  <si>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</si>
  <si>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</si>
  <si>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</si>
  <si>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</si>
  <si>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</si>
  <si>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</si>
  <si>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</si>
  <si>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</si>
  <si>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</si>
  <si>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</si>
  <si>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</si>
  <si>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</si>
  <si>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</si>
  <si>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</si>
  <si>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</si>
  <si>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</si>
  <si>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</si>
  <si>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</si>
  <si>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</si>
  <si>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</si>
  <si>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</si>
  <si>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</si>
  <si>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</si>
  <si>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</si>
  <si>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</si>
  <si>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</si>
  <si>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</si>
  <si>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</si>
  <si>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</si>
  <si>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</si>
  <si>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</si>
  <si>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</si>
  <si>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</si>
  <si>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</si>
  <si>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</si>
  <si>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</si>
  <si>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</si>
  <si>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</si>
  <si>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</si>
  <si>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</si>
  <si>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</si>
  <si>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</si>
  <si>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</si>
  <si>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</si>
  <si>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</si>
  <si>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</si>
  <si>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</si>
  <si>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</si>
  <si>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</si>
  <si>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</si>
  <si>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</si>
  <si>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</si>
  <si>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</si>
  <si>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</si>
  <si>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</si>
  <si>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</si>
  <si>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</si>
  <si>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</si>
  <si>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</si>
  <si>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</si>
  <si>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</si>
  <si>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</si>
  <si>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</si>
  <si>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</si>
  <si>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</si>
  <si>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</si>
  <si>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</si>
  <si>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</si>
  <si>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</si>
  <si>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</si>
  <si>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</si>
  <si>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</si>
  <si>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</si>
  <si>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</si>
  <si>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</si>
  <si>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</si>
  <si>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</si>
  <si>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</si>
  <si>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</si>
  <si>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</si>
  <si>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</si>
  <si>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</si>
  <si>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</si>
  <si>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</si>
  <si>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</si>
  <si>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</si>
  <si>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</si>
  <si>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</si>
  <si>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</si>
  <si>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</si>
  <si>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</si>
  <si>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</si>
  <si>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</si>
  <si>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</si>
  <si>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</si>
  <si>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</si>
  <si>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</si>
  <si>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</si>
  <si>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</si>
  <si>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</si>
  <si>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</si>
  <si>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</si>
  <si>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</si>
  <si>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</si>
  <si>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</si>
  <si>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</si>
  <si>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</si>
  <si>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</si>
  <si>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</si>
  <si>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</si>
  <si>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</si>
  <si>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</si>
  <si>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</si>
  <si>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</si>
  <si>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</si>
  <si>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</si>
  <si>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</si>
  <si>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</si>
  <si>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</si>
  <si>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</si>
  <si>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</si>
  <si>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</si>
  <si>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</si>
  <si>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</si>
  <si>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</si>
  <si>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</si>
  <si>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</si>
  <si>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</si>
  <si>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</si>
  <si>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</si>
  <si>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</si>
  <si>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</si>
  <si>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</si>
  <si>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</si>
  <si>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</si>
  <si>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</si>
  <si>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</si>
  <si>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</si>
  <si>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</si>
  <si>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</si>
  <si>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</si>
  <si>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</si>
  <si>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</si>
  <si>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</si>
  <si>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</si>
  <si>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</si>
  <si>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</si>
  <si>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</si>
  <si>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</si>
  <si>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</si>
  <si>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</si>
  <si>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</si>
  <si>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</si>
  <si>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</si>
  <si>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</si>
  <si>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</si>
  <si>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</si>
  <si>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</si>
  <si>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</si>
  <si>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</si>
  <si>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</si>
  <si>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</si>
  <si>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</si>
  <si>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</si>
  <si>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</si>
  <si>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</si>
  <si>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</si>
  <si>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</si>
  <si>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</si>
  <si>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</si>
  <si>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</si>
  <si>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</si>
  <si>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</si>
  <si>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</si>
  <si>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</si>
  <si>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</si>
  <si>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</si>
  <si>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</si>
  <si>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</si>
  <si>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</si>
  <si>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</si>
  <si>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</si>
  <si>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</si>
  <si>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</si>
  <si>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</si>
  <si>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</si>
  <si>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</si>
  <si>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</si>
  <si>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</si>
  <si>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</si>
  <si>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</si>
  <si>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</si>
  <si>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</si>
  <si>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</si>
  <si>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</si>
  <si>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</si>
  <si>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</si>
  <si>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</si>
  <si>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</si>
  <si>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</si>
  <si>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</si>
  <si>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</si>
  <si>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</si>
  <si>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</si>
  <si>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</si>
  <si>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</si>
  <si>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</si>
  <si>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</si>
  <si>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</si>
  <si>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</si>
  <si>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</si>
  <si>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</si>
  <si>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</si>
  <si>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</si>
  <si>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</si>
  <si>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</si>
  <si>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</si>
  <si>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</si>
  <si>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</si>
  <si>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</si>
  <si>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</si>
  <si>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</si>
  <si>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</si>
  <si>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</si>
  <si>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</si>
  <si>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</si>
  <si>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</si>
  <si>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</si>
  <si>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</si>
  <si>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</si>
  <si>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</si>
  <si>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</si>
  <si>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</si>
  <si>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</si>
  <si>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</si>
  <si>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</si>
  <si>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</si>
  <si>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</si>
  <si>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</si>
  <si>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</si>
  <si>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</si>
  <si>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</si>
  <si>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</si>
  <si>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</si>
  <si>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</si>
  <si>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</si>
  <si>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</si>
  <si>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</si>
  <si>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</si>
  <si>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</si>
  <si>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</si>
  <si>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</si>
  <si>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</si>
  <si>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</si>
  <si>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</si>
  <si>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</si>
  <si>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</si>
  <si>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</si>
  <si>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</si>
  <si>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</si>
  <si>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</si>
  <si>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</si>
  <si>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</si>
  <si>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</si>
  <si>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</si>
  <si>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</si>
  <si>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</si>
  <si>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</si>
  <si>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</si>
  <si>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</si>
  <si>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</si>
  <si>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</si>
  <si>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</si>
  <si>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</si>
  <si>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</si>
  <si>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</si>
  <si>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</si>
  <si>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</si>
  <si>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</si>
  <si>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</si>
  <si>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</si>
  <si>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</si>
  <si>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</si>
  <si>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</si>
  <si>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</si>
  <si>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</si>
  <si>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</si>
  <si>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</si>
  <si>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</si>
  <si>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</si>
  <si>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</si>
  <si>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</si>
  <si>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</si>
  <si>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</si>
  <si>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</si>
  <si>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</si>
  <si>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</si>
  <si>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</si>
  <si>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</si>
  <si>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</si>
  <si>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</si>
  <si>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</si>
  <si>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</si>
  <si>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</si>
  <si>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</si>
  <si>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</si>
  <si>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</si>
  <si>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</si>
  <si>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</si>
  <si>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</si>
  <si>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</si>
  <si>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</si>
  <si>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</si>
  <si>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</si>
  <si>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</si>
  <si>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</si>
  <si>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</si>
  <si>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</si>
  <si>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</si>
  <si>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</si>
  <si>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</si>
  <si>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</si>
  <si>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</si>
  <si>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</si>
  <si>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</si>
  <si>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</si>
  <si>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</si>
  <si>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</si>
  <si>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</si>
  <si>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</si>
  <si>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</si>
  <si>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</si>
  <si>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</si>
  <si>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</si>
  <si>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</si>
  <si>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</si>
  <si>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</si>
  <si>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</si>
  <si>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</si>
  <si>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</si>
  <si>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</si>
  <si>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</si>
  <si>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</si>
  <si>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</si>
  <si>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</si>
  <si>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</si>
  <si>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</si>
  <si>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</si>
  <si>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</si>
  <si>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</si>
  <si>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</si>
  <si>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</si>
  <si>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</si>
  <si>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</si>
  <si>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</si>
  <si>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</si>
  <si>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</si>
  <si>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</si>
  <si>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</si>
  <si>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</si>
  <si>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</si>
  <si>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</si>
  <si>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</si>
  <si>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</si>
  <si>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</si>
  <si>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</si>
  <si>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</si>
  <si>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</si>
  <si>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</si>
  <si>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</si>
  <si>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</si>
  <si>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</si>
  <si>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</si>
  <si>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</si>
  <si>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</si>
  <si>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</si>
  <si>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</si>
  <si>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</si>
  <si>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</si>
  <si>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</si>
  <si>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</si>
  <si>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</si>
  <si>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</si>
  <si>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</si>
  <si>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</si>
  <si>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</si>
  <si>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</si>
  <si>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</si>
  <si>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</si>
  <si>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</si>
  <si>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</si>
  <si>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</si>
  <si>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</si>
  <si>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</si>
  <si>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</si>
  <si>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</si>
  <si>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</si>
  <si>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</si>
  <si>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</si>
  <si>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</si>
  <si>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</si>
  <si>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</si>
  <si>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</si>
  <si>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</si>
  <si>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</si>
  <si>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</si>
  <si>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</si>
  <si>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</si>
  <si>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</si>
  <si>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</si>
  <si>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</si>
  <si>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</si>
  <si>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</si>
  <si>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</si>
  <si>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</si>
  <si>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</si>
  <si>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</si>
  <si>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</si>
  <si>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</si>
  <si>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</si>
  <si>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</si>
  <si>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</si>
  <si>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</si>
  <si>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</si>
  <si>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</si>
  <si>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</si>
  <si>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</si>
  <si>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</si>
  <si>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</si>
  <si>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</si>
  <si>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</si>
  <si>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</si>
  <si>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</si>
  <si>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</si>
  <si>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</si>
  <si>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</si>
  <si>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</si>
  <si>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</si>
  <si>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</si>
  <si>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</si>
  <si>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</si>
  <si>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</si>
  <si>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</si>
  <si>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</si>
  <si>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</si>
  <si>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</si>
  <si>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</si>
  <si>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</si>
  <si>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</si>
  <si>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</si>
  <si>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</si>
  <si>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</si>
  <si>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</si>
  <si>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</si>
  <si>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</si>
  <si>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</si>
  <si>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</si>
  <si>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</si>
  <si>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</si>
  <si>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</si>
  <si>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</si>
  <si>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</si>
  <si>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</si>
  <si>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</si>
  <si>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</si>
  <si>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</si>
  <si>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</si>
  <si>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</si>
  <si>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</si>
  <si>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</si>
  <si>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</si>
  <si>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</si>
  <si>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</si>
  <si>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</si>
  <si>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</si>
  <si>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</si>
  <si>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</si>
  <si>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</si>
  <si>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</si>
  <si>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</si>
  <si>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</si>
  <si>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</si>
  <si>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</si>
  <si>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</si>
  <si>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</si>
  <si>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</si>
  <si>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</si>
  <si>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</si>
  <si>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</si>
  <si>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</si>
  <si>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</si>
  <si>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</si>
  <si>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</si>
  <si>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</si>
  <si>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</si>
  <si>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</si>
  <si>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</si>
  <si>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</si>
  <si>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</si>
  <si>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</si>
  <si>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</si>
  <si>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</si>
  <si>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</si>
  <si>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</si>
  <si>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</si>
  <si>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</si>
  <si>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</si>
  <si>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</si>
  <si>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</si>
  <si>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</si>
  <si>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</si>
  <si>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</si>
  <si>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</si>
  <si>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</si>
  <si>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</si>
  <si>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</si>
  <si>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</si>
  <si>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</si>
  <si>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</si>
  <si>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</si>
  <si>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</si>
  <si>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</si>
  <si>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</si>
  <si>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</si>
  <si>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</si>
  <si>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</si>
  <si>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</si>
  <si>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</si>
  <si>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</si>
  <si>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</si>
  <si>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</si>
  <si>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</si>
  <si>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</si>
  <si>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</si>
  <si>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</si>
  <si>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</si>
  <si>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</si>
  <si>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</si>
  <si>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</si>
  <si>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</si>
  <si>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</si>
  <si>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</si>
  <si>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</si>
  <si>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</si>
  <si>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</si>
  <si>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</si>
  <si>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</si>
  <si>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</si>
  <si>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</si>
  <si>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</si>
  <si>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</si>
  <si>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</si>
  <si>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</si>
  <si>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</si>
  <si>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</si>
  <si>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</si>
  <si>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</si>
  <si>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</si>
  <si>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</si>
  <si>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</si>
  <si>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</si>
  <si>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</si>
  <si>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</si>
  <si>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</si>
  <si>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</si>
  <si>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</si>
  <si>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</si>
  <si>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</si>
  <si>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</si>
  <si>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</si>
  <si>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</si>
  <si>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</si>
  <si>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</si>
  <si>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</si>
  <si>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</si>
  <si>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</si>
  <si>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</si>
  <si>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</si>
  <si>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</si>
  <si>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</si>
  <si>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</si>
  <si>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</si>
  <si>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</si>
  <si>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</si>
  <si>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</si>
  <si>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</si>
  <si>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</si>
  <si>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</si>
  <si>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</si>
  <si>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</si>
  <si>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</si>
  <si>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</si>
  <si>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</si>
  <si>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</si>
  <si>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</si>
  <si>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</si>
  <si>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</si>
  <si>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</si>
  <si>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</si>
  <si>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</si>
  <si>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</si>
  <si>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</si>
  <si>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</si>
  <si>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</si>
  <si>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</si>
  <si>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</si>
  <si>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</si>
  <si>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</si>
  <si>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</si>
  <si>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</si>
  <si>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</si>
  <si>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</si>
  <si>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</si>
  <si>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</si>
  <si>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</si>
  <si>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</si>
  <si>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</si>
  <si>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</si>
  <si>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</si>
  <si>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</si>
  <si>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</si>
  <si>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</si>
  <si>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</si>
  <si>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</si>
  <si>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</si>
  <si>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</si>
  <si>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</si>
  <si>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</si>
  <si>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</si>
  <si>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</si>
  <si>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</si>
  <si>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</si>
  <si>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</si>
  <si>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</si>
  <si>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</si>
  <si>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</si>
  <si>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</si>
  <si>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</si>
  <si>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</si>
  <si>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</si>
  <si>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</si>
  <si>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</si>
  <si>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</si>
  <si>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</si>
  <si>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</si>
  <si>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</si>
  <si>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</si>
  <si>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</si>
  <si>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</si>
  <si>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</si>
  <si>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</si>
  <si>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</si>
  <si>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</si>
  <si>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</si>
  <si>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</si>
  <si>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</si>
  <si>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</si>
  <si>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</si>
  <si>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</si>
  <si>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</si>
  <si>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</si>
  <si>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</si>
  <si>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</si>
  <si>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</si>
  <si>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</si>
  <si>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</si>
  <si>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</si>
  <si>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</si>
  <si>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</si>
  <si>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</si>
  <si>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</si>
  <si>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</si>
  <si>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</si>
  <si>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</si>
  <si>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</si>
  <si>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</si>
  <si>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</si>
  <si>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</si>
  <si>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</si>
  <si>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</si>
  <si>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</si>
  <si>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</si>
  <si>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</si>
  <si>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</si>
  <si>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</si>
  <si>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</si>
  <si>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</si>
  <si>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</si>
  <si>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</si>
  <si>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</si>
  <si>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</si>
  <si>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</si>
  <si>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</si>
  <si>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</si>
  <si>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</si>
  <si>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</si>
  <si>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</si>
  <si>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</si>
  <si>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</si>
  <si>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</si>
  <si>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</si>
  <si>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</si>
  <si>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</si>
  <si>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</si>
  <si>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</si>
  <si>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</si>
  <si>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</si>
  <si>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</si>
  <si>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</si>
  <si>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</si>
  <si>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</si>
  <si>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</si>
  <si>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</si>
  <si>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</si>
  <si>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</si>
  <si>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</si>
  <si>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</si>
  <si>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</si>
  <si>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</si>
  <si>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</si>
  <si>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</si>
  <si>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</si>
  <si>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</si>
  <si>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</si>
  <si>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</si>
  <si>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</si>
  <si>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</si>
  <si>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</si>
  <si>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</si>
  <si>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</si>
  <si>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</si>
  <si>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</si>
  <si>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</si>
  <si>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</si>
  <si>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</si>
  <si>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</si>
  <si>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</si>
  <si>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</si>
  <si>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</si>
  <si>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</si>
  <si>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</si>
  <si>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</si>
  <si>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</si>
  <si>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</si>
  <si>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</si>
  <si>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</si>
  <si>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</si>
  <si>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</si>
  <si>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</si>
  <si>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</si>
  <si>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</si>
  <si>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</si>
  <si>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</si>
  <si>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</si>
  <si>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</si>
  <si>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</si>
  <si>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</si>
  <si>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</si>
  <si>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</si>
  <si>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</si>
  <si>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</si>
  <si>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</si>
  <si>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</si>
  <si>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</si>
  <si>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</si>
  <si>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</si>
  <si>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</si>
  <si>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</si>
  <si>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</si>
  <si>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</si>
  <si>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</si>
  <si>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</si>
  <si>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</si>
  <si>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</si>
  <si>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</si>
  <si>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</si>
  <si>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</si>
  <si>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</si>
  <si>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</si>
  <si>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</si>
  <si>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</si>
  <si>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</si>
  <si>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</si>
  <si>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</si>
  <si>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</si>
  <si>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</si>
  <si>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</si>
  <si>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</si>
  <si>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</si>
  <si>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</si>
  <si>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</si>
  <si>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</si>
  <si>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</si>
  <si>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</si>
  <si>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</si>
  <si>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</si>
  <si>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</si>
  <si>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</si>
  <si>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</si>
  <si>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</si>
  <si>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</si>
  <si>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</si>
  <si>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</si>
  <si>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</si>
  <si>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</si>
  <si>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</si>
  <si>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</si>
  <si>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</si>
  <si>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</si>
  <si>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</si>
  <si>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</si>
  <si>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</si>
  <si>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</si>
  <si>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</si>
  <si>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</si>
  <si>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</si>
  <si>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</si>
  <si>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</si>
  <si>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</si>
  <si>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</si>
  <si>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</si>
  <si>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</si>
  <si>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</si>
  <si>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</si>
  <si>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</si>
  <si>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</si>
  <si>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</si>
  <si>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</si>
  <si>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</si>
  <si>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</si>
  <si>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</si>
  <si>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</si>
  <si>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</si>
  <si>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</si>
  <si>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</si>
  <si>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</si>
  <si>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</si>
  <si>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</si>
  <si>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</si>
  <si>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</si>
  <si>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</si>
  <si>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</si>
  <si>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</si>
  <si>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</si>
  <si>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</si>
  <si>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</si>
  <si>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</si>
  <si>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</si>
  <si>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</si>
  <si>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</si>
  <si>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</si>
  <si>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</si>
  <si>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</si>
  <si>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</si>
  <si>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</si>
  <si>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</si>
  <si>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</si>
  <si>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</si>
  <si>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</si>
  <si>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</si>
  <si>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</si>
  <si>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</si>
  <si>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</si>
  <si>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</si>
  <si>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</si>
  <si>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</si>
  <si>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</si>
  <si>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</si>
  <si>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</si>
  <si>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</si>
  <si>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</si>
  <si>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</si>
  <si>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</si>
  <si>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</si>
  <si>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</si>
  <si>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</si>
  <si>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</si>
  <si>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</si>
  <si>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</si>
  <si>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</si>
  <si>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</si>
  <si>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</si>
  <si>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</si>
  <si>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</si>
  <si>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</si>
  <si>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</si>
  <si>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</si>
  <si>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</si>
  <si>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</si>
  <si>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</si>
  <si>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</si>
  <si>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</si>
  <si>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</si>
  <si>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</si>
  <si>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</si>
  <si>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</si>
  <si>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</si>
  <si>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</si>
  <si>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</si>
  <si>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</si>
  <si>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</si>
  <si>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</si>
  <si>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</si>
  <si>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</si>
  <si>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</si>
  <si>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</si>
  <si>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</si>
  <si>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</si>
  <si>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</si>
  <si>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</si>
  <si>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</si>
  <si>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</si>
  <si>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</si>
  <si>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</si>
  <si>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</si>
  <si>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</si>
  <si>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</si>
  <si>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</si>
  <si>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</si>
  <si>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</si>
  <si>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</si>
  <si>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</si>
  <si>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</si>
  <si>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</si>
  <si>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</si>
  <si>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</si>
  <si>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</si>
  <si>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</si>
  <si>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</si>
  <si>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</si>
  <si>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</si>
  <si>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</si>
  <si>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</si>
  <si>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</si>
  <si>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</si>
  <si>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</si>
  <si>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</si>
  <si>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</si>
  <si>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</si>
  <si>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</si>
  <si>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</si>
  <si>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</si>
  <si>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</si>
  <si>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</si>
  <si>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</si>
  <si>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</si>
  <si>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</si>
  <si>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</si>
  <si>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</si>
  <si>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</si>
  <si>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</si>
  <si>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</si>
  <si>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</si>
  <si>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</si>
  <si>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</si>
  <si>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</si>
  <si>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</si>
  <si>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</si>
  <si>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</si>
  <si>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</si>
  <si>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</si>
  <si>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</si>
  <si>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</si>
  <si>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</si>
  <si>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</si>
  <si>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</si>
  <si>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</si>
  <si>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</si>
  <si>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</si>
  <si>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</si>
  <si>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</si>
  <si>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</si>
  <si>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</si>
  <si>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</si>
  <si>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</si>
  <si>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</si>
  <si>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</si>
  <si>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</si>
  <si>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</si>
  <si>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</si>
  <si>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</si>
  <si>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</si>
  <si>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</si>
  <si>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</si>
  <si>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</si>
  <si>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</si>
  <si>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</si>
  <si>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</si>
  <si>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</si>
  <si>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</si>
  <si>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</si>
  <si>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</si>
  <si>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</si>
  <si>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</si>
  <si>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</si>
  <si>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</si>
  <si>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</si>
  <si>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</si>
  <si>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</si>
  <si>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</si>
  <si>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</si>
  <si>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</si>
  <si>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</si>
  <si>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</si>
  <si>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</si>
  <si>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</si>
  <si>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</si>
  <si>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</si>
  <si>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</si>
  <si>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</si>
  <si>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</si>
  <si>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</si>
  <si>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</si>
  <si>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</si>
  <si>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</si>
  <si>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</si>
  <si>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</si>
  <si>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</si>
  <si>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</si>
  <si>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</si>
  <si>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</si>
  <si>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</si>
  <si>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</si>
  <si>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</si>
  <si>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</si>
  <si>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</si>
  <si>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</si>
  <si>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1 Captain 0 Sub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</si>
  <si>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</si>
  <si>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</si>
  <si>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</si>
  <si>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</si>
  <si>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</si>
  <si>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</si>
  <si>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</si>
  <si>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</si>
  <si>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</si>
  <si>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</si>
  <si>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</si>
  <si>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</si>
  <si>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</si>
  <si>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</si>
  <si>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</si>
  <si>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</si>
  <si>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</si>
  <si>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</si>
  <si>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</si>
  <si>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</si>
  <si>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</si>
  <si>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</si>
  <si>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</si>
  <si>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</si>
  <si>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</si>
  <si>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</si>
  <si>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</si>
  <si>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</si>
  <si>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</si>
  <si>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</si>
  <si>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</si>
  <si>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</si>
  <si>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</si>
  <si>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</si>
  <si>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</si>
  <si>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</si>
  <si>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</si>
  <si>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</si>
  <si>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</si>
  <si>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</si>
  <si>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</si>
  <si>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</si>
  <si>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</si>
  <si>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</si>
  <si>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</si>
  <si>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</si>
  <si>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</si>
  <si>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</si>
  <si>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</si>
  <si>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</si>
  <si>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</si>
  <si>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</si>
  <si>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</si>
  <si>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</si>
  <si>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</si>
  <si>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</si>
  <si>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</si>
  <si>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</si>
  <si>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</si>
  <si>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</si>
  <si>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</si>
  <si>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</si>
  <si>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</si>
  <si>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Egypt vs Iran</t>
  </si>
  <si>
    <t>R2</t>
  </si>
  <si>
    <t>Ivory Coast vs Norway</t>
  </si>
  <si>
    <t>USA vs Bosnia &amp; Herzegovina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</si>
  <si>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</si>
  <si>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</si>
  <si>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</si>
  <si>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</si>
  <si>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</si>
  <si>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</si>
  <si>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</si>
  <si>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</si>
  <si>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</si>
  <si>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</si>
  <si>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</si>
  <si>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</si>
  <si>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</si>
  <si>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</si>
  <si>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</si>
  <si>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</si>
  <si>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</si>
  <si>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</si>
  <si>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</si>
  <si>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</si>
  <si>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</si>
  <si>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</si>
  <si>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</si>
  <si>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</si>
  <si>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JAP</t>
  </si>
  <si>
    <t>BOS</t>
  </si>
  <si>
    <t>SOU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</si>
  <si>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</si>
  <si>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</si>
  <si>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</si>
  <si>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</si>
  <si>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</si>
  <si>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</si>
  <si>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</si>
  <si>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</si>
  <si>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</si>
  <si>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</si>
  <si>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</si>
  <si>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</si>
  <si>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</si>
  <si>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</si>
  <si>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</si>
  <si>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</si>
  <si>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</si>
  <si>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</si>
  <si>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</si>
  <si>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</si>
  <si>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</si>
  <si>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</si>
  <si>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</si>
  <si>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SWE</t>
  </si>
  <si>
    <t>BRA</t>
  </si>
  <si>
    <t>FRA</t>
  </si>
  <si>
    <t>NED</t>
  </si>
  <si>
    <t>TUN</t>
  </si>
  <si>
    <t>CZE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</si>
  <si>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</si>
  <si>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</si>
  <si>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</si>
  <si>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</si>
  <si>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</si>
  <si>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</si>
  <si>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</si>
  <si>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</si>
  <si>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</si>
  <si>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</si>
  <si>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</si>
  <si>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</si>
  <si>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</si>
  <si>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</si>
  <si>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</si>
  <si>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</si>
  <si>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</si>
  <si>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</si>
  <si>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</si>
  <si>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</si>
  <si>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</si>
  <si>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</si>
  <si>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</si>
  <si>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</si>
  <si>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</si>
  <si>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</si>
  <si>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</si>
  <si>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</si>
  <si>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</si>
  <si>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</si>
  <si>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</si>
  <si>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</si>
  <si>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</si>
  <si>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</si>
  <si>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</si>
  <si>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</si>
  <si>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cr4e64yry1ttwcjxh2klb4ui2</t>
  </si>
  <si>
    <t>6384gzzxuxs6pvmrn8qx4d7u1</t>
  </si>
  <si>
    <t>6g4cnzr3dh0veul5svzkhmxw4</t>
  </si>
  <si>
    <t>b0me6l44boibnwpbtasxoy02x</t>
  </si>
  <si>
    <t>9c2i7ddl2uh7kuhwq62klkyui</t>
  </si>
  <si>
    <t>3ga7qj3h3dbmqucxmaxhmrjdh</t>
  </si>
  <si>
    <t>R. de Paul</t>
  </si>
  <si>
    <t>CUT</t>
  </si>
  <si>
    <t>out</t>
  </si>
  <si>
    <t>Mexico v Ecuador</t>
  </si>
  <si>
    <t>England v DR Congo</t>
  </si>
  <si>
    <t>Belgium v Senegal</t>
  </si>
  <si>
    <t>Spain v Austria</t>
  </si>
  <si>
    <t>Portugal v Croatia</t>
  </si>
  <si>
    <t>Colombia v Ghana</t>
  </si>
  <si>
    <t>2-3</t>
  </si>
  <si>
    <t>Switzerland v Algeria</t>
  </si>
  <si>
    <t>1-5</t>
  </si>
  <si>
    <t>3-3</t>
  </si>
  <si>
    <t>Canada v Morocco</t>
  </si>
  <si>
    <t>Brazil v Norway</t>
  </si>
  <si>
    <t>Paraguay v France</t>
  </si>
  <si>
    <t>Mexico v England</t>
  </si>
  <si>
    <t>4zrut521fzw9fddqt74pnl756</t>
  </si>
  <si>
    <t>br7zigajqee6fms35zhm1sb8p</t>
  </si>
  <si>
    <t>Portugal v Spain</t>
  </si>
  <si>
    <t>USA v Belgium</t>
  </si>
  <si>
    <t>dodddfi0l5i36vlgbaybhzeqy</t>
  </si>
  <si>
    <t>Argentina v Egypt</t>
  </si>
  <si>
    <t>Switzerland v Colombia</t>
  </si>
  <si>
    <t>0 Captain 0 Sub</t>
  </si>
  <si>
    <t>France v Morocco</t>
  </si>
  <si>
    <t>Norway v England</t>
  </si>
  <si>
    <t>Spain v Belgium</t>
  </si>
  <si>
    <t>Argentina v Switzerland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</si>
</sst>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quotePrefix="1" applyFill="1" applyBorder="1" applyAlignment="1">
      <alignment horizontal="center"/>
    </xf>
    <xf numFmtId="0" fontId="0" fillId="0" borderId="0" xfId="0" quotePrefix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workbookViewId="0">
      <selection activeCell="B7" sqref="B7"/>
    </sheetView>
  </sheetViews>
  <sheetFormatPr defaultColWidth="8.85546875" defaultRowHeight="15" x14ac:dyDescent="0.25"/>
  <cols>
    <col min="1" max="1" width="29.85546875" bestFit="1" customWidth="1"/>
    <col min="2" max="2" width="32.140625" bestFit="1" customWidth="1"/>
    <col min="3" max="3" width="10.42578125" bestFit="1" customWidth="1"/>
    <col min="5" max="5" width="13.42578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B6" t="s">
        <v>2886</v>
      </c>
      <c r="C6" s="47">
        <v>46215</v>
      </c>
      <c r="D6" t="s">
        <v>16</v>
      </c>
      <c r="E6" t="s">
        <v>39</v>
      </c>
      <c r="F6" t="s">
        <v>165</v>
      </c>
      <c r="G6" t="s">
        <v>17</v>
      </c>
    </row>
    <row r="7" spans="1:7" x14ac:dyDescent="0.25">
      <c r="A7" t="s">
        <v>18</v>
      </c>
      <c r="B7" t="s">
        <v>2884</v>
      </c>
      <c r="C7" s="47">
        <v>46214</v>
      </c>
      <c r="D7" t="s">
        <v>11</v>
      </c>
      <c r="E7" t="s">
        <v>66</v>
      </c>
      <c r="F7" t="s">
        <v>109</v>
      </c>
      <c r="G7" t="s">
        <v>17</v>
      </c>
    </row>
    <row r="8" spans="1:7" x14ac:dyDescent="0.25">
      <c r="A8" t="s">
        <v>19</v>
      </c>
      <c r="B8" t="s">
        <v>2885</v>
      </c>
      <c r="C8" s="47">
        <v>46213</v>
      </c>
      <c r="D8" t="s">
        <v>8</v>
      </c>
      <c r="E8" t="s">
        <v>123</v>
      </c>
      <c r="F8" t="s">
        <v>113</v>
      </c>
      <c r="G8" t="s">
        <v>17</v>
      </c>
    </row>
    <row r="9" spans="1:7" x14ac:dyDescent="0.25">
      <c r="A9" t="s">
        <v>20</v>
      </c>
      <c r="B9" t="s">
        <v>2883</v>
      </c>
      <c r="C9" s="47">
        <v>46212</v>
      </c>
      <c r="D9" t="s">
        <v>21</v>
      </c>
      <c r="E9" t="s">
        <v>61</v>
      </c>
      <c r="F9" t="s">
        <v>70</v>
      </c>
      <c r="G9" t="s">
        <v>17</v>
      </c>
    </row>
    <row r="10" spans="1:7" x14ac:dyDescent="0.25">
      <c r="A10" t="s">
        <v>22</v>
      </c>
      <c r="B10" t="s">
        <v>2881</v>
      </c>
      <c r="C10" s="47">
        <v>46210</v>
      </c>
      <c r="D10" t="s">
        <v>21</v>
      </c>
      <c r="E10" t="s">
        <v>165</v>
      </c>
      <c r="F10" t="s">
        <v>100</v>
      </c>
      <c r="G10" t="s">
        <v>23</v>
      </c>
    </row>
    <row r="11" spans="1:7" x14ac:dyDescent="0.25">
      <c r="A11" t="s">
        <v>24</v>
      </c>
      <c r="B11" s="64" t="s">
        <v>2880</v>
      </c>
      <c r="C11" s="47">
        <v>46210</v>
      </c>
      <c r="D11" t="s">
        <v>25</v>
      </c>
      <c r="E11" t="s">
        <v>39</v>
      </c>
      <c r="F11" t="s">
        <v>46</v>
      </c>
      <c r="G11" t="s">
        <v>23</v>
      </c>
    </row>
    <row r="12" spans="1:7" x14ac:dyDescent="0.25">
      <c r="A12" t="s">
        <v>26</v>
      </c>
      <c r="B12" t="s">
        <v>2878</v>
      </c>
      <c r="C12" s="47">
        <v>46210</v>
      </c>
      <c r="D12" t="s">
        <v>27</v>
      </c>
      <c r="E12" t="s">
        <v>2515</v>
      </c>
      <c r="F12" t="s">
        <v>113</v>
      </c>
      <c r="G12" t="s">
        <v>23</v>
      </c>
    </row>
    <row r="13" spans="1:7" x14ac:dyDescent="0.25">
      <c r="A13" t="s">
        <v>28</v>
      </c>
      <c r="B13" t="s">
        <v>2877</v>
      </c>
      <c r="C13" s="47">
        <v>46209</v>
      </c>
      <c r="D13" t="s">
        <v>8</v>
      </c>
      <c r="E13" t="s">
        <v>101</v>
      </c>
      <c r="F13" t="s">
        <v>123</v>
      </c>
      <c r="G13" t="s">
        <v>23</v>
      </c>
    </row>
    <row r="14" spans="1:7" x14ac:dyDescent="0.25">
      <c r="A14" t="s">
        <v>29</v>
      </c>
      <c r="B14" s="61" t="s">
        <v>2874</v>
      </c>
      <c r="C14" s="47">
        <v>46209</v>
      </c>
      <c r="D14" t="s">
        <v>27</v>
      </c>
      <c r="E14" t="s">
        <v>153</v>
      </c>
      <c r="F14" t="s">
        <v>109</v>
      </c>
      <c r="G14" t="s">
        <v>23</v>
      </c>
    </row>
    <row r="15" spans="1:7" x14ac:dyDescent="0.25">
      <c r="A15" t="s">
        <v>30</v>
      </c>
      <c r="B15" s="61" t="s">
        <v>2872</v>
      </c>
      <c r="C15" s="47">
        <v>46208</v>
      </c>
      <c r="D15" t="s">
        <v>21</v>
      </c>
      <c r="E15" t="s">
        <v>78</v>
      </c>
      <c r="F15" t="s">
        <v>66</v>
      </c>
      <c r="G15" t="s">
        <v>23</v>
      </c>
    </row>
    <row r="16" spans="1:7" x14ac:dyDescent="0.25">
      <c r="A16" t="s">
        <v>31</v>
      </c>
      <c r="B16" s="61" t="s">
        <v>2873</v>
      </c>
      <c r="C16" s="47">
        <v>46207</v>
      </c>
      <c r="D16" t="s">
        <v>11</v>
      </c>
      <c r="E16" t="s">
        <v>75</v>
      </c>
      <c r="F16" t="s">
        <v>61</v>
      </c>
      <c r="G16" t="s">
        <v>23</v>
      </c>
    </row>
    <row r="17" spans="1:7" x14ac:dyDescent="0.25">
      <c r="A17" t="s">
        <v>32</v>
      </c>
      <c r="B17" s="61" t="s">
        <v>2871</v>
      </c>
      <c r="C17" s="47">
        <v>46207</v>
      </c>
      <c r="D17" t="s">
        <v>33</v>
      </c>
      <c r="E17" t="s">
        <v>83</v>
      </c>
      <c r="F17" t="s">
        <v>70</v>
      </c>
      <c r="G17" t="s">
        <v>23</v>
      </c>
    </row>
    <row r="18" spans="1:7" x14ac:dyDescent="0.25">
      <c r="A18" t="s">
        <v>34</v>
      </c>
      <c r="B18" s="62" t="s">
        <v>2866</v>
      </c>
      <c r="C18" s="47">
        <v>46207</v>
      </c>
      <c r="D18" t="s">
        <v>35</v>
      </c>
      <c r="E18" t="s">
        <v>100</v>
      </c>
      <c r="F18" t="s">
        <v>105</v>
      </c>
      <c r="G18" t="s">
        <v>41</v>
      </c>
    </row>
    <row r="19" spans="1:7" x14ac:dyDescent="0.25">
      <c r="A19" t="s">
        <v>36</v>
      </c>
      <c r="B19" t="s">
        <v>37</v>
      </c>
      <c r="C19" s="47">
        <v>46206</v>
      </c>
      <c r="D19" t="s">
        <v>38</v>
      </c>
      <c r="E19" t="s">
        <v>39</v>
      </c>
      <c r="F19" t="s">
        <v>40</v>
      </c>
      <c r="G19" t="s">
        <v>41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41</v>
      </c>
    </row>
    <row r="21" spans="1:7" x14ac:dyDescent="0.25">
      <c r="A21" t="s">
        <v>47</v>
      </c>
      <c r="B21" t="s">
        <v>2868</v>
      </c>
      <c r="C21" s="47">
        <v>46206</v>
      </c>
      <c r="D21" t="s">
        <v>48</v>
      </c>
      <c r="E21" t="s">
        <v>165</v>
      </c>
      <c r="F21" t="s">
        <v>87</v>
      </c>
      <c r="G21" t="s">
        <v>41</v>
      </c>
    </row>
    <row r="22" spans="1:7" x14ac:dyDescent="0.25">
      <c r="A22" t="s">
        <v>49</v>
      </c>
      <c r="B22" t="s">
        <v>2865</v>
      </c>
      <c r="C22" s="47">
        <v>46205</v>
      </c>
      <c r="D22" t="s">
        <v>50</v>
      </c>
      <c r="E22" t="s">
        <v>101</v>
      </c>
      <c r="F22" t="s">
        <v>104</v>
      </c>
      <c r="G22" t="s">
        <v>41</v>
      </c>
    </row>
    <row r="23" spans="1:7" x14ac:dyDescent="0.25">
      <c r="A23" t="s">
        <v>51</v>
      </c>
      <c r="B23" t="s">
        <v>2864</v>
      </c>
      <c r="C23" s="47">
        <v>46205</v>
      </c>
      <c r="D23" t="s">
        <v>8</v>
      </c>
      <c r="E23" t="s">
        <v>123</v>
      </c>
      <c r="F23" t="s">
        <v>88</v>
      </c>
      <c r="G23" t="s">
        <v>41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41</v>
      </c>
    </row>
    <row r="25" spans="1:7" x14ac:dyDescent="0.25">
      <c r="A25" t="s">
        <v>56</v>
      </c>
      <c r="B25" t="s">
        <v>2863</v>
      </c>
      <c r="C25" s="47">
        <v>46204</v>
      </c>
      <c r="D25" t="s">
        <v>21</v>
      </c>
      <c r="E25" t="s">
        <v>113</v>
      </c>
      <c r="F25" t="s">
        <v>126</v>
      </c>
      <c r="G25" t="s">
        <v>41</v>
      </c>
    </row>
    <row r="26" spans="1:7" x14ac:dyDescent="0.25">
      <c r="A26" t="s">
        <v>57</v>
      </c>
      <c r="B26" t="s">
        <v>2862</v>
      </c>
      <c r="C26" s="47">
        <v>46204</v>
      </c>
      <c r="D26" t="s">
        <v>25</v>
      </c>
      <c r="E26" t="s">
        <v>109</v>
      </c>
      <c r="F26" t="s">
        <v>2802</v>
      </c>
      <c r="G26" t="s">
        <v>41</v>
      </c>
    </row>
    <row r="27" spans="1:7" x14ac:dyDescent="0.25">
      <c r="A27" t="s">
        <v>58</v>
      </c>
      <c r="B27" t="s">
        <v>2861</v>
      </c>
      <c r="C27" s="47">
        <v>46204</v>
      </c>
      <c r="D27" t="s">
        <v>16</v>
      </c>
      <c r="E27" t="s">
        <v>153</v>
      </c>
      <c r="F27" t="s">
        <v>146</v>
      </c>
      <c r="G27" t="s">
        <v>41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41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41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41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41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41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41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39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40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38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38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39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38</v>
      </c>
      <c r="E67" t="s">
        <v>122</v>
      </c>
      <c r="F67" t="s">
        <v>40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38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38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39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38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38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40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38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2" activePane="bottomLeft" state="frozen"/>
      <selection activeCell="B1" sqref="B1"/>
      <selection pane="bottomLeft" activeCell="C7" sqref="C7:F7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41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2879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465</v>
      </c>
      <c r="E94" s="3" t="s">
        <v>466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467</v>
      </c>
      <c r="E95" s="3" t="s">
        <v>468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469</v>
      </c>
      <c r="E96" s="46" t="s">
        <v>470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471</v>
      </c>
      <c r="E97" s="46" t="s">
        <v>472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473</v>
      </c>
      <c r="E98" s="46" t="s">
        <v>474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475</v>
      </c>
      <c r="E99" s="46" t="s">
        <v>476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477</v>
      </c>
      <c r="E100" s="3" t="s">
        <v>478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479</v>
      </c>
      <c r="E101" s="3" t="s">
        <v>480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481</v>
      </c>
      <c r="E102" s="46" t="s">
        <v>482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483</v>
      </c>
      <c r="E103" s="46" t="s">
        <v>484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485</v>
      </c>
      <c r="E104" s="46" t="s">
        <v>486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487</v>
      </c>
      <c r="E105" s="46" t="s">
        <v>488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489</v>
      </c>
      <c r="E106" s="46" t="s">
        <v>490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491</v>
      </c>
      <c r="E107" s="46" t="s">
        <v>492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493</v>
      </c>
      <c r="E108" s="46" t="s">
        <v>494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495</v>
      </c>
      <c r="E109" s="46" t="s">
        <v>496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497</v>
      </c>
      <c r="E110" s="46" t="s">
        <v>498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499</v>
      </c>
      <c r="E111" s="46" t="s">
        <v>500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501</v>
      </c>
      <c r="E112" s="3" t="s">
        <v>502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503</v>
      </c>
      <c r="E113" s="46" t="s">
        <v>504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505</v>
      </c>
      <c r="E114" s="46" t="s">
        <v>506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507</v>
      </c>
      <c r="E115" s="46" t="s">
        <v>508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509</v>
      </c>
      <c r="E116" s="3" t="s">
        <v>510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511</v>
      </c>
      <c r="E117" s="46" t="s">
        <v>512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513</v>
      </c>
      <c r="E118" s="3" t="s">
        <v>514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515</v>
      </c>
      <c r="E119" s="46" t="s">
        <v>516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517</v>
      </c>
      <c r="E120" s="46" t="s">
        <v>518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519</v>
      </c>
      <c r="E121" s="46" t="s">
        <v>520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521</v>
      </c>
      <c r="E122" s="46" t="s">
        <v>522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523</v>
      </c>
      <c r="E123" s="3" t="s">
        <v>524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525</v>
      </c>
      <c r="E124" s="3" t="s">
        <v>526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527</v>
      </c>
      <c r="E125" s="46" t="s">
        <v>528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529</v>
      </c>
      <c r="E126" s="46" t="s">
        <v>530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531</v>
      </c>
      <c r="E127" s="46" t="s">
        <v>532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533</v>
      </c>
      <c r="E128" s="46" t="s">
        <v>534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535</v>
      </c>
      <c r="E129" s="3" t="s">
        <v>536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1409</v>
      </c>
      <c r="E130" s="3" t="s">
        <v>2853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1390</v>
      </c>
      <c r="E131" s="3" t="s">
        <v>2852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2389</v>
      </c>
      <c r="E132" s="3" t="s">
        <v>2854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2520</v>
      </c>
      <c r="E133" s="3" t="s">
        <v>2855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1849</v>
      </c>
      <c r="E134" s="3" t="s">
        <v>2856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612</v>
      </c>
      <c r="E135" s="3" t="s">
        <v>2857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2391</v>
      </c>
      <c r="E136" s="3" t="s">
        <v>2875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604</v>
      </c>
      <c r="E137" s="3" t="s">
        <v>2876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ColWidth="8.85546875"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537</v>
      </c>
      <c r="E1" t="str">
        <f>A1</f>
        <v>Goalkeeper</v>
      </c>
    </row>
    <row r="2" spans="1:8" x14ac:dyDescent="0.25">
      <c r="A2" t="s">
        <v>537</v>
      </c>
      <c r="B2" t="s">
        <v>538</v>
      </c>
      <c r="C2" t="s">
        <v>539</v>
      </c>
      <c r="D2" t="s">
        <v>87</v>
      </c>
      <c r="E2" t="str">
        <f>A2</f>
        <v>Goalkeeper</v>
      </c>
      <c r="F2" t="s">
        <v>540</v>
      </c>
      <c r="G2" t="s">
        <v>541</v>
      </c>
      <c r="H2" t="s">
        <v>87</v>
      </c>
    </row>
    <row r="3" spans="1:8" x14ac:dyDescent="0.25">
      <c r="A3" t="s">
        <v>537</v>
      </c>
      <c r="B3" t="s">
        <v>542</v>
      </c>
      <c r="C3" t="s">
        <v>543</v>
      </c>
      <c r="D3" t="s">
        <v>87</v>
      </c>
      <c r="E3" t="str">
        <f t="shared" ref="E3:E66" si="0">A3</f>
        <v>Goalkeeper</v>
      </c>
    </row>
    <row r="4" spans="1:8" x14ac:dyDescent="0.25">
      <c r="A4" t="s">
        <v>544</v>
      </c>
      <c r="E4" t="str">
        <f t="shared" si="0"/>
        <v>Defender</v>
      </c>
    </row>
    <row r="5" spans="1:8" x14ac:dyDescent="0.25">
      <c r="A5" t="s">
        <v>544</v>
      </c>
      <c r="B5" t="s">
        <v>545</v>
      </c>
      <c r="C5" t="s">
        <v>546</v>
      </c>
      <c r="D5" t="s">
        <v>87</v>
      </c>
      <c r="E5" t="str">
        <f t="shared" si="0"/>
        <v>Defender</v>
      </c>
      <c r="F5" t="s">
        <v>547</v>
      </c>
      <c r="G5" t="s">
        <v>548</v>
      </c>
      <c r="H5" t="s">
        <v>87</v>
      </c>
    </row>
    <row r="6" spans="1:8" x14ac:dyDescent="0.25">
      <c r="A6" t="s">
        <v>544</v>
      </c>
      <c r="B6" t="s">
        <v>549</v>
      </c>
      <c r="C6" t="s">
        <v>550</v>
      </c>
      <c r="D6" t="s">
        <v>87</v>
      </c>
      <c r="E6" t="str">
        <f t="shared" si="0"/>
        <v>Defender</v>
      </c>
      <c r="F6" t="s">
        <v>551</v>
      </c>
      <c r="G6" t="s">
        <v>552</v>
      </c>
      <c r="H6" t="s">
        <v>87</v>
      </c>
    </row>
    <row r="7" spans="1:8" x14ac:dyDescent="0.25">
      <c r="A7" t="s">
        <v>544</v>
      </c>
      <c r="B7" t="s">
        <v>553</v>
      </c>
      <c r="C7" t="s">
        <v>554</v>
      </c>
      <c r="D7" t="s">
        <v>87</v>
      </c>
      <c r="E7" t="str">
        <f t="shared" si="0"/>
        <v>Defender</v>
      </c>
      <c r="F7" t="s">
        <v>555</v>
      </c>
      <c r="G7" t="s">
        <v>556</v>
      </c>
      <c r="H7" t="s">
        <v>87</v>
      </c>
    </row>
    <row r="8" spans="1:8" x14ac:dyDescent="0.25">
      <c r="A8" t="s">
        <v>544</v>
      </c>
      <c r="B8" t="s">
        <v>557</v>
      </c>
      <c r="C8" t="s">
        <v>558</v>
      </c>
      <c r="D8" t="s">
        <v>87</v>
      </c>
      <c r="E8" t="str">
        <f t="shared" si="0"/>
        <v>Defender</v>
      </c>
      <c r="F8" t="s">
        <v>559</v>
      </c>
      <c r="G8" t="s">
        <v>560</v>
      </c>
      <c r="H8" t="s">
        <v>87</v>
      </c>
    </row>
    <row r="9" spans="1:8" x14ac:dyDescent="0.25">
      <c r="A9" t="s">
        <v>544</v>
      </c>
      <c r="B9" t="s">
        <v>561</v>
      </c>
      <c r="C9" t="s">
        <v>562</v>
      </c>
      <c r="D9" t="s">
        <v>87</v>
      </c>
      <c r="E9" t="str">
        <f t="shared" si="0"/>
        <v>Defender</v>
      </c>
    </row>
    <row r="10" spans="1:8" x14ac:dyDescent="0.25">
      <c r="A10" t="s">
        <v>563</v>
      </c>
      <c r="E10" t="str">
        <f t="shared" si="0"/>
        <v>Midfielder</v>
      </c>
    </row>
    <row r="11" spans="1:8" x14ac:dyDescent="0.25">
      <c r="A11" t="s">
        <v>563</v>
      </c>
      <c r="B11" t="s">
        <v>564</v>
      </c>
      <c r="C11" t="s">
        <v>565</v>
      </c>
      <c r="D11" t="s">
        <v>87</v>
      </c>
      <c r="E11" t="str">
        <f t="shared" si="0"/>
        <v>Midfielder</v>
      </c>
      <c r="F11" t="s">
        <v>566</v>
      </c>
      <c r="G11" t="s">
        <v>567</v>
      </c>
      <c r="H11" t="s">
        <v>87</v>
      </c>
    </row>
    <row r="12" spans="1:8" x14ac:dyDescent="0.25">
      <c r="A12" t="s">
        <v>563</v>
      </c>
      <c r="B12" t="s">
        <v>568</v>
      </c>
      <c r="C12" t="s">
        <v>569</v>
      </c>
      <c r="D12" t="s">
        <v>87</v>
      </c>
      <c r="E12" t="str">
        <f t="shared" si="0"/>
        <v>Midfielder</v>
      </c>
      <c r="F12" t="s">
        <v>570</v>
      </c>
      <c r="G12" t="s">
        <v>571</v>
      </c>
      <c r="H12" t="s">
        <v>87</v>
      </c>
    </row>
    <row r="13" spans="1:8" x14ac:dyDescent="0.25">
      <c r="A13" t="s">
        <v>563</v>
      </c>
      <c r="B13" t="s">
        <v>572</v>
      </c>
      <c r="C13" t="s">
        <v>573</v>
      </c>
      <c r="D13" t="s">
        <v>87</v>
      </c>
      <c r="E13" t="str">
        <f t="shared" si="0"/>
        <v>Midfielder</v>
      </c>
      <c r="F13" t="s">
        <v>574</v>
      </c>
      <c r="G13" t="s">
        <v>575</v>
      </c>
      <c r="H13" t="s">
        <v>87</v>
      </c>
    </row>
    <row r="14" spans="1:8" x14ac:dyDescent="0.25">
      <c r="A14" t="s">
        <v>563</v>
      </c>
      <c r="B14" t="s">
        <v>576</v>
      </c>
      <c r="C14" t="s">
        <v>577</v>
      </c>
      <c r="D14" t="s">
        <v>87</v>
      </c>
      <c r="E14" t="str">
        <f t="shared" si="0"/>
        <v>Midfielder</v>
      </c>
    </row>
    <row r="15" spans="1:8" x14ac:dyDescent="0.25">
      <c r="A15" t="s">
        <v>578</v>
      </c>
      <c r="E15" t="str">
        <f t="shared" si="0"/>
        <v>Forward</v>
      </c>
    </row>
    <row r="16" spans="1:8" x14ac:dyDescent="0.25">
      <c r="A16" t="s">
        <v>578</v>
      </c>
      <c r="B16" t="s">
        <v>579</v>
      </c>
      <c r="C16" t="s">
        <v>580</v>
      </c>
      <c r="D16" t="s">
        <v>87</v>
      </c>
      <c r="E16" t="str">
        <f t="shared" si="0"/>
        <v>Forward</v>
      </c>
      <c r="F16" t="s">
        <v>581</v>
      </c>
      <c r="G16" t="s">
        <v>582</v>
      </c>
      <c r="H16" t="s">
        <v>87</v>
      </c>
    </row>
    <row r="17" spans="1:8" x14ac:dyDescent="0.25">
      <c r="A17" t="s">
        <v>578</v>
      </c>
      <c r="B17" t="s">
        <v>583</v>
      </c>
      <c r="C17" t="s">
        <v>584</v>
      </c>
      <c r="D17" t="s">
        <v>87</v>
      </c>
      <c r="E17" t="str">
        <f t="shared" si="0"/>
        <v>Forward</v>
      </c>
      <c r="F17" t="s">
        <v>585</v>
      </c>
      <c r="G17" t="s">
        <v>586</v>
      </c>
      <c r="H17" t="s">
        <v>87</v>
      </c>
    </row>
    <row r="18" spans="1:8" x14ac:dyDescent="0.25">
      <c r="A18" t="s">
        <v>578</v>
      </c>
      <c r="B18" t="s">
        <v>587</v>
      </c>
      <c r="C18" t="s">
        <v>588</v>
      </c>
      <c r="D18" t="s">
        <v>87</v>
      </c>
      <c r="E18" t="str">
        <f t="shared" si="0"/>
        <v>Forward</v>
      </c>
      <c r="F18" t="s">
        <v>589</v>
      </c>
      <c r="G18" t="s">
        <v>590</v>
      </c>
      <c r="H18" t="s">
        <v>87</v>
      </c>
    </row>
    <row r="19" spans="1:8" x14ac:dyDescent="0.25">
      <c r="A19" t="s">
        <v>578</v>
      </c>
      <c r="B19" t="s">
        <v>591</v>
      </c>
      <c r="C19" t="s">
        <v>592</v>
      </c>
      <c r="D19" t="s">
        <v>87</v>
      </c>
      <c r="E19" t="str">
        <f t="shared" si="0"/>
        <v>Forward</v>
      </c>
    </row>
    <row r="20" spans="1:8" x14ac:dyDescent="0.25">
      <c r="A20" t="s">
        <v>537</v>
      </c>
      <c r="E20" t="str">
        <f t="shared" si="0"/>
        <v>Goalkeeper</v>
      </c>
    </row>
    <row r="21" spans="1:8" x14ac:dyDescent="0.25">
      <c r="A21" t="s">
        <v>537</v>
      </c>
      <c r="B21" t="s">
        <v>593</v>
      </c>
      <c r="C21" t="s">
        <v>594</v>
      </c>
      <c r="D21" t="s">
        <v>39</v>
      </c>
      <c r="E21" t="str">
        <f t="shared" si="0"/>
        <v>Goalkeeper</v>
      </c>
      <c r="F21" t="s">
        <v>595</v>
      </c>
      <c r="G21" t="s">
        <v>340</v>
      </c>
      <c r="H21" t="s">
        <v>39</v>
      </c>
    </row>
    <row r="22" spans="1:8" x14ac:dyDescent="0.25">
      <c r="A22" t="s">
        <v>537</v>
      </c>
      <c r="B22" t="s">
        <v>596</v>
      </c>
      <c r="C22" t="s">
        <v>597</v>
      </c>
      <c r="D22" t="s">
        <v>39</v>
      </c>
      <c r="E22" t="str">
        <f t="shared" si="0"/>
        <v>Goalkeeper</v>
      </c>
    </row>
    <row r="23" spans="1:8" x14ac:dyDescent="0.25">
      <c r="A23" t="s">
        <v>544</v>
      </c>
      <c r="E23" t="str">
        <f t="shared" si="0"/>
        <v>Defender</v>
      </c>
    </row>
    <row r="24" spans="1:8" x14ac:dyDescent="0.25">
      <c r="A24" t="s">
        <v>544</v>
      </c>
      <c r="B24" t="s">
        <v>598</v>
      </c>
      <c r="C24" t="s">
        <v>424</v>
      </c>
      <c r="D24" t="s">
        <v>39</v>
      </c>
      <c r="E24" t="str">
        <f t="shared" si="0"/>
        <v>Defender</v>
      </c>
      <c r="F24" t="s">
        <v>599</v>
      </c>
      <c r="G24" t="s">
        <v>600</v>
      </c>
      <c r="H24" t="s">
        <v>39</v>
      </c>
    </row>
    <row r="25" spans="1:8" x14ac:dyDescent="0.25">
      <c r="A25" t="s">
        <v>544</v>
      </c>
      <c r="B25" t="s">
        <v>601</v>
      </c>
      <c r="C25" t="s">
        <v>602</v>
      </c>
      <c r="D25" t="s">
        <v>39</v>
      </c>
      <c r="E25" t="str">
        <f t="shared" si="0"/>
        <v>Defender</v>
      </c>
      <c r="F25" t="s">
        <v>603</v>
      </c>
      <c r="G25" t="s">
        <v>604</v>
      </c>
      <c r="H25" t="s">
        <v>39</v>
      </c>
    </row>
    <row r="26" spans="1:8" x14ac:dyDescent="0.25">
      <c r="A26" t="s">
        <v>544</v>
      </c>
      <c r="B26" t="s">
        <v>477</v>
      </c>
      <c r="C26" t="s">
        <v>477</v>
      </c>
      <c r="D26" t="s">
        <v>39</v>
      </c>
      <c r="E26" t="str">
        <f t="shared" si="0"/>
        <v>Defender</v>
      </c>
      <c r="F26" t="s">
        <v>605</v>
      </c>
      <c r="G26" t="s">
        <v>509</v>
      </c>
      <c r="H26" t="s">
        <v>39</v>
      </c>
    </row>
    <row r="27" spans="1:8" x14ac:dyDescent="0.25">
      <c r="A27" t="s">
        <v>544</v>
      </c>
      <c r="B27" t="s">
        <v>606</v>
      </c>
      <c r="C27" t="s">
        <v>444</v>
      </c>
      <c r="D27" t="s">
        <v>39</v>
      </c>
      <c r="E27" t="str">
        <f t="shared" si="0"/>
        <v>Defender</v>
      </c>
    </row>
    <row r="28" spans="1:8" x14ac:dyDescent="0.25">
      <c r="A28" t="s">
        <v>563</v>
      </c>
      <c r="E28" t="str">
        <f t="shared" si="0"/>
        <v>Midfielder</v>
      </c>
    </row>
    <row r="29" spans="1:8" x14ac:dyDescent="0.25">
      <c r="A29" t="s">
        <v>563</v>
      </c>
      <c r="B29" t="s">
        <v>607</v>
      </c>
      <c r="C29" t="s">
        <v>608</v>
      </c>
      <c r="D29" t="s">
        <v>39</v>
      </c>
      <c r="E29" t="str">
        <f t="shared" si="0"/>
        <v>Midfielder</v>
      </c>
      <c r="F29" t="s">
        <v>609</v>
      </c>
      <c r="G29" t="s">
        <v>610</v>
      </c>
      <c r="H29" t="s">
        <v>39</v>
      </c>
    </row>
    <row r="30" spans="1:8" x14ac:dyDescent="0.25">
      <c r="A30" t="s">
        <v>563</v>
      </c>
      <c r="B30" t="s">
        <v>611</v>
      </c>
      <c r="C30" t="s">
        <v>612</v>
      </c>
      <c r="D30" t="s">
        <v>39</v>
      </c>
      <c r="E30" t="str">
        <f t="shared" si="0"/>
        <v>Midfielder</v>
      </c>
      <c r="F30" t="s">
        <v>613</v>
      </c>
      <c r="G30" t="s">
        <v>614</v>
      </c>
      <c r="H30" t="s">
        <v>39</v>
      </c>
    </row>
    <row r="31" spans="1:8" x14ac:dyDescent="0.25">
      <c r="A31" t="s">
        <v>563</v>
      </c>
      <c r="B31" t="s">
        <v>615</v>
      </c>
      <c r="C31" t="s">
        <v>616</v>
      </c>
      <c r="D31" t="s">
        <v>39</v>
      </c>
      <c r="E31" t="str">
        <f t="shared" si="0"/>
        <v>Midfielder</v>
      </c>
      <c r="F31" t="s">
        <v>617</v>
      </c>
      <c r="G31" t="s">
        <v>420</v>
      </c>
      <c r="H31" t="s">
        <v>39</v>
      </c>
    </row>
    <row r="32" spans="1:8" x14ac:dyDescent="0.25">
      <c r="A32" t="s">
        <v>563</v>
      </c>
      <c r="B32" t="s">
        <v>618</v>
      </c>
      <c r="C32" t="s">
        <v>619</v>
      </c>
      <c r="D32" t="s">
        <v>39</v>
      </c>
      <c r="E32" t="str">
        <f t="shared" si="0"/>
        <v>Midfielder</v>
      </c>
      <c r="F32" t="s">
        <v>620</v>
      </c>
      <c r="G32" t="s">
        <v>328</v>
      </c>
      <c r="H32" t="s">
        <v>39</v>
      </c>
    </row>
    <row r="33" spans="1:8" x14ac:dyDescent="0.25">
      <c r="A33" t="s">
        <v>578</v>
      </c>
      <c r="E33" t="str">
        <f t="shared" si="0"/>
        <v>Forward</v>
      </c>
    </row>
    <row r="34" spans="1:8" x14ac:dyDescent="0.25">
      <c r="A34" t="s">
        <v>578</v>
      </c>
      <c r="B34" t="s">
        <v>621</v>
      </c>
      <c r="C34" t="s">
        <v>300</v>
      </c>
      <c r="D34" t="s">
        <v>39</v>
      </c>
      <c r="E34" t="str">
        <f t="shared" si="0"/>
        <v>Forward</v>
      </c>
      <c r="F34" t="s">
        <v>622</v>
      </c>
      <c r="G34" t="s">
        <v>623</v>
      </c>
      <c r="H34" t="s">
        <v>39</v>
      </c>
    </row>
    <row r="35" spans="1:8" x14ac:dyDescent="0.25">
      <c r="A35" t="s">
        <v>578</v>
      </c>
      <c r="B35" t="s">
        <v>624</v>
      </c>
      <c r="C35" t="s">
        <v>290</v>
      </c>
      <c r="D35" t="s">
        <v>39</v>
      </c>
      <c r="E35" t="str">
        <f t="shared" si="0"/>
        <v>Forward</v>
      </c>
      <c r="F35" t="s">
        <v>625</v>
      </c>
      <c r="G35" t="s">
        <v>626</v>
      </c>
      <c r="H35" t="s">
        <v>39</v>
      </c>
    </row>
    <row r="36" spans="1:8" x14ac:dyDescent="0.25">
      <c r="A36" t="s">
        <v>578</v>
      </c>
      <c r="B36" t="s">
        <v>627</v>
      </c>
      <c r="C36" t="s">
        <v>628</v>
      </c>
      <c r="D36" t="s">
        <v>39</v>
      </c>
      <c r="E36" t="str">
        <f t="shared" si="0"/>
        <v>Forward</v>
      </c>
      <c r="F36" t="s">
        <v>374</v>
      </c>
      <c r="G36" t="s">
        <v>374</v>
      </c>
      <c r="H36" t="s">
        <v>39</v>
      </c>
    </row>
    <row r="37" spans="1:8" x14ac:dyDescent="0.25">
      <c r="A37" t="s">
        <v>578</v>
      </c>
      <c r="B37" t="s">
        <v>629</v>
      </c>
      <c r="C37" t="s">
        <v>630</v>
      </c>
      <c r="D37" t="s">
        <v>39</v>
      </c>
      <c r="E37" t="str">
        <f t="shared" si="0"/>
        <v>Forward</v>
      </c>
    </row>
    <row r="38" spans="1:8" x14ac:dyDescent="0.25">
      <c r="A38" t="s">
        <v>537</v>
      </c>
      <c r="E38" t="str">
        <f t="shared" si="0"/>
        <v>Goalkeeper</v>
      </c>
    </row>
    <row r="39" spans="1:8" x14ac:dyDescent="0.25">
      <c r="A39" t="s">
        <v>537</v>
      </c>
      <c r="B39" t="s">
        <v>631</v>
      </c>
      <c r="C39" t="s">
        <v>632</v>
      </c>
      <c r="D39" t="s">
        <v>45</v>
      </c>
      <c r="E39" t="str">
        <f t="shared" si="0"/>
        <v>Goalkeeper</v>
      </c>
      <c r="F39" t="s">
        <v>633</v>
      </c>
      <c r="G39" t="s">
        <v>634</v>
      </c>
      <c r="H39" t="s">
        <v>45</v>
      </c>
    </row>
    <row r="40" spans="1:8" x14ac:dyDescent="0.25">
      <c r="A40" t="s">
        <v>537</v>
      </c>
      <c r="B40" t="s">
        <v>635</v>
      </c>
      <c r="C40" t="s">
        <v>636</v>
      </c>
      <c r="D40" t="s">
        <v>45</v>
      </c>
      <c r="E40" t="str">
        <f t="shared" si="0"/>
        <v>Goalkeeper</v>
      </c>
    </row>
    <row r="41" spans="1:8" x14ac:dyDescent="0.25">
      <c r="A41" t="s">
        <v>544</v>
      </c>
      <c r="E41" t="str">
        <f t="shared" si="0"/>
        <v>Defender</v>
      </c>
    </row>
    <row r="42" spans="1:8" x14ac:dyDescent="0.25">
      <c r="A42" t="s">
        <v>544</v>
      </c>
      <c r="B42" t="s">
        <v>637</v>
      </c>
      <c r="C42" t="s">
        <v>638</v>
      </c>
      <c r="D42" t="s">
        <v>45</v>
      </c>
      <c r="E42" t="str">
        <f t="shared" si="0"/>
        <v>Defender</v>
      </c>
      <c r="F42" t="s">
        <v>639</v>
      </c>
      <c r="G42" t="s">
        <v>640</v>
      </c>
      <c r="H42" t="s">
        <v>45</v>
      </c>
    </row>
    <row r="43" spans="1:8" x14ac:dyDescent="0.25">
      <c r="A43" t="s">
        <v>544</v>
      </c>
      <c r="B43" t="s">
        <v>641</v>
      </c>
      <c r="C43" t="s">
        <v>642</v>
      </c>
      <c r="D43" t="s">
        <v>45</v>
      </c>
      <c r="E43" t="str">
        <f t="shared" si="0"/>
        <v>Defender</v>
      </c>
      <c r="F43" t="s">
        <v>643</v>
      </c>
      <c r="G43" t="s">
        <v>644</v>
      </c>
      <c r="H43" t="s">
        <v>45</v>
      </c>
    </row>
    <row r="44" spans="1:8" x14ac:dyDescent="0.25">
      <c r="A44" t="s">
        <v>544</v>
      </c>
      <c r="B44" t="s">
        <v>645</v>
      </c>
      <c r="C44" t="s">
        <v>646</v>
      </c>
      <c r="D44" t="s">
        <v>45</v>
      </c>
      <c r="E44" t="str">
        <f t="shared" si="0"/>
        <v>Defender</v>
      </c>
      <c r="F44" t="s">
        <v>647</v>
      </c>
      <c r="G44" t="s">
        <v>648</v>
      </c>
      <c r="H44" t="s">
        <v>45</v>
      </c>
    </row>
    <row r="45" spans="1:8" x14ac:dyDescent="0.25">
      <c r="A45" t="s">
        <v>544</v>
      </c>
      <c r="B45" t="s">
        <v>649</v>
      </c>
      <c r="C45" t="s">
        <v>650</v>
      </c>
      <c r="D45" t="s">
        <v>45</v>
      </c>
      <c r="E45" t="str">
        <f t="shared" si="0"/>
        <v>Defender</v>
      </c>
      <c r="F45" t="s">
        <v>651</v>
      </c>
      <c r="G45" t="s">
        <v>652</v>
      </c>
      <c r="H45" t="s">
        <v>45</v>
      </c>
    </row>
    <row r="46" spans="1:8" x14ac:dyDescent="0.25">
      <c r="A46" t="s">
        <v>544</v>
      </c>
      <c r="B46" t="s">
        <v>653</v>
      </c>
      <c r="C46" t="s">
        <v>654</v>
      </c>
      <c r="D46" t="s">
        <v>45</v>
      </c>
      <c r="E46" t="str">
        <f t="shared" si="0"/>
        <v>Defender</v>
      </c>
      <c r="F46" t="s">
        <v>655</v>
      </c>
      <c r="G46" t="s">
        <v>656</v>
      </c>
      <c r="H46" t="s">
        <v>45</v>
      </c>
    </row>
    <row r="47" spans="1:8" x14ac:dyDescent="0.25">
      <c r="A47" t="s">
        <v>563</v>
      </c>
      <c r="E47" t="str">
        <f t="shared" si="0"/>
        <v>Midfielder</v>
      </c>
    </row>
    <row r="48" spans="1:8" x14ac:dyDescent="0.25">
      <c r="A48" t="s">
        <v>563</v>
      </c>
      <c r="B48" t="s">
        <v>657</v>
      </c>
      <c r="C48" t="s">
        <v>658</v>
      </c>
      <c r="D48" t="s">
        <v>45</v>
      </c>
      <c r="E48" t="str">
        <f t="shared" si="0"/>
        <v>Midfielder</v>
      </c>
      <c r="F48" t="s">
        <v>659</v>
      </c>
      <c r="G48" t="s">
        <v>660</v>
      </c>
      <c r="H48" t="s">
        <v>45</v>
      </c>
    </row>
    <row r="49" spans="1:8" x14ac:dyDescent="0.25">
      <c r="A49" t="s">
        <v>563</v>
      </c>
      <c r="B49" t="s">
        <v>661</v>
      </c>
      <c r="C49" t="s">
        <v>662</v>
      </c>
      <c r="D49" t="s">
        <v>45</v>
      </c>
      <c r="E49" t="str">
        <f t="shared" si="0"/>
        <v>Midfielder</v>
      </c>
      <c r="F49" t="s">
        <v>663</v>
      </c>
      <c r="G49" t="s">
        <v>664</v>
      </c>
      <c r="H49" t="s">
        <v>45</v>
      </c>
    </row>
    <row r="50" spans="1:8" x14ac:dyDescent="0.25">
      <c r="A50" t="s">
        <v>563</v>
      </c>
      <c r="B50" t="s">
        <v>665</v>
      </c>
      <c r="C50" t="s">
        <v>666</v>
      </c>
      <c r="D50" t="s">
        <v>45</v>
      </c>
      <c r="E50" t="str">
        <f t="shared" si="0"/>
        <v>Midfielder</v>
      </c>
      <c r="F50" t="s">
        <v>667</v>
      </c>
      <c r="G50" t="s">
        <v>668</v>
      </c>
      <c r="H50" t="s">
        <v>45</v>
      </c>
    </row>
    <row r="51" spans="1:8" x14ac:dyDescent="0.25">
      <c r="A51" t="s">
        <v>563</v>
      </c>
      <c r="B51" t="s">
        <v>669</v>
      </c>
      <c r="C51" t="s">
        <v>670</v>
      </c>
      <c r="D51" t="s">
        <v>45</v>
      </c>
      <c r="E51" t="str">
        <f t="shared" si="0"/>
        <v>Midfielder</v>
      </c>
      <c r="F51" t="s">
        <v>671</v>
      </c>
      <c r="G51" t="s">
        <v>672</v>
      </c>
      <c r="H51" t="s">
        <v>45</v>
      </c>
    </row>
    <row r="52" spans="1:8" x14ac:dyDescent="0.25">
      <c r="A52" t="s">
        <v>578</v>
      </c>
      <c r="E52" t="str">
        <f t="shared" si="0"/>
        <v>Forward</v>
      </c>
    </row>
    <row r="53" spans="1:8" x14ac:dyDescent="0.25">
      <c r="A53" t="s">
        <v>578</v>
      </c>
      <c r="B53" t="s">
        <v>673</v>
      </c>
      <c r="C53" t="s">
        <v>674</v>
      </c>
      <c r="D53" t="s">
        <v>45</v>
      </c>
      <c r="E53" t="str">
        <f t="shared" si="0"/>
        <v>Forward</v>
      </c>
      <c r="F53" t="s">
        <v>675</v>
      </c>
      <c r="G53" t="s">
        <v>676</v>
      </c>
      <c r="H53" t="s">
        <v>45</v>
      </c>
    </row>
    <row r="54" spans="1:8" x14ac:dyDescent="0.25">
      <c r="A54" t="s">
        <v>578</v>
      </c>
      <c r="B54" t="s">
        <v>677</v>
      </c>
      <c r="C54" t="s">
        <v>678</v>
      </c>
      <c r="D54" t="s">
        <v>45</v>
      </c>
      <c r="E54" t="str">
        <f t="shared" si="0"/>
        <v>Forward</v>
      </c>
      <c r="F54" t="s">
        <v>679</v>
      </c>
      <c r="G54" t="s">
        <v>680</v>
      </c>
      <c r="H54" t="s">
        <v>45</v>
      </c>
    </row>
    <row r="55" spans="1:8" x14ac:dyDescent="0.25">
      <c r="A55" t="s">
        <v>578</v>
      </c>
      <c r="B55" t="s">
        <v>681</v>
      </c>
      <c r="C55" t="s">
        <v>682</v>
      </c>
      <c r="D55" t="s">
        <v>45</v>
      </c>
      <c r="E55" t="str">
        <f t="shared" si="0"/>
        <v>Forward</v>
      </c>
    </row>
    <row r="56" spans="1:8" x14ac:dyDescent="0.25">
      <c r="A56" t="s">
        <v>537</v>
      </c>
      <c r="E56" t="str">
        <f t="shared" si="0"/>
        <v>Goalkeeper</v>
      </c>
    </row>
    <row r="57" spans="1:8" x14ac:dyDescent="0.25">
      <c r="A57" t="s">
        <v>537</v>
      </c>
      <c r="B57" t="s">
        <v>683</v>
      </c>
      <c r="C57" t="s">
        <v>684</v>
      </c>
      <c r="D57" t="s">
        <v>88</v>
      </c>
      <c r="E57" t="str">
        <f t="shared" si="0"/>
        <v>Goalkeeper</v>
      </c>
      <c r="F57" t="s">
        <v>685</v>
      </c>
      <c r="G57" t="s">
        <v>686</v>
      </c>
      <c r="H57" t="s">
        <v>88</v>
      </c>
    </row>
    <row r="58" spans="1:8" x14ac:dyDescent="0.25">
      <c r="A58" t="s">
        <v>537</v>
      </c>
      <c r="B58" t="s">
        <v>687</v>
      </c>
      <c r="C58" t="s">
        <v>688</v>
      </c>
      <c r="D58" t="s">
        <v>88</v>
      </c>
      <c r="E58" t="str">
        <f t="shared" si="0"/>
        <v>Goalkeeper</v>
      </c>
    </row>
    <row r="59" spans="1:8" x14ac:dyDescent="0.25">
      <c r="A59" t="s">
        <v>544</v>
      </c>
      <c r="E59" t="str">
        <f t="shared" si="0"/>
        <v>Defender</v>
      </c>
    </row>
    <row r="60" spans="1:8" x14ac:dyDescent="0.25">
      <c r="A60" t="s">
        <v>544</v>
      </c>
      <c r="B60" t="s">
        <v>689</v>
      </c>
      <c r="C60" t="s">
        <v>690</v>
      </c>
      <c r="D60" t="s">
        <v>88</v>
      </c>
      <c r="E60" t="str">
        <f t="shared" si="0"/>
        <v>Defender</v>
      </c>
      <c r="F60" t="s">
        <v>691</v>
      </c>
      <c r="G60" t="s">
        <v>692</v>
      </c>
      <c r="H60" t="s">
        <v>88</v>
      </c>
    </row>
    <row r="61" spans="1:8" x14ac:dyDescent="0.25">
      <c r="A61" t="s">
        <v>544</v>
      </c>
      <c r="B61" t="s">
        <v>693</v>
      </c>
      <c r="C61" t="s">
        <v>694</v>
      </c>
      <c r="D61" t="s">
        <v>88</v>
      </c>
      <c r="E61" t="str">
        <f t="shared" si="0"/>
        <v>Defender</v>
      </c>
      <c r="F61" t="s">
        <v>695</v>
      </c>
      <c r="G61" t="s">
        <v>696</v>
      </c>
      <c r="H61" t="s">
        <v>88</v>
      </c>
    </row>
    <row r="62" spans="1:8" x14ac:dyDescent="0.25">
      <c r="A62" t="s">
        <v>544</v>
      </c>
      <c r="B62" t="s">
        <v>697</v>
      </c>
      <c r="C62" t="s">
        <v>698</v>
      </c>
      <c r="D62" t="s">
        <v>88</v>
      </c>
      <c r="E62" t="str">
        <f t="shared" si="0"/>
        <v>Defender</v>
      </c>
      <c r="F62" t="s">
        <v>699</v>
      </c>
      <c r="G62" t="s">
        <v>700</v>
      </c>
      <c r="H62" t="s">
        <v>88</v>
      </c>
    </row>
    <row r="63" spans="1:8" x14ac:dyDescent="0.25">
      <c r="A63" t="s">
        <v>544</v>
      </c>
      <c r="B63" t="s">
        <v>701</v>
      </c>
      <c r="C63" t="s">
        <v>702</v>
      </c>
      <c r="D63" t="s">
        <v>88</v>
      </c>
      <c r="E63" t="str">
        <f t="shared" si="0"/>
        <v>Defender</v>
      </c>
      <c r="F63" t="s">
        <v>703</v>
      </c>
      <c r="G63" t="s">
        <v>704</v>
      </c>
      <c r="H63" t="s">
        <v>88</v>
      </c>
    </row>
    <row r="64" spans="1:8" x14ac:dyDescent="0.25">
      <c r="A64" t="s">
        <v>544</v>
      </c>
      <c r="B64" t="s">
        <v>705</v>
      </c>
      <c r="C64" t="s">
        <v>706</v>
      </c>
      <c r="D64" t="s">
        <v>88</v>
      </c>
      <c r="E64" t="str">
        <f t="shared" si="0"/>
        <v>Defender</v>
      </c>
    </row>
    <row r="65" spans="1:8" x14ac:dyDescent="0.25">
      <c r="A65" t="s">
        <v>563</v>
      </c>
      <c r="E65" t="str">
        <f t="shared" si="0"/>
        <v>Midfielder</v>
      </c>
    </row>
    <row r="66" spans="1:8" x14ac:dyDescent="0.25">
      <c r="A66" t="s">
        <v>563</v>
      </c>
      <c r="B66" t="s">
        <v>707</v>
      </c>
      <c r="C66" t="s">
        <v>708</v>
      </c>
      <c r="D66" t="s">
        <v>88</v>
      </c>
      <c r="E66" t="str">
        <f t="shared" si="0"/>
        <v>Midfielder</v>
      </c>
      <c r="F66" t="s">
        <v>709</v>
      </c>
      <c r="G66" t="s">
        <v>710</v>
      </c>
      <c r="H66" t="s">
        <v>88</v>
      </c>
    </row>
    <row r="67" spans="1:8" x14ac:dyDescent="0.25">
      <c r="A67" t="s">
        <v>563</v>
      </c>
      <c r="B67" t="s">
        <v>711</v>
      </c>
      <c r="C67" t="s">
        <v>712</v>
      </c>
      <c r="D67" t="s">
        <v>88</v>
      </c>
      <c r="E67" t="str">
        <f t="shared" ref="E67:E130" si="1">A67</f>
        <v>Midfielder</v>
      </c>
      <c r="F67" t="s">
        <v>713</v>
      </c>
      <c r="G67" t="s">
        <v>714</v>
      </c>
      <c r="H67" t="s">
        <v>88</v>
      </c>
    </row>
    <row r="68" spans="1:8" x14ac:dyDescent="0.25">
      <c r="A68" t="s">
        <v>563</v>
      </c>
      <c r="B68" t="s">
        <v>715</v>
      </c>
      <c r="C68" t="s">
        <v>716</v>
      </c>
      <c r="D68" t="s">
        <v>88</v>
      </c>
      <c r="E68" t="str">
        <f t="shared" si="1"/>
        <v>Midfielder</v>
      </c>
      <c r="F68" t="s">
        <v>717</v>
      </c>
      <c r="G68" t="s">
        <v>718</v>
      </c>
      <c r="H68" t="s">
        <v>88</v>
      </c>
    </row>
    <row r="69" spans="1:8" x14ac:dyDescent="0.25">
      <c r="A69" t="s">
        <v>563</v>
      </c>
      <c r="B69" t="s">
        <v>719</v>
      </c>
      <c r="C69" t="s">
        <v>720</v>
      </c>
      <c r="D69" t="s">
        <v>88</v>
      </c>
      <c r="E69" t="str">
        <f t="shared" si="1"/>
        <v>Midfielder</v>
      </c>
      <c r="F69" t="s">
        <v>721</v>
      </c>
      <c r="G69" t="s">
        <v>722</v>
      </c>
      <c r="H69" t="s">
        <v>88</v>
      </c>
    </row>
    <row r="70" spans="1:8" x14ac:dyDescent="0.25">
      <c r="A70" t="s">
        <v>563</v>
      </c>
      <c r="B70" t="s">
        <v>723</v>
      </c>
      <c r="C70" t="s">
        <v>724</v>
      </c>
      <c r="D70" t="s">
        <v>88</v>
      </c>
      <c r="E70" t="str">
        <f t="shared" si="1"/>
        <v>Midfielder</v>
      </c>
      <c r="F70" t="s">
        <v>725</v>
      </c>
      <c r="G70" t="s">
        <v>726</v>
      </c>
      <c r="H70" t="s">
        <v>88</v>
      </c>
    </row>
    <row r="71" spans="1:8" x14ac:dyDescent="0.25">
      <c r="A71" t="s">
        <v>578</v>
      </c>
      <c r="E71" t="str">
        <f t="shared" si="1"/>
        <v>Forward</v>
      </c>
    </row>
    <row r="72" spans="1:8" x14ac:dyDescent="0.25">
      <c r="A72" t="s">
        <v>578</v>
      </c>
      <c r="B72" t="s">
        <v>727</v>
      </c>
      <c r="C72" t="s">
        <v>728</v>
      </c>
      <c r="D72" t="s">
        <v>88</v>
      </c>
      <c r="E72" t="str">
        <f t="shared" si="1"/>
        <v>Forward</v>
      </c>
      <c r="F72" t="s">
        <v>729</v>
      </c>
      <c r="G72" t="s">
        <v>730</v>
      </c>
      <c r="H72" t="s">
        <v>88</v>
      </c>
    </row>
    <row r="73" spans="1:8" x14ac:dyDescent="0.25">
      <c r="A73" t="s">
        <v>578</v>
      </c>
      <c r="B73" t="s">
        <v>731</v>
      </c>
      <c r="C73" t="s">
        <v>732</v>
      </c>
      <c r="D73" t="s">
        <v>88</v>
      </c>
      <c r="E73" t="str">
        <f t="shared" si="1"/>
        <v>Forward</v>
      </c>
    </row>
    <row r="74" spans="1:8" x14ac:dyDescent="0.25">
      <c r="A74" t="s">
        <v>537</v>
      </c>
      <c r="E74" t="str">
        <f t="shared" si="1"/>
        <v>Goalkeeper</v>
      </c>
    </row>
    <row r="75" spans="1:8" x14ac:dyDescent="0.25">
      <c r="A75" t="s">
        <v>537</v>
      </c>
      <c r="B75" t="s">
        <v>733</v>
      </c>
      <c r="C75" t="s">
        <v>344</v>
      </c>
      <c r="D75" t="s">
        <v>113</v>
      </c>
      <c r="E75" t="str">
        <f t="shared" si="1"/>
        <v>Goalkeeper</v>
      </c>
      <c r="F75" t="s">
        <v>734</v>
      </c>
      <c r="G75" t="s">
        <v>735</v>
      </c>
      <c r="H75" t="s">
        <v>113</v>
      </c>
    </row>
    <row r="76" spans="1:8" x14ac:dyDescent="0.25">
      <c r="A76" t="s">
        <v>537</v>
      </c>
      <c r="B76" t="s">
        <v>736</v>
      </c>
      <c r="C76" t="s">
        <v>737</v>
      </c>
      <c r="D76" t="s">
        <v>113</v>
      </c>
      <c r="E76" t="str">
        <f t="shared" si="1"/>
        <v>Goalkeeper</v>
      </c>
    </row>
    <row r="77" spans="1:8" x14ac:dyDescent="0.25">
      <c r="A77" t="s">
        <v>544</v>
      </c>
      <c r="E77" t="str">
        <f t="shared" si="1"/>
        <v>Defender</v>
      </c>
    </row>
    <row r="78" spans="1:8" x14ac:dyDescent="0.25">
      <c r="A78" t="s">
        <v>544</v>
      </c>
      <c r="B78" t="s">
        <v>738</v>
      </c>
      <c r="C78" t="s">
        <v>739</v>
      </c>
      <c r="D78" t="s">
        <v>113</v>
      </c>
      <c r="E78" t="str">
        <f t="shared" si="1"/>
        <v>Defender</v>
      </c>
      <c r="F78" t="s">
        <v>740</v>
      </c>
      <c r="G78" t="s">
        <v>741</v>
      </c>
      <c r="H78" t="s">
        <v>113</v>
      </c>
    </row>
    <row r="79" spans="1:8" x14ac:dyDescent="0.25">
      <c r="A79" t="s">
        <v>544</v>
      </c>
      <c r="B79" t="s">
        <v>742</v>
      </c>
      <c r="C79" t="s">
        <v>743</v>
      </c>
      <c r="D79" t="s">
        <v>113</v>
      </c>
      <c r="E79" t="str">
        <f t="shared" si="1"/>
        <v>Defender</v>
      </c>
      <c r="F79" t="s">
        <v>744</v>
      </c>
      <c r="G79" t="s">
        <v>745</v>
      </c>
      <c r="H79" t="s">
        <v>113</v>
      </c>
    </row>
    <row r="80" spans="1:8" x14ac:dyDescent="0.25">
      <c r="A80" t="s">
        <v>544</v>
      </c>
      <c r="B80" t="s">
        <v>746</v>
      </c>
      <c r="C80" t="s">
        <v>747</v>
      </c>
      <c r="D80" t="s">
        <v>113</v>
      </c>
      <c r="E80" t="str">
        <f t="shared" si="1"/>
        <v>Defender</v>
      </c>
      <c r="F80" t="s">
        <v>748</v>
      </c>
      <c r="G80" t="s">
        <v>749</v>
      </c>
      <c r="H80" t="s">
        <v>113</v>
      </c>
    </row>
    <row r="81" spans="1:8" x14ac:dyDescent="0.25">
      <c r="A81" t="s">
        <v>544</v>
      </c>
      <c r="B81" t="s">
        <v>750</v>
      </c>
      <c r="C81" t="s">
        <v>432</v>
      </c>
      <c r="D81" t="s">
        <v>113</v>
      </c>
      <c r="E81" t="str">
        <f t="shared" si="1"/>
        <v>Defender</v>
      </c>
      <c r="F81" t="s">
        <v>751</v>
      </c>
      <c r="G81" t="s">
        <v>752</v>
      </c>
      <c r="H81" t="s">
        <v>113</v>
      </c>
    </row>
    <row r="82" spans="1:8" x14ac:dyDescent="0.25">
      <c r="A82" t="s">
        <v>544</v>
      </c>
      <c r="B82" t="s">
        <v>753</v>
      </c>
      <c r="C82" t="s">
        <v>754</v>
      </c>
      <c r="D82" t="s">
        <v>113</v>
      </c>
      <c r="E82" t="str">
        <f t="shared" si="1"/>
        <v>Defender</v>
      </c>
    </row>
    <row r="83" spans="1:8" x14ac:dyDescent="0.25">
      <c r="A83" t="s">
        <v>563</v>
      </c>
      <c r="E83" t="str">
        <f t="shared" si="1"/>
        <v>Midfielder</v>
      </c>
    </row>
    <row r="84" spans="1:8" x14ac:dyDescent="0.25">
      <c r="A84" t="s">
        <v>563</v>
      </c>
      <c r="B84" t="s">
        <v>755</v>
      </c>
      <c r="C84" t="s">
        <v>756</v>
      </c>
      <c r="D84" t="s">
        <v>113</v>
      </c>
      <c r="E84" t="str">
        <f t="shared" si="1"/>
        <v>Midfielder</v>
      </c>
      <c r="F84" t="s">
        <v>757</v>
      </c>
      <c r="G84" t="s">
        <v>758</v>
      </c>
      <c r="H84" t="s">
        <v>113</v>
      </c>
    </row>
    <row r="85" spans="1:8" x14ac:dyDescent="0.25">
      <c r="A85" t="s">
        <v>563</v>
      </c>
      <c r="B85" t="s">
        <v>759</v>
      </c>
      <c r="C85" t="s">
        <v>322</v>
      </c>
      <c r="D85" t="s">
        <v>113</v>
      </c>
      <c r="E85" t="str">
        <f t="shared" si="1"/>
        <v>Midfielder</v>
      </c>
      <c r="F85" t="s">
        <v>760</v>
      </c>
      <c r="G85" t="s">
        <v>761</v>
      </c>
      <c r="H85" t="s">
        <v>113</v>
      </c>
    </row>
    <row r="86" spans="1:8" x14ac:dyDescent="0.25">
      <c r="A86" t="s">
        <v>563</v>
      </c>
      <c r="B86" t="s">
        <v>762</v>
      </c>
      <c r="C86" t="s">
        <v>448</v>
      </c>
      <c r="D86" t="s">
        <v>113</v>
      </c>
      <c r="E86" t="str">
        <f t="shared" si="1"/>
        <v>Midfielder</v>
      </c>
      <c r="F86" t="s">
        <v>763</v>
      </c>
      <c r="G86" t="s">
        <v>764</v>
      </c>
      <c r="H86" t="s">
        <v>113</v>
      </c>
    </row>
    <row r="87" spans="1:8" x14ac:dyDescent="0.25">
      <c r="A87" t="s">
        <v>578</v>
      </c>
      <c r="E87" t="str">
        <f t="shared" si="1"/>
        <v>Forward</v>
      </c>
    </row>
    <row r="88" spans="1:8" x14ac:dyDescent="0.25">
      <c r="A88" t="s">
        <v>578</v>
      </c>
      <c r="B88" t="s">
        <v>765</v>
      </c>
      <c r="C88" t="s">
        <v>535</v>
      </c>
      <c r="D88" t="s">
        <v>113</v>
      </c>
      <c r="E88" t="str">
        <f t="shared" si="1"/>
        <v>Forward</v>
      </c>
      <c r="F88" t="s">
        <v>766</v>
      </c>
      <c r="G88" t="s">
        <v>767</v>
      </c>
      <c r="H88" t="s">
        <v>113</v>
      </c>
    </row>
    <row r="89" spans="1:8" x14ac:dyDescent="0.25">
      <c r="A89" t="s">
        <v>578</v>
      </c>
      <c r="B89" t="s">
        <v>768</v>
      </c>
      <c r="C89" t="s">
        <v>460</v>
      </c>
      <c r="D89" t="s">
        <v>113</v>
      </c>
      <c r="E89" t="str">
        <f t="shared" si="1"/>
        <v>Forward</v>
      </c>
      <c r="F89" t="s">
        <v>769</v>
      </c>
      <c r="G89" t="s">
        <v>770</v>
      </c>
      <c r="H89" t="s">
        <v>113</v>
      </c>
    </row>
    <row r="90" spans="1:8" x14ac:dyDescent="0.25">
      <c r="A90" t="s">
        <v>578</v>
      </c>
      <c r="B90" t="s">
        <v>771</v>
      </c>
      <c r="C90" t="s">
        <v>324</v>
      </c>
      <c r="D90" t="s">
        <v>113</v>
      </c>
      <c r="E90" t="str">
        <f t="shared" si="1"/>
        <v>Forward</v>
      </c>
      <c r="F90" t="s">
        <v>772</v>
      </c>
      <c r="G90" t="s">
        <v>773</v>
      </c>
      <c r="H90" t="s">
        <v>113</v>
      </c>
    </row>
    <row r="91" spans="1:8" x14ac:dyDescent="0.25">
      <c r="A91" t="s">
        <v>578</v>
      </c>
      <c r="B91" t="s">
        <v>774</v>
      </c>
      <c r="C91" t="s">
        <v>775</v>
      </c>
      <c r="D91" t="s">
        <v>113</v>
      </c>
      <c r="E91" t="str">
        <f t="shared" si="1"/>
        <v>Forward</v>
      </c>
      <c r="F91" t="s">
        <v>776</v>
      </c>
      <c r="G91" t="s">
        <v>777</v>
      </c>
      <c r="H91" t="s">
        <v>113</v>
      </c>
    </row>
    <row r="92" spans="1:8" x14ac:dyDescent="0.25">
      <c r="A92" t="s">
        <v>537</v>
      </c>
      <c r="E92" t="str">
        <f t="shared" si="1"/>
        <v>Goalkeeper</v>
      </c>
    </row>
    <row r="93" spans="1:8" x14ac:dyDescent="0.25">
      <c r="A93" t="s">
        <v>537</v>
      </c>
      <c r="B93" t="s">
        <v>778</v>
      </c>
      <c r="C93" t="s">
        <v>779</v>
      </c>
      <c r="D93" t="s">
        <v>780</v>
      </c>
      <c r="E93" t="str">
        <f t="shared" si="1"/>
        <v>Goalkeeper</v>
      </c>
      <c r="F93" t="s">
        <v>781</v>
      </c>
      <c r="G93" t="s">
        <v>782</v>
      </c>
      <c r="H93" t="s">
        <v>780</v>
      </c>
    </row>
    <row r="94" spans="1:8" x14ac:dyDescent="0.25">
      <c r="A94" t="s">
        <v>537</v>
      </c>
      <c r="B94" t="s">
        <v>783</v>
      </c>
      <c r="C94" t="s">
        <v>784</v>
      </c>
      <c r="D94" t="s">
        <v>780</v>
      </c>
      <c r="E94" t="str">
        <f t="shared" si="1"/>
        <v>Goalkeeper</v>
      </c>
    </row>
    <row r="95" spans="1:8" x14ac:dyDescent="0.25">
      <c r="A95" t="s">
        <v>544</v>
      </c>
      <c r="E95" t="str">
        <f t="shared" si="1"/>
        <v>Defender</v>
      </c>
    </row>
    <row r="96" spans="1:8" x14ac:dyDescent="0.25">
      <c r="A96" t="s">
        <v>544</v>
      </c>
      <c r="B96" t="s">
        <v>785</v>
      </c>
      <c r="C96" t="s">
        <v>786</v>
      </c>
      <c r="D96" t="s">
        <v>780</v>
      </c>
      <c r="E96" t="str">
        <f t="shared" si="1"/>
        <v>Defender</v>
      </c>
      <c r="F96" t="s">
        <v>787</v>
      </c>
      <c r="G96" t="s">
        <v>788</v>
      </c>
      <c r="H96" t="s">
        <v>780</v>
      </c>
    </row>
    <row r="97" spans="1:8" x14ac:dyDescent="0.25">
      <c r="A97" t="s">
        <v>544</v>
      </c>
      <c r="B97" t="s">
        <v>789</v>
      </c>
      <c r="C97" t="s">
        <v>790</v>
      </c>
      <c r="D97" t="s">
        <v>780</v>
      </c>
      <c r="E97" t="str">
        <f t="shared" si="1"/>
        <v>Defender</v>
      </c>
      <c r="F97" t="s">
        <v>791</v>
      </c>
      <c r="G97" t="s">
        <v>792</v>
      </c>
      <c r="H97" t="s">
        <v>780</v>
      </c>
    </row>
    <row r="98" spans="1:8" x14ac:dyDescent="0.25">
      <c r="A98" t="s">
        <v>544</v>
      </c>
      <c r="B98" t="s">
        <v>793</v>
      </c>
      <c r="C98" t="s">
        <v>794</v>
      </c>
      <c r="D98" t="s">
        <v>780</v>
      </c>
      <c r="E98" t="str">
        <f t="shared" si="1"/>
        <v>Defender</v>
      </c>
      <c r="F98" t="s">
        <v>795</v>
      </c>
      <c r="G98" t="s">
        <v>796</v>
      </c>
      <c r="H98" t="s">
        <v>780</v>
      </c>
    </row>
    <row r="99" spans="1:8" x14ac:dyDescent="0.25">
      <c r="A99" t="s">
        <v>544</v>
      </c>
      <c r="B99" t="s">
        <v>797</v>
      </c>
      <c r="C99" t="s">
        <v>798</v>
      </c>
      <c r="D99" t="s">
        <v>780</v>
      </c>
      <c r="E99" t="str">
        <f t="shared" si="1"/>
        <v>Defender</v>
      </c>
      <c r="F99" t="s">
        <v>799</v>
      </c>
      <c r="G99" t="s">
        <v>800</v>
      </c>
      <c r="H99" t="s">
        <v>780</v>
      </c>
    </row>
    <row r="100" spans="1:8" x14ac:dyDescent="0.25">
      <c r="A100" t="s">
        <v>563</v>
      </c>
      <c r="E100" t="str">
        <f t="shared" si="1"/>
        <v>Midfielder</v>
      </c>
    </row>
    <row r="101" spans="1:8" x14ac:dyDescent="0.25">
      <c r="A101" t="s">
        <v>563</v>
      </c>
      <c r="B101" t="s">
        <v>801</v>
      </c>
      <c r="C101" t="s">
        <v>802</v>
      </c>
      <c r="D101" t="s">
        <v>780</v>
      </c>
      <c r="E101" t="str">
        <f t="shared" si="1"/>
        <v>Midfielder</v>
      </c>
      <c r="F101" t="s">
        <v>803</v>
      </c>
      <c r="G101" t="s">
        <v>804</v>
      </c>
      <c r="H101" t="s">
        <v>780</v>
      </c>
    </row>
    <row r="102" spans="1:8" x14ac:dyDescent="0.25">
      <c r="A102" t="s">
        <v>563</v>
      </c>
      <c r="B102" t="s">
        <v>805</v>
      </c>
      <c r="C102" t="s">
        <v>806</v>
      </c>
      <c r="D102" t="s">
        <v>780</v>
      </c>
      <c r="E102" t="str">
        <f t="shared" si="1"/>
        <v>Midfielder</v>
      </c>
      <c r="F102" t="s">
        <v>807</v>
      </c>
      <c r="G102" t="s">
        <v>808</v>
      </c>
      <c r="H102" t="s">
        <v>780</v>
      </c>
    </row>
    <row r="103" spans="1:8" x14ac:dyDescent="0.25">
      <c r="A103" t="s">
        <v>563</v>
      </c>
      <c r="B103" t="s">
        <v>809</v>
      </c>
      <c r="C103" t="s">
        <v>810</v>
      </c>
      <c r="D103" t="s">
        <v>780</v>
      </c>
      <c r="E103" t="str">
        <f t="shared" si="1"/>
        <v>Midfielder</v>
      </c>
      <c r="F103" t="s">
        <v>811</v>
      </c>
      <c r="G103" t="s">
        <v>812</v>
      </c>
      <c r="H103" t="s">
        <v>780</v>
      </c>
    </row>
    <row r="104" spans="1:8" x14ac:dyDescent="0.25">
      <c r="A104" t="s">
        <v>563</v>
      </c>
      <c r="B104" t="s">
        <v>813</v>
      </c>
      <c r="C104" t="s">
        <v>814</v>
      </c>
      <c r="D104" t="s">
        <v>780</v>
      </c>
      <c r="E104" t="str">
        <f t="shared" si="1"/>
        <v>Midfielder</v>
      </c>
      <c r="F104" t="s">
        <v>815</v>
      </c>
      <c r="G104" t="s">
        <v>816</v>
      </c>
      <c r="H104" t="s">
        <v>780</v>
      </c>
    </row>
    <row r="105" spans="1:8" x14ac:dyDescent="0.25">
      <c r="A105" t="s">
        <v>578</v>
      </c>
      <c r="E105" t="str">
        <f t="shared" si="1"/>
        <v>Forward</v>
      </c>
    </row>
    <row r="106" spans="1:8" x14ac:dyDescent="0.25">
      <c r="A106" t="s">
        <v>578</v>
      </c>
      <c r="B106" t="s">
        <v>817</v>
      </c>
      <c r="C106" t="s">
        <v>818</v>
      </c>
      <c r="D106" t="s">
        <v>780</v>
      </c>
      <c r="E106" t="str">
        <f t="shared" si="1"/>
        <v>Forward</v>
      </c>
      <c r="F106" t="s">
        <v>819</v>
      </c>
      <c r="G106" t="s">
        <v>820</v>
      </c>
      <c r="H106" t="s">
        <v>780</v>
      </c>
    </row>
    <row r="107" spans="1:8" x14ac:dyDescent="0.25">
      <c r="A107" t="s">
        <v>578</v>
      </c>
      <c r="B107" t="s">
        <v>821</v>
      </c>
      <c r="C107" t="s">
        <v>822</v>
      </c>
      <c r="D107" t="s">
        <v>780</v>
      </c>
      <c r="E107" t="str">
        <f t="shared" si="1"/>
        <v>Forward</v>
      </c>
      <c r="F107" t="s">
        <v>823</v>
      </c>
      <c r="G107" t="s">
        <v>824</v>
      </c>
      <c r="H107" t="s">
        <v>780</v>
      </c>
    </row>
    <row r="108" spans="1:8" x14ac:dyDescent="0.25">
      <c r="A108" t="s">
        <v>578</v>
      </c>
      <c r="B108" t="s">
        <v>825</v>
      </c>
      <c r="C108" t="s">
        <v>826</v>
      </c>
      <c r="D108" t="s">
        <v>780</v>
      </c>
      <c r="E108" t="str">
        <f t="shared" si="1"/>
        <v>Forward</v>
      </c>
      <c r="F108" t="s">
        <v>827</v>
      </c>
      <c r="G108" t="s">
        <v>828</v>
      </c>
      <c r="H108" t="s">
        <v>780</v>
      </c>
    </row>
    <row r="109" spans="1:8" x14ac:dyDescent="0.25">
      <c r="A109" t="s">
        <v>578</v>
      </c>
      <c r="B109" t="s">
        <v>829</v>
      </c>
      <c r="C109" t="s">
        <v>830</v>
      </c>
      <c r="D109" t="s">
        <v>780</v>
      </c>
      <c r="E109" t="str">
        <f t="shared" si="1"/>
        <v>Forward</v>
      </c>
    </row>
    <row r="110" spans="1:8" x14ac:dyDescent="0.25">
      <c r="A110" t="s">
        <v>537</v>
      </c>
      <c r="E110" t="str">
        <f t="shared" si="1"/>
        <v>Goalkeeper</v>
      </c>
    </row>
    <row r="111" spans="1:8" x14ac:dyDescent="0.25">
      <c r="A111" t="s">
        <v>537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497</v>
      </c>
      <c r="G111" t="s">
        <v>497</v>
      </c>
      <c r="H111" t="s">
        <v>78</v>
      </c>
    </row>
    <row r="112" spans="1:8" x14ac:dyDescent="0.25">
      <c r="A112" t="s">
        <v>537</v>
      </c>
      <c r="B112" t="s">
        <v>831</v>
      </c>
      <c r="C112" t="s">
        <v>831</v>
      </c>
      <c r="D112" t="s">
        <v>78</v>
      </c>
      <c r="E112" t="str">
        <f t="shared" si="1"/>
        <v>Goalkeeper</v>
      </c>
    </row>
    <row r="113" spans="1:8" x14ac:dyDescent="0.25">
      <c r="A113" t="s">
        <v>544</v>
      </c>
      <c r="E113" t="str">
        <f t="shared" si="1"/>
        <v>Defender</v>
      </c>
    </row>
    <row r="114" spans="1:8" x14ac:dyDescent="0.25">
      <c r="A114" t="s">
        <v>544</v>
      </c>
      <c r="B114" t="s">
        <v>832</v>
      </c>
      <c r="C114" t="s">
        <v>832</v>
      </c>
      <c r="D114" t="s">
        <v>78</v>
      </c>
      <c r="E114" t="str">
        <f t="shared" si="1"/>
        <v>Defender</v>
      </c>
      <c r="F114" t="s">
        <v>833</v>
      </c>
      <c r="G114" t="s">
        <v>833</v>
      </c>
      <c r="H114" t="s">
        <v>78</v>
      </c>
    </row>
    <row r="115" spans="1:8" x14ac:dyDescent="0.25">
      <c r="A115" t="s">
        <v>544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834</v>
      </c>
      <c r="G115" t="s">
        <v>834</v>
      </c>
      <c r="H115" t="s">
        <v>78</v>
      </c>
    </row>
    <row r="116" spans="1:8" x14ac:dyDescent="0.25">
      <c r="A116" t="s">
        <v>544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835</v>
      </c>
      <c r="G116" t="s">
        <v>835</v>
      </c>
      <c r="H116" t="s">
        <v>78</v>
      </c>
    </row>
    <row r="117" spans="1:8" x14ac:dyDescent="0.25">
      <c r="A117" t="s">
        <v>544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836</v>
      </c>
      <c r="G117" t="s">
        <v>836</v>
      </c>
      <c r="H117" t="s">
        <v>78</v>
      </c>
    </row>
    <row r="118" spans="1:8" x14ac:dyDescent="0.25">
      <c r="A118" t="s">
        <v>544</v>
      </c>
      <c r="B118" t="s">
        <v>531</v>
      </c>
      <c r="C118" t="s">
        <v>531</v>
      </c>
      <c r="D118" t="s">
        <v>78</v>
      </c>
      <c r="E118" t="str">
        <f t="shared" si="1"/>
        <v>Defender</v>
      </c>
    </row>
    <row r="119" spans="1:8" x14ac:dyDescent="0.25">
      <c r="A119" t="s">
        <v>563</v>
      </c>
      <c r="E119" t="str">
        <f t="shared" si="1"/>
        <v>Midfielder</v>
      </c>
    </row>
    <row r="120" spans="1:8" x14ac:dyDescent="0.25">
      <c r="A120" t="s">
        <v>563</v>
      </c>
      <c r="B120" t="s">
        <v>837</v>
      </c>
      <c r="C120" t="s">
        <v>837</v>
      </c>
      <c r="D120" t="s">
        <v>78</v>
      </c>
      <c r="E120" t="str">
        <f t="shared" si="1"/>
        <v>Midfielder</v>
      </c>
      <c r="F120" t="s">
        <v>838</v>
      </c>
      <c r="G120" t="s">
        <v>838</v>
      </c>
      <c r="H120" t="s">
        <v>78</v>
      </c>
    </row>
    <row r="121" spans="1:8" x14ac:dyDescent="0.25">
      <c r="A121" t="s">
        <v>563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839</v>
      </c>
      <c r="G121" t="s">
        <v>839</v>
      </c>
      <c r="H121" t="s">
        <v>78</v>
      </c>
    </row>
    <row r="122" spans="1:8" x14ac:dyDescent="0.25">
      <c r="A122" t="s">
        <v>563</v>
      </c>
      <c r="B122" t="s">
        <v>840</v>
      </c>
      <c r="C122" t="s">
        <v>840</v>
      </c>
      <c r="D122" t="s">
        <v>78</v>
      </c>
      <c r="E122" t="str">
        <f t="shared" si="1"/>
        <v>Midfielder</v>
      </c>
    </row>
    <row r="123" spans="1:8" x14ac:dyDescent="0.25">
      <c r="A123" t="s">
        <v>578</v>
      </c>
      <c r="E123" t="str">
        <f t="shared" si="1"/>
        <v>Forward</v>
      </c>
    </row>
    <row r="124" spans="1:8" x14ac:dyDescent="0.25">
      <c r="A124" t="s">
        <v>578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841</v>
      </c>
      <c r="G124" t="s">
        <v>841</v>
      </c>
      <c r="H124" t="s">
        <v>78</v>
      </c>
    </row>
    <row r="125" spans="1:8" x14ac:dyDescent="0.25">
      <c r="A125" t="s">
        <v>578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842</v>
      </c>
      <c r="G125" t="s">
        <v>842</v>
      </c>
      <c r="H125" t="s">
        <v>78</v>
      </c>
    </row>
    <row r="126" spans="1:8" x14ac:dyDescent="0.25">
      <c r="A126" t="s">
        <v>578</v>
      </c>
      <c r="B126" t="s">
        <v>843</v>
      </c>
      <c r="C126" t="s">
        <v>843</v>
      </c>
      <c r="D126" t="s">
        <v>78</v>
      </c>
      <c r="E126" t="str">
        <f t="shared" si="1"/>
        <v>Forward</v>
      </c>
      <c r="F126" t="s">
        <v>844</v>
      </c>
      <c r="G126" t="s">
        <v>844</v>
      </c>
      <c r="H126" t="s">
        <v>78</v>
      </c>
    </row>
    <row r="127" spans="1:8" x14ac:dyDescent="0.25">
      <c r="A127" t="s">
        <v>578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845</v>
      </c>
      <c r="G127" t="s">
        <v>845</v>
      </c>
      <c r="H127" t="s">
        <v>78</v>
      </c>
    </row>
    <row r="128" spans="1:8" x14ac:dyDescent="0.25">
      <c r="A128" t="s">
        <v>578</v>
      </c>
      <c r="B128" t="s">
        <v>846</v>
      </c>
      <c r="C128" t="s">
        <v>846</v>
      </c>
      <c r="D128" t="s">
        <v>78</v>
      </c>
      <c r="E128" t="str">
        <f t="shared" si="1"/>
        <v>Forward</v>
      </c>
    </row>
    <row r="129" spans="1:8" x14ac:dyDescent="0.25">
      <c r="A129" t="s">
        <v>537</v>
      </c>
      <c r="E129" t="str">
        <f t="shared" si="1"/>
        <v>Goalkeeper</v>
      </c>
    </row>
    <row r="130" spans="1:8" x14ac:dyDescent="0.25">
      <c r="A130" t="s">
        <v>537</v>
      </c>
      <c r="B130" t="s">
        <v>847</v>
      </c>
      <c r="C130" t="s">
        <v>847</v>
      </c>
      <c r="D130" t="s">
        <v>40</v>
      </c>
      <c r="E130" t="str">
        <f t="shared" si="1"/>
        <v>Goalkeeper</v>
      </c>
      <c r="F130" t="s">
        <v>848</v>
      </c>
      <c r="G130" t="s">
        <v>848</v>
      </c>
      <c r="H130" t="s">
        <v>40</v>
      </c>
    </row>
    <row r="131" spans="1:8" x14ac:dyDescent="0.25">
      <c r="A131" t="s">
        <v>537</v>
      </c>
      <c r="B131" t="s">
        <v>849</v>
      </c>
      <c r="C131" t="s">
        <v>849</v>
      </c>
      <c r="D131" t="s">
        <v>40</v>
      </c>
      <c r="E131" t="str">
        <f t="shared" ref="E131:E194" si="2">A131</f>
        <v>Goalkeeper</v>
      </c>
    </row>
    <row r="132" spans="1:8" x14ac:dyDescent="0.25">
      <c r="A132" t="s">
        <v>544</v>
      </c>
      <c r="E132" t="str">
        <f t="shared" si="2"/>
        <v>Defender</v>
      </c>
    </row>
    <row r="133" spans="1:8" x14ac:dyDescent="0.25">
      <c r="A133" t="s">
        <v>544</v>
      </c>
      <c r="B133" t="s">
        <v>850</v>
      </c>
      <c r="C133" t="s">
        <v>850</v>
      </c>
      <c r="D133" t="s">
        <v>40</v>
      </c>
      <c r="E133" t="str">
        <f t="shared" si="2"/>
        <v>Defender</v>
      </c>
      <c r="F133" t="s">
        <v>851</v>
      </c>
      <c r="G133" t="s">
        <v>851</v>
      </c>
      <c r="H133" t="s">
        <v>40</v>
      </c>
    </row>
    <row r="134" spans="1:8" x14ac:dyDescent="0.25">
      <c r="A134" t="s">
        <v>544</v>
      </c>
      <c r="B134" t="s">
        <v>852</v>
      </c>
      <c r="C134" t="s">
        <v>852</v>
      </c>
      <c r="D134" t="s">
        <v>40</v>
      </c>
      <c r="E134" t="str">
        <f t="shared" si="2"/>
        <v>Defender</v>
      </c>
      <c r="F134" t="s">
        <v>853</v>
      </c>
      <c r="G134" t="s">
        <v>853</v>
      </c>
      <c r="H134" t="s">
        <v>40</v>
      </c>
    </row>
    <row r="135" spans="1:8" x14ac:dyDescent="0.25">
      <c r="A135" t="s">
        <v>544</v>
      </c>
      <c r="B135" t="s">
        <v>854</v>
      </c>
      <c r="C135" t="s">
        <v>854</v>
      </c>
      <c r="D135" t="s">
        <v>40</v>
      </c>
      <c r="E135" t="str">
        <f t="shared" si="2"/>
        <v>Defender</v>
      </c>
      <c r="F135" t="s">
        <v>855</v>
      </c>
      <c r="G135" t="s">
        <v>855</v>
      </c>
      <c r="H135" t="s">
        <v>40</v>
      </c>
    </row>
    <row r="136" spans="1:8" x14ac:dyDescent="0.25">
      <c r="A136" t="s">
        <v>544</v>
      </c>
      <c r="B136" t="s">
        <v>856</v>
      </c>
      <c r="C136" t="s">
        <v>856</v>
      </c>
      <c r="D136" t="s">
        <v>40</v>
      </c>
      <c r="E136" t="str">
        <f t="shared" si="2"/>
        <v>Defender</v>
      </c>
      <c r="F136" t="s">
        <v>857</v>
      </c>
      <c r="G136" t="s">
        <v>857</v>
      </c>
      <c r="H136" t="s">
        <v>40</v>
      </c>
    </row>
    <row r="137" spans="1:8" x14ac:dyDescent="0.25">
      <c r="A137" t="s">
        <v>563</v>
      </c>
      <c r="E137" t="str">
        <f t="shared" si="2"/>
        <v>Midfielder</v>
      </c>
    </row>
    <row r="138" spans="1:8" x14ac:dyDescent="0.25">
      <c r="A138" t="s">
        <v>563</v>
      </c>
      <c r="B138" t="s">
        <v>858</v>
      </c>
      <c r="C138" t="s">
        <v>858</v>
      </c>
      <c r="D138" t="s">
        <v>40</v>
      </c>
      <c r="E138" t="str">
        <f t="shared" si="2"/>
        <v>Midfielder</v>
      </c>
      <c r="F138" t="s">
        <v>859</v>
      </c>
      <c r="G138" t="s">
        <v>859</v>
      </c>
      <c r="H138" t="s">
        <v>40</v>
      </c>
    </row>
    <row r="139" spans="1:8" x14ac:dyDescent="0.25">
      <c r="A139" t="s">
        <v>563</v>
      </c>
      <c r="B139" t="s">
        <v>860</v>
      </c>
      <c r="C139" t="s">
        <v>860</v>
      </c>
      <c r="D139" t="s">
        <v>40</v>
      </c>
      <c r="E139" t="str">
        <f t="shared" si="2"/>
        <v>Midfielder</v>
      </c>
      <c r="F139" t="s">
        <v>861</v>
      </c>
      <c r="G139" t="s">
        <v>861</v>
      </c>
      <c r="H139" t="s">
        <v>40</v>
      </c>
    </row>
    <row r="140" spans="1:8" x14ac:dyDescent="0.25">
      <c r="A140" t="s">
        <v>563</v>
      </c>
      <c r="B140" t="s">
        <v>862</v>
      </c>
      <c r="C140" t="s">
        <v>862</v>
      </c>
      <c r="D140" t="s">
        <v>40</v>
      </c>
      <c r="E140" t="str">
        <f t="shared" si="2"/>
        <v>Midfielder</v>
      </c>
      <c r="F140" t="s">
        <v>863</v>
      </c>
      <c r="G140" t="s">
        <v>863</v>
      </c>
      <c r="H140" t="s">
        <v>40</v>
      </c>
    </row>
    <row r="141" spans="1:8" x14ac:dyDescent="0.25">
      <c r="A141" t="s">
        <v>563</v>
      </c>
      <c r="B141" t="s">
        <v>864</v>
      </c>
      <c r="C141" t="s">
        <v>864</v>
      </c>
      <c r="D141" t="s">
        <v>40</v>
      </c>
      <c r="E141" t="str">
        <f t="shared" si="2"/>
        <v>Midfielder</v>
      </c>
    </row>
    <row r="142" spans="1:8" x14ac:dyDescent="0.25">
      <c r="A142" t="s">
        <v>578</v>
      </c>
      <c r="E142" t="str">
        <f t="shared" si="2"/>
        <v>Forward</v>
      </c>
    </row>
    <row r="143" spans="1:8" x14ac:dyDescent="0.25">
      <c r="A143" t="s">
        <v>578</v>
      </c>
      <c r="B143" t="s">
        <v>865</v>
      </c>
      <c r="C143" t="s">
        <v>865</v>
      </c>
      <c r="D143" t="s">
        <v>40</v>
      </c>
      <c r="E143" t="str">
        <f t="shared" si="2"/>
        <v>Forward</v>
      </c>
      <c r="F143" t="s">
        <v>866</v>
      </c>
      <c r="G143" t="s">
        <v>866</v>
      </c>
      <c r="H143" t="s">
        <v>40</v>
      </c>
    </row>
    <row r="144" spans="1:8" x14ac:dyDescent="0.25">
      <c r="A144" t="s">
        <v>578</v>
      </c>
      <c r="B144" t="s">
        <v>867</v>
      </c>
      <c r="C144" t="s">
        <v>867</v>
      </c>
      <c r="D144" t="s">
        <v>40</v>
      </c>
      <c r="E144" t="str">
        <f t="shared" si="2"/>
        <v>Forward</v>
      </c>
      <c r="F144" t="s">
        <v>868</v>
      </c>
      <c r="G144" t="s">
        <v>868</v>
      </c>
      <c r="H144" t="s">
        <v>40</v>
      </c>
    </row>
    <row r="145" spans="1:8" x14ac:dyDescent="0.25">
      <c r="A145" t="s">
        <v>578</v>
      </c>
      <c r="B145" t="s">
        <v>869</v>
      </c>
      <c r="C145" t="s">
        <v>869</v>
      </c>
      <c r="D145" t="s">
        <v>40</v>
      </c>
      <c r="E145" t="str">
        <f t="shared" si="2"/>
        <v>Forward</v>
      </c>
      <c r="F145" t="s">
        <v>870</v>
      </c>
      <c r="G145" t="s">
        <v>870</v>
      </c>
      <c r="H145" t="s">
        <v>40</v>
      </c>
    </row>
    <row r="146" spans="1:8" x14ac:dyDescent="0.25">
      <c r="A146" t="s">
        <v>578</v>
      </c>
      <c r="B146" t="s">
        <v>871</v>
      </c>
      <c r="C146" t="s">
        <v>871</v>
      </c>
      <c r="D146" t="s">
        <v>40</v>
      </c>
      <c r="E146" t="str">
        <f t="shared" si="2"/>
        <v>Forward</v>
      </c>
      <c r="F146" t="s">
        <v>872</v>
      </c>
      <c r="G146" t="s">
        <v>872</v>
      </c>
      <c r="H146" t="s">
        <v>40</v>
      </c>
    </row>
    <row r="147" spans="1:8" x14ac:dyDescent="0.25">
      <c r="A147" t="s">
        <v>537</v>
      </c>
      <c r="E147" t="str">
        <f t="shared" si="2"/>
        <v>Goalkeeper</v>
      </c>
    </row>
    <row r="148" spans="1:8" x14ac:dyDescent="0.25">
      <c r="A148" t="s">
        <v>537</v>
      </c>
      <c r="B148" t="s">
        <v>873</v>
      </c>
      <c r="C148" t="s">
        <v>874</v>
      </c>
      <c r="D148" t="s">
        <v>83</v>
      </c>
      <c r="E148" t="str">
        <f t="shared" si="2"/>
        <v>Goalkeeper</v>
      </c>
      <c r="F148" t="s">
        <v>875</v>
      </c>
      <c r="G148" t="s">
        <v>876</v>
      </c>
      <c r="H148" t="s">
        <v>83</v>
      </c>
    </row>
    <row r="149" spans="1:8" x14ac:dyDescent="0.25">
      <c r="A149" t="s">
        <v>537</v>
      </c>
      <c r="B149" t="s">
        <v>877</v>
      </c>
      <c r="C149" t="s">
        <v>878</v>
      </c>
      <c r="D149" t="s">
        <v>83</v>
      </c>
      <c r="E149" t="str">
        <f t="shared" si="2"/>
        <v>Goalkeeper</v>
      </c>
    </row>
    <row r="150" spans="1:8" x14ac:dyDescent="0.25">
      <c r="A150" t="s">
        <v>544</v>
      </c>
      <c r="E150" t="str">
        <f t="shared" si="2"/>
        <v>Defender</v>
      </c>
    </row>
    <row r="151" spans="1:8" x14ac:dyDescent="0.25">
      <c r="A151" t="s">
        <v>544</v>
      </c>
      <c r="B151" t="s">
        <v>879</v>
      </c>
      <c r="C151" t="s">
        <v>880</v>
      </c>
      <c r="D151" t="s">
        <v>83</v>
      </c>
      <c r="E151" t="str">
        <f t="shared" si="2"/>
        <v>Defender</v>
      </c>
      <c r="F151" t="s">
        <v>881</v>
      </c>
      <c r="G151" t="s">
        <v>882</v>
      </c>
      <c r="H151" t="s">
        <v>83</v>
      </c>
    </row>
    <row r="152" spans="1:8" x14ac:dyDescent="0.25">
      <c r="A152" t="s">
        <v>544</v>
      </c>
      <c r="B152" t="s">
        <v>883</v>
      </c>
      <c r="C152" t="s">
        <v>884</v>
      </c>
      <c r="D152" t="s">
        <v>83</v>
      </c>
      <c r="E152" t="str">
        <f t="shared" si="2"/>
        <v>Defender</v>
      </c>
      <c r="F152" t="s">
        <v>885</v>
      </c>
      <c r="G152" t="s">
        <v>886</v>
      </c>
      <c r="H152" t="s">
        <v>83</v>
      </c>
    </row>
    <row r="153" spans="1:8" x14ac:dyDescent="0.25">
      <c r="A153" t="s">
        <v>544</v>
      </c>
      <c r="B153" t="s">
        <v>887</v>
      </c>
      <c r="C153" t="s">
        <v>888</v>
      </c>
      <c r="D153" t="s">
        <v>83</v>
      </c>
      <c r="E153" t="str">
        <f t="shared" si="2"/>
        <v>Defender</v>
      </c>
      <c r="F153" t="s">
        <v>889</v>
      </c>
      <c r="G153" t="s">
        <v>487</v>
      </c>
      <c r="H153" t="s">
        <v>83</v>
      </c>
    </row>
    <row r="154" spans="1:8" x14ac:dyDescent="0.25">
      <c r="A154" t="s">
        <v>544</v>
      </c>
      <c r="B154" t="s">
        <v>890</v>
      </c>
      <c r="C154" t="s">
        <v>891</v>
      </c>
      <c r="D154" t="s">
        <v>83</v>
      </c>
      <c r="E154" t="str">
        <f t="shared" si="2"/>
        <v>Defender</v>
      </c>
      <c r="F154" t="s">
        <v>892</v>
      </c>
      <c r="G154" t="s">
        <v>893</v>
      </c>
      <c r="H154" t="s">
        <v>83</v>
      </c>
    </row>
    <row r="155" spans="1:8" x14ac:dyDescent="0.25">
      <c r="A155" t="s">
        <v>563</v>
      </c>
      <c r="E155" t="str">
        <f t="shared" si="2"/>
        <v>Midfielder</v>
      </c>
    </row>
    <row r="156" spans="1:8" x14ac:dyDescent="0.25">
      <c r="A156" t="s">
        <v>563</v>
      </c>
      <c r="B156" t="s">
        <v>894</v>
      </c>
      <c r="C156" t="s">
        <v>895</v>
      </c>
      <c r="D156" t="s">
        <v>83</v>
      </c>
      <c r="E156" t="str">
        <f t="shared" si="2"/>
        <v>Midfielder</v>
      </c>
      <c r="F156" t="s">
        <v>896</v>
      </c>
      <c r="G156" t="s">
        <v>897</v>
      </c>
      <c r="H156" t="s">
        <v>83</v>
      </c>
    </row>
    <row r="157" spans="1:8" x14ac:dyDescent="0.25">
      <c r="A157" t="s">
        <v>563</v>
      </c>
      <c r="B157" t="s">
        <v>898</v>
      </c>
      <c r="C157" t="s">
        <v>899</v>
      </c>
      <c r="D157" t="s">
        <v>83</v>
      </c>
      <c r="E157" t="str">
        <f t="shared" si="2"/>
        <v>Midfielder</v>
      </c>
      <c r="F157" t="s">
        <v>900</v>
      </c>
      <c r="G157" t="s">
        <v>901</v>
      </c>
      <c r="H157" t="s">
        <v>83</v>
      </c>
    </row>
    <row r="158" spans="1:8" x14ac:dyDescent="0.25">
      <c r="A158" t="s">
        <v>563</v>
      </c>
      <c r="B158" t="s">
        <v>902</v>
      </c>
      <c r="C158" t="s">
        <v>903</v>
      </c>
      <c r="D158" t="s">
        <v>83</v>
      </c>
      <c r="E158" t="str">
        <f t="shared" si="2"/>
        <v>Midfielder</v>
      </c>
      <c r="F158" t="s">
        <v>904</v>
      </c>
      <c r="G158" t="s">
        <v>905</v>
      </c>
      <c r="H158" t="s">
        <v>83</v>
      </c>
    </row>
    <row r="159" spans="1:8" x14ac:dyDescent="0.25">
      <c r="A159" t="s">
        <v>563</v>
      </c>
      <c r="B159" t="s">
        <v>906</v>
      </c>
      <c r="C159" t="s">
        <v>907</v>
      </c>
      <c r="D159" t="s">
        <v>83</v>
      </c>
      <c r="E159" t="str">
        <f t="shared" si="2"/>
        <v>Midfielder</v>
      </c>
    </row>
    <row r="160" spans="1:8" x14ac:dyDescent="0.25">
      <c r="A160" t="s">
        <v>578</v>
      </c>
      <c r="E160" t="str">
        <f t="shared" si="2"/>
        <v>Forward</v>
      </c>
    </row>
    <row r="161" spans="1:8" x14ac:dyDescent="0.25">
      <c r="A161" t="s">
        <v>578</v>
      </c>
      <c r="B161" t="s">
        <v>908</v>
      </c>
      <c r="C161" t="s">
        <v>909</v>
      </c>
      <c r="D161" t="s">
        <v>83</v>
      </c>
      <c r="E161" t="str">
        <f t="shared" si="2"/>
        <v>Forward</v>
      </c>
      <c r="F161" t="s">
        <v>910</v>
      </c>
      <c r="G161" t="s">
        <v>911</v>
      </c>
      <c r="H161" t="s">
        <v>83</v>
      </c>
    </row>
    <row r="162" spans="1:8" x14ac:dyDescent="0.25">
      <c r="A162" t="s">
        <v>578</v>
      </c>
      <c r="B162" t="s">
        <v>912</v>
      </c>
      <c r="C162" t="s">
        <v>913</v>
      </c>
      <c r="D162" t="s">
        <v>83</v>
      </c>
      <c r="E162" t="str">
        <f t="shared" si="2"/>
        <v>Forward</v>
      </c>
      <c r="F162" t="s">
        <v>914</v>
      </c>
      <c r="G162" t="s">
        <v>915</v>
      </c>
      <c r="H162" t="s">
        <v>83</v>
      </c>
    </row>
    <row r="163" spans="1:8" x14ac:dyDescent="0.25">
      <c r="A163" t="s">
        <v>578</v>
      </c>
      <c r="B163" t="s">
        <v>916</v>
      </c>
      <c r="C163" t="s">
        <v>917</v>
      </c>
      <c r="D163" t="s">
        <v>83</v>
      </c>
      <c r="E163" t="str">
        <f t="shared" si="2"/>
        <v>Forward</v>
      </c>
      <c r="F163" t="s">
        <v>918</v>
      </c>
      <c r="G163" t="s">
        <v>919</v>
      </c>
      <c r="H163" t="s">
        <v>83</v>
      </c>
    </row>
    <row r="164" spans="1:8" x14ac:dyDescent="0.25">
      <c r="A164" t="s">
        <v>578</v>
      </c>
      <c r="B164" t="s">
        <v>920</v>
      </c>
      <c r="C164" t="s">
        <v>921</v>
      </c>
      <c r="D164" t="s">
        <v>83</v>
      </c>
      <c r="E164" t="str">
        <f t="shared" si="2"/>
        <v>Forward</v>
      </c>
    </row>
    <row r="165" spans="1:8" x14ac:dyDescent="0.25">
      <c r="A165" t="s">
        <v>537</v>
      </c>
      <c r="E165" t="str">
        <f t="shared" si="2"/>
        <v>Goalkeeper</v>
      </c>
    </row>
    <row r="166" spans="1:8" x14ac:dyDescent="0.25">
      <c r="A166" t="s">
        <v>537</v>
      </c>
      <c r="B166" t="s">
        <v>922</v>
      </c>
      <c r="C166" t="s">
        <v>923</v>
      </c>
      <c r="D166" t="s">
        <v>100</v>
      </c>
      <c r="E166" t="str">
        <f t="shared" si="2"/>
        <v>Goalkeeper</v>
      </c>
      <c r="F166" t="s">
        <v>924</v>
      </c>
      <c r="G166" t="s">
        <v>925</v>
      </c>
      <c r="H166" t="s">
        <v>100</v>
      </c>
    </row>
    <row r="167" spans="1:8" x14ac:dyDescent="0.25">
      <c r="A167" t="s">
        <v>537</v>
      </c>
      <c r="B167" t="s">
        <v>926</v>
      </c>
      <c r="C167" t="s">
        <v>927</v>
      </c>
      <c r="D167" t="s">
        <v>100</v>
      </c>
      <c r="E167" t="str">
        <f t="shared" si="2"/>
        <v>Goalkeeper</v>
      </c>
    </row>
    <row r="168" spans="1:8" x14ac:dyDescent="0.25">
      <c r="A168" t="s">
        <v>544</v>
      </c>
      <c r="E168" t="str">
        <f t="shared" si="2"/>
        <v>Defender</v>
      </c>
    </row>
    <row r="169" spans="1:8" x14ac:dyDescent="0.25">
      <c r="A169" t="s">
        <v>544</v>
      </c>
      <c r="B169" t="s">
        <v>928</v>
      </c>
      <c r="C169" t="s">
        <v>523</v>
      </c>
      <c r="D169" t="s">
        <v>100</v>
      </c>
      <c r="E169" t="str">
        <f t="shared" si="2"/>
        <v>Defender</v>
      </c>
      <c r="F169" t="s">
        <v>929</v>
      </c>
      <c r="G169" t="s">
        <v>930</v>
      </c>
      <c r="H169" t="s">
        <v>100</v>
      </c>
    </row>
    <row r="170" spans="1:8" x14ac:dyDescent="0.25">
      <c r="A170" t="s">
        <v>544</v>
      </c>
      <c r="B170" t="s">
        <v>931</v>
      </c>
      <c r="C170" t="s">
        <v>932</v>
      </c>
      <c r="D170" t="s">
        <v>100</v>
      </c>
      <c r="E170" t="str">
        <f t="shared" si="2"/>
        <v>Defender</v>
      </c>
      <c r="F170" t="s">
        <v>933</v>
      </c>
      <c r="G170" t="s">
        <v>934</v>
      </c>
      <c r="H170" t="s">
        <v>100</v>
      </c>
    </row>
    <row r="171" spans="1:8" x14ac:dyDescent="0.25">
      <c r="A171" t="s">
        <v>544</v>
      </c>
      <c r="B171" t="s">
        <v>935</v>
      </c>
      <c r="C171" t="s">
        <v>936</v>
      </c>
      <c r="D171" t="s">
        <v>100</v>
      </c>
      <c r="E171" t="str">
        <f t="shared" si="2"/>
        <v>Defender</v>
      </c>
      <c r="F171" t="s">
        <v>937</v>
      </c>
      <c r="G171" t="s">
        <v>938</v>
      </c>
      <c r="H171" t="s">
        <v>100</v>
      </c>
    </row>
    <row r="172" spans="1:8" x14ac:dyDescent="0.25">
      <c r="A172" t="s">
        <v>544</v>
      </c>
      <c r="B172" t="s">
        <v>939</v>
      </c>
      <c r="C172" t="s">
        <v>940</v>
      </c>
      <c r="D172" t="s">
        <v>100</v>
      </c>
      <c r="E172" t="str">
        <f t="shared" si="2"/>
        <v>Defender</v>
      </c>
      <c r="F172" t="s">
        <v>941</v>
      </c>
      <c r="G172" t="s">
        <v>942</v>
      </c>
      <c r="H172" t="s">
        <v>100</v>
      </c>
    </row>
    <row r="173" spans="1:8" x14ac:dyDescent="0.25">
      <c r="A173" t="s">
        <v>563</v>
      </c>
      <c r="E173" t="str">
        <f t="shared" si="2"/>
        <v>Midfielder</v>
      </c>
    </row>
    <row r="174" spans="1:8" x14ac:dyDescent="0.25">
      <c r="A174" t="s">
        <v>563</v>
      </c>
      <c r="B174" t="s">
        <v>943</v>
      </c>
      <c r="C174" t="s">
        <v>944</v>
      </c>
      <c r="D174" t="s">
        <v>100</v>
      </c>
      <c r="E174" t="str">
        <f t="shared" si="2"/>
        <v>Midfielder</v>
      </c>
      <c r="F174" t="s">
        <v>945</v>
      </c>
      <c r="G174" t="s">
        <v>946</v>
      </c>
      <c r="H174" t="s">
        <v>100</v>
      </c>
    </row>
    <row r="175" spans="1:8" x14ac:dyDescent="0.25">
      <c r="A175" t="s">
        <v>563</v>
      </c>
      <c r="B175" t="s">
        <v>947</v>
      </c>
      <c r="C175" t="s">
        <v>948</v>
      </c>
      <c r="D175" t="s">
        <v>100</v>
      </c>
      <c r="E175" t="str">
        <f t="shared" si="2"/>
        <v>Midfielder</v>
      </c>
      <c r="F175" t="s">
        <v>949</v>
      </c>
      <c r="G175" t="s">
        <v>950</v>
      </c>
      <c r="H175" t="s">
        <v>100</v>
      </c>
    </row>
    <row r="176" spans="1:8" x14ac:dyDescent="0.25">
      <c r="A176" t="s">
        <v>563</v>
      </c>
      <c r="B176" t="s">
        <v>951</v>
      </c>
      <c r="C176" t="s">
        <v>952</v>
      </c>
      <c r="D176" t="s">
        <v>100</v>
      </c>
      <c r="E176" t="str">
        <f t="shared" si="2"/>
        <v>Midfielder</v>
      </c>
      <c r="F176" t="s">
        <v>953</v>
      </c>
      <c r="G176" t="s">
        <v>954</v>
      </c>
      <c r="H176" t="s">
        <v>100</v>
      </c>
    </row>
    <row r="177" spans="1:8" x14ac:dyDescent="0.25">
      <c r="A177" t="s">
        <v>563</v>
      </c>
      <c r="B177" t="s">
        <v>955</v>
      </c>
      <c r="C177" t="s">
        <v>956</v>
      </c>
      <c r="D177" t="s">
        <v>100</v>
      </c>
      <c r="E177" t="str">
        <f t="shared" si="2"/>
        <v>Midfielder</v>
      </c>
      <c r="F177" t="s">
        <v>957</v>
      </c>
      <c r="G177" t="s">
        <v>958</v>
      </c>
      <c r="H177" t="s">
        <v>100</v>
      </c>
    </row>
    <row r="178" spans="1:8" x14ac:dyDescent="0.25">
      <c r="A178" t="s">
        <v>563</v>
      </c>
      <c r="B178" t="s">
        <v>959</v>
      </c>
      <c r="C178" t="s">
        <v>960</v>
      </c>
      <c r="D178" t="s">
        <v>100</v>
      </c>
      <c r="E178" t="str">
        <f t="shared" si="2"/>
        <v>Midfielder</v>
      </c>
      <c r="F178" t="s">
        <v>961</v>
      </c>
      <c r="G178" t="s">
        <v>962</v>
      </c>
      <c r="H178" t="s">
        <v>100</v>
      </c>
    </row>
    <row r="179" spans="1:8" x14ac:dyDescent="0.25">
      <c r="A179" t="s">
        <v>578</v>
      </c>
      <c r="E179" t="str">
        <f t="shared" si="2"/>
        <v>Forward</v>
      </c>
    </row>
    <row r="180" spans="1:8" x14ac:dyDescent="0.25">
      <c r="A180" t="s">
        <v>578</v>
      </c>
      <c r="B180" t="s">
        <v>963</v>
      </c>
      <c r="C180" t="s">
        <v>360</v>
      </c>
      <c r="D180" t="s">
        <v>100</v>
      </c>
      <c r="E180" t="str">
        <f t="shared" si="2"/>
        <v>Forward</v>
      </c>
      <c r="F180" t="s">
        <v>964</v>
      </c>
      <c r="G180" t="s">
        <v>965</v>
      </c>
      <c r="H180" t="s">
        <v>100</v>
      </c>
    </row>
    <row r="181" spans="1:8" x14ac:dyDescent="0.25">
      <c r="A181" t="s">
        <v>578</v>
      </c>
      <c r="B181" t="s">
        <v>966</v>
      </c>
      <c r="C181" t="s">
        <v>967</v>
      </c>
      <c r="D181" t="s">
        <v>100</v>
      </c>
      <c r="E181" t="str">
        <f t="shared" si="2"/>
        <v>Forward</v>
      </c>
      <c r="F181" t="s">
        <v>968</v>
      </c>
      <c r="G181" t="s">
        <v>969</v>
      </c>
      <c r="H181" t="s">
        <v>100</v>
      </c>
    </row>
    <row r="182" spans="1:8" x14ac:dyDescent="0.25">
      <c r="A182" t="s">
        <v>578</v>
      </c>
      <c r="B182" t="s">
        <v>970</v>
      </c>
      <c r="C182" t="s">
        <v>971</v>
      </c>
      <c r="D182" t="s">
        <v>100</v>
      </c>
      <c r="E182" t="str">
        <f t="shared" si="2"/>
        <v>Forward</v>
      </c>
    </row>
    <row r="183" spans="1:8" x14ac:dyDescent="0.25">
      <c r="A183" t="s">
        <v>537</v>
      </c>
      <c r="E183" t="str">
        <f t="shared" si="2"/>
        <v>Goalkeeper</v>
      </c>
    </row>
    <row r="184" spans="1:8" x14ac:dyDescent="0.25">
      <c r="A184" t="s">
        <v>537</v>
      </c>
      <c r="B184" t="s">
        <v>972</v>
      </c>
      <c r="C184" t="s">
        <v>973</v>
      </c>
      <c r="D184" t="s">
        <v>96</v>
      </c>
      <c r="E184" t="str">
        <f t="shared" si="2"/>
        <v>Goalkeeper</v>
      </c>
      <c r="F184" t="s">
        <v>974</v>
      </c>
      <c r="G184" t="s">
        <v>975</v>
      </c>
      <c r="H184" t="s">
        <v>96</v>
      </c>
    </row>
    <row r="185" spans="1:8" x14ac:dyDescent="0.25">
      <c r="A185" t="s">
        <v>537</v>
      </c>
      <c r="B185" t="s">
        <v>976</v>
      </c>
      <c r="C185" t="s">
        <v>977</v>
      </c>
      <c r="D185" t="s">
        <v>96</v>
      </c>
      <c r="E185" t="str">
        <f t="shared" si="2"/>
        <v>Goalkeeper</v>
      </c>
    </row>
    <row r="186" spans="1:8" x14ac:dyDescent="0.25">
      <c r="A186" t="s">
        <v>544</v>
      </c>
      <c r="E186" t="str">
        <f t="shared" si="2"/>
        <v>Defender</v>
      </c>
    </row>
    <row r="187" spans="1:8" x14ac:dyDescent="0.25">
      <c r="A187" t="s">
        <v>544</v>
      </c>
      <c r="B187" t="s">
        <v>978</v>
      </c>
      <c r="C187" t="s">
        <v>979</v>
      </c>
      <c r="D187" t="s">
        <v>96</v>
      </c>
      <c r="E187" t="str">
        <f t="shared" si="2"/>
        <v>Defender</v>
      </c>
      <c r="F187" t="s">
        <v>980</v>
      </c>
      <c r="G187" t="s">
        <v>981</v>
      </c>
      <c r="H187" t="s">
        <v>96</v>
      </c>
    </row>
    <row r="188" spans="1:8" x14ac:dyDescent="0.25">
      <c r="A188" t="s">
        <v>544</v>
      </c>
      <c r="B188" t="s">
        <v>982</v>
      </c>
      <c r="C188" t="s">
        <v>983</v>
      </c>
      <c r="D188" t="s">
        <v>96</v>
      </c>
      <c r="E188" t="str">
        <f t="shared" si="2"/>
        <v>Defender</v>
      </c>
      <c r="F188" t="s">
        <v>984</v>
      </c>
      <c r="G188" t="s">
        <v>985</v>
      </c>
      <c r="H188" t="s">
        <v>96</v>
      </c>
    </row>
    <row r="189" spans="1:8" x14ac:dyDescent="0.25">
      <c r="A189" t="s">
        <v>544</v>
      </c>
      <c r="B189" t="s">
        <v>986</v>
      </c>
      <c r="C189" t="s">
        <v>987</v>
      </c>
      <c r="D189" t="s">
        <v>96</v>
      </c>
      <c r="E189" t="str">
        <f t="shared" si="2"/>
        <v>Defender</v>
      </c>
      <c r="F189" t="s">
        <v>988</v>
      </c>
      <c r="G189" t="s">
        <v>989</v>
      </c>
      <c r="H189" t="s">
        <v>96</v>
      </c>
    </row>
    <row r="190" spans="1:8" x14ac:dyDescent="0.25">
      <c r="A190" t="s">
        <v>544</v>
      </c>
      <c r="B190" t="s">
        <v>990</v>
      </c>
      <c r="C190" t="s">
        <v>991</v>
      </c>
      <c r="D190" t="s">
        <v>96</v>
      </c>
      <c r="E190" t="str">
        <f t="shared" si="2"/>
        <v>Defender</v>
      </c>
      <c r="F190" t="s">
        <v>992</v>
      </c>
      <c r="G190" t="s">
        <v>993</v>
      </c>
      <c r="H190" t="s">
        <v>96</v>
      </c>
    </row>
    <row r="191" spans="1:8" x14ac:dyDescent="0.25">
      <c r="A191" t="s">
        <v>563</v>
      </c>
      <c r="E191" t="str">
        <f t="shared" si="2"/>
        <v>Midfielder</v>
      </c>
    </row>
    <row r="192" spans="1:8" x14ac:dyDescent="0.25">
      <c r="A192" t="s">
        <v>563</v>
      </c>
      <c r="B192" t="s">
        <v>994</v>
      </c>
      <c r="C192" t="s">
        <v>995</v>
      </c>
      <c r="D192" t="s">
        <v>96</v>
      </c>
      <c r="E192" t="str">
        <f t="shared" si="2"/>
        <v>Midfielder</v>
      </c>
      <c r="F192" t="s">
        <v>996</v>
      </c>
      <c r="G192" t="s">
        <v>997</v>
      </c>
      <c r="H192" t="s">
        <v>96</v>
      </c>
    </row>
    <row r="193" spans="1:8" x14ac:dyDescent="0.25">
      <c r="A193" t="s">
        <v>563</v>
      </c>
      <c r="B193" t="s">
        <v>998</v>
      </c>
      <c r="C193" t="s">
        <v>999</v>
      </c>
      <c r="D193" t="s">
        <v>96</v>
      </c>
      <c r="E193" t="str">
        <f t="shared" si="2"/>
        <v>Midfielder</v>
      </c>
      <c r="F193" t="s">
        <v>1000</v>
      </c>
      <c r="G193" t="s">
        <v>1001</v>
      </c>
      <c r="H193" t="s">
        <v>96</v>
      </c>
    </row>
    <row r="194" spans="1:8" x14ac:dyDescent="0.25">
      <c r="A194" t="s">
        <v>563</v>
      </c>
      <c r="B194" t="s">
        <v>1002</v>
      </c>
      <c r="C194" t="s">
        <v>1003</v>
      </c>
      <c r="D194" t="s">
        <v>96</v>
      </c>
      <c r="E194" t="str">
        <f t="shared" si="2"/>
        <v>Midfielder</v>
      </c>
      <c r="F194" t="s">
        <v>1004</v>
      </c>
      <c r="G194" t="s">
        <v>1005</v>
      </c>
      <c r="H194" t="s">
        <v>96</v>
      </c>
    </row>
    <row r="195" spans="1:8" x14ac:dyDescent="0.25">
      <c r="A195" t="s">
        <v>563</v>
      </c>
      <c r="B195" t="s">
        <v>1006</v>
      </c>
      <c r="C195" t="s">
        <v>1007</v>
      </c>
      <c r="D195" t="s">
        <v>96</v>
      </c>
      <c r="E195" t="str">
        <f t="shared" ref="E195:E258" si="3">A195</f>
        <v>Midfielder</v>
      </c>
      <c r="F195" t="s">
        <v>1008</v>
      </c>
      <c r="G195" t="s">
        <v>1009</v>
      </c>
      <c r="H195" t="s">
        <v>96</v>
      </c>
    </row>
    <row r="196" spans="1:8" x14ac:dyDescent="0.25">
      <c r="A196" t="s">
        <v>578</v>
      </c>
      <c r="E196" t="str">
        <f t="shared" si="3"/>
        <v>Forward</v>
      </c>
    </row>
    <row r="197" spans="1:8" x14ac:dyDescent="0.25">
      <c r="A197" t="s">
        <v>578</v>
      </c>
      <c r="B197" t="s">
        <v>1010</v>
      </c>
      <c r="C197" t="s">
        <v>1011</v>
      </c>
      <c r="D197" t="s">
        <v>96</v>
      </c>
      <c r="E197" t="str">
        <f t="shared" si="3"/>
        <v>Forward</v>
      </c>
      <c r="F197" t="s">
        <v>1012</v>
      </c>
      <c r="G197" t="s">
        <v>1013</v>
      </c>
      <c r="H197" t="s">
        <v>96</v>
      </c>
    </row>
    <row r="198" spans="1:8" x14ac:dyDescent="0.25">
      <c r="A198" t="s">
        <v>578</v>
      </c>
      <c r="B198" t="s">
        <v>1014</v>
      </c>
      <c r="C198" t="s">
        <v>1015</v>
      </c>
      <c r="D198" t="s">
        <v>96</v>
      </c>
      <c r="E198" t="str">
        <f t="shared" si="3"/>
        <v>Forward</v>
      </c>
      <c r="F198" t="s">
        <v>1016</v>
      </c>
      <c r="G198" t="s">
        <v>1017</v>
      </c>
      <c r="H198" t="s">
        <v>96</v>
      </c>
    </row>
    <row r="199" spans="1:8" x14ac:dyDescent="0.25">
      <c r="A199" t="s">
        <v>578</v>
      </c>
      <c r="B199" t="s">
        <v>1018</v>
      </c>
      <c r="C199" t="s">
        <v>1019</v>
      </c>
      <c r="D199" t="s">
        <v>96</v>
      </c>
      <c r="E199" t="str">
        <f t="shared" si="3"/>
        <v>Forward</v>
      </c>
      <c r="F199" t="s">
        <v>1020</v>
      </c>
      <c r="G199" t="s">
        <v>1021</v>
      </c>
      <c r="H199" t="s">
        <v>96</v>
      </c>
    </row>
    <row r="200" spans="1:8" x14ac:dyDescent="0.25">
      <c r="A200" t="s">
        <v>578</v>
      </c>
      <c r="B200" t="s">
        <v>1022</v>
      </c>
      <c r="C200" t="s">
        <v>1023</v>
      </c>
      <c r="D200" t="s">
        <v>96</v>
      </c>
      <c r="E200" t="str">
        <f t="shared" si="3"/>
        <v>Forward</v>
      </c>
    </row>
    <row r="201" spans="1:8" x14ac:dyDescent="0.25">
      <c r="A201" t="s">
        <v>537</v>
      </c>
      <c r="E201" t="str">
        <f t="shared" si="3"/>
        <v>Goalkeeper</v>
      </c>
    </row>
    <row r="202" spans="1:8" x14ac:dyDescent="0.25">
      <c r="A202" t="s">
        <v>537</v>
      </c>
      <c r="B202" t="s">
        <v>1024</v>
      </c>
      <c r="C202" t="s">
        <v>525</v>
      </c>
      <c r="D202" t="s">
        <v>104</v>
      </c>
      <c r="E202" t="str">
        <f t="shared" si="3"/>
        <v>Goalkeeper</v>
      </c>
      <c r="F202" t="s">
        <v>1025</v>
      </c>
      <c r="G202" t="s">
        <v>1026</v>
      </c>
      <c r="H202" t="s">
        <v>104</v>
      </c>
    </row>
    <row r="203" spans="1:8" x14ac:dyDescent="0.25">
      <c r="A203" t="s">
        <v>537</v>
      </c>
      <c r="B203" t="s">
        <v>1027</v>
      </c>
      <c r="C203" t="s">
        <v>1028</v>
      </c>
      <c r="D203" t="s">
        <v>104</v>
      </c>
      <c r="E203" t="str">
        <f t="shared" si="3"/>
        <v>Goalkeeper</v>
      </c>
    </row>
    <row r="204" spans="1:8" x14ac:dyDescent="0.25">
      <c r="A204" t="s">
        <v>544</v>
      </c>
      <c r="E204" t="str">
        <f t="shared" si="3"/>
        <v>Defender</v>
      </c>
    </row>
    <row r="205" spans="1:8" x14ac:dyDescent="0.25">
      <c r="A205" t="s">
        <v>544</v>
      </c>
      <c r="B205" t="s">
        <v>1029</v>
      </c>
      <c r="C205" t="s">
        <v>1030</v>
      </c>
      <c r="D205" t="s">
        <v>104</v>
      </c>
      <c r="E205" t="str">
        <f t="shared" si="3"/>
        <v>Defender</v>
      </c>
      <c r="F205" t="s">
        <v>1031</v>
      </c>
      <c r="G205" t="s">
        <v>1032</v>
      </c>
      <c r="H205" t="s">
        <v>104</v>
      </c>
    </row>
    <row r="206" spans="1:8" x14ac:dyDescent="0.25">
      <c r="A206" t="s">
        <v>544</v>
      </c>
      <c r="B206" t="s">
        <v>1033</v>
      </c>
      <c r="C206" t="s">
        <v>1034</v>
      </c>
      <c r="D206" t="s">
        <v>104</v>
      </c>
      <c r="E206" t="str">
        <f t="shared" si="3"/>
        <v>Defender</v>
      </c>
      <c r="F206" t="s">
        <v>1035</v>
      </c>
      <c r="G206" t="s">
        <v>458</v>
      </c>
      <c r="H206" t="s">
        <v>104</v>
      </c>
    </row>
    <row r="207" spans="1:8" x14ac:dyDescent="0.25">
      <c r="A207" t="s">
        <v>544</v>
      </c>
      <c r="B207" t="s">
        <v>1036</v>
      </c>
      <c r="C207" t="s">
        <v>394</v>
      </c>
      <c r="D207" t="s">
        <v>104</v>
      </c>
      <c r="E207" t="str">
        <f t="shared" si="3"/>
        <v>Defender</v>
      </c>
      <c r="F207" t="s">
        <v>1037</v>
      </c>
      <c r="G207" t="s">
        <v>1038</v>
      </c>
      <c r="H207" t="s">
        <v>104</v>
      </c>
    </row>
    <row r="208" spans="1:8" x14ac:dyDescent="0.25">
      <c r="A208" t="s">
        <v>544</v>
      </c>
      <c r="B208" t="s">
        <v>1039</v>
      </c>
      <c r="C208" t="s">
        <v>1040</v>
      </c>
      <c r="D208" t="s">
        <v>104</v>
      </c>
      <c r="E208" t="str">
        <f t="shared" si="3"/>
        <v>Defender</v>
      </c>
    </row>
    <row r="209" spans="1:8" x14ac:dyDescent="0.25">
      <c r="A209" t="s">
        <v>563</v>
      </c>
      <c r="E209" t="str">
        <f t="shared" si="3"/>
        <v>Midfielder</v>
      </c>
    </row>
    <row r="210" spans="1:8" x14ac:dyDescent="0.25">
      <c r="A210" t="s">
        <v>563</v>
      </c>
      <c r="B210" t="s">
        <v>1041</v>
      </c>
      <c r="C210" t="s">
        <v>1042</v>
      </c>
      <c r="D210" t="s">
        <v>104</v>
      </c>
      <c r="E210" t="str">
        <f t="shared" si="3"/>
        <v>Midfielder</v>
      </c>
      <c r="F210" t="s">
        <v>1043</v>
      </c>
      <c r="G210" t="s">
        <v>1044</v>
      </c>
      <c r="H210" t="s">
        <v>104</v>
      </c>
    </row>
    <row r="211" spans="1:8" x14ac:dyDescent="0.25">
      <c r="A211" t="s">
        <v>563</v>
      </c>
      <c r="B211" t="s">
        <v>1045</v>
      </c>
      <c r="C211" t="s">
        <v>1046</v>
      </c>
      <c r="D211" t="s">
        <v>104</v>
      </c>
      <c r="E211" t="str">
        <f t="shared" si="3"/>
        <v>Midfielder</v>
      </c>
      <c r="F211" t="s">
        <v>1047</v>
      </c>
      <c r="G211" t="s">
        <v>1048</v>
      </c>
      <c r="H211" t="s">
        <v>104</v>
      </c>
    </row>
    <row r="212" spans="1:8" x14ac:dyDescent="0.25">
      <c r="A212" t="s">
        <v>563</v>
      </c>
      <c r="B212" t="s">
        <v>1049</v>
      </c>
      <c r="C212" t="s">
        <v>1050</v>
      </c>
      <c r="D212" t="s">
        <v>104</v>
      </c>
      <c r="E212" t="str">
        <f t="shared" si="3"/>
        <v>Midfielder</v>
      </c>
      <c r="F212" t="s">
        <v>1051</v>
      </c>
      <c r="G212" t="s">
        <v>1052</v>
      </c>
      <c r="H212" t="s">
        <v>104</v>
      </c>
    </row>
    <row r="213" spans="1:8" x14ac:dyDescent="0.25">
      <c r="A213" t="s">
        <v>563</v>
      </c>
      <c r="B213" t="s">
        <v>1053</v>
      </c>
      <c r="C213" t="s">
        <v>1054</v>
      </c>
      <c r="D213" t="s">
        <v>104</v>
      </c>
      <c r="E213" t="str">
        <f t="shared" si="3"/>
        <v>Midfielder</v>
      </c>
      <c r="F213" t="s">
        <v>1055</v>
      </c>
      <c r="G213" t="s">
        <v>1056</v>
      </c>
      <c r="H213" t="s">
        <v>104</v>
      </c>
    </row>
    <row r="214" spans="1:8" x14ac:dyDescent="0.25">
      <c r="A214" t="s">
        <v>563</v>
      </c>
      <c r="B214" t="s">
        <v>1057</v>
      </c>
      <c r="C214" t="s">
        <v>1058</v>
      </c>
      <c r="D214" t="s">
        <v>104</v>
      </c>
      <c r="E214" t="str">
        <f t="shared" si="3"/>
        <v>Midfielder</v>
      </c>
      <c r="F214" t="s">
        <v>1059</v>
      </c>
      <c r="G214" t="s">
        <v>1060</v>
      </c>
      <c r="H214" t="s">
        <v>104</v>
      </c>
    </row>
    <row r="215" spans="1:8" x14ac:dyDescent="0.25">
      <c r="A215" t="s">
        <v>578</v>
      </c>
      <c r="E215" t="str">
        <f t="shared" si="3"/>
        <v>Forward</v>
      </c>
    </row>
    <row r="216" spans="1:8" x14ac:dyDescent="0.25">
      <c r="A216" t="s">
        <v>578</v>
      </c>
      <c r="B216" t="s">
        <v>1061</v>
      </c>
      <c r="C216" t="s">
        <v>1062</v>
      </c>
      <c r="D216" t="s">
        <v>104</v>
      </c>
      <c r="E216" t="str">
        <f t="shared" si="3"/>
        <v>Forward</v>
      </c>
      <c r="F216" t="s">
        <v>1063</v>
      </c>
      <c r="G216" t="s">
        <v>1064</v>
      </c>
      <c r="H216" t="s">
        <v>104</v>
      </c>
    </row>
    <row r="217" spans="1:8" x14ac:dyDescent="0.25">
      <c r="A217" t="s">
        <v>578</v>
      </c>
      <c r="B217" t="s">
        <v>1065</v>
      </c>
      <c r="C217" t="s">
        <v>1066</v>
      </c>
      <c r="D217" t="s">
        <v>104</v>
      </c>
      <c r="E217" t="str">
        <f t="shared" si="3"/>
        <v>Forward</v>
      </c>
      <c r="F217" t="s">
        <v>1067</v>
      </c>
      <c r="G217" t="s">
        <v>1068</v>
      </c>
      <c r="H217" t="s">
        <v>104</v>
      </c>
    </row>
    <row r="218" spans="1:8" x14ac:dyDescent="0.25">
      <c r="A218" t="s">
        <v>578</v>
      </c>
      <c r="B218" t="s">
        <v>1069</v>
      </c>
      <c r="C218" t="s">
        <v>1070</v>
      </c>
      <c r="D218" t="s">
        <v>104</v>
      </c>
      <c r="E218" t="str">
        <f t="shared" si="3"/>
        <v>Forward</v>
      </c>
      <c r="F218" t="s">
        <v>1071</v>
      </c>
      <c r="G218" t="s">
        <v>1072</v>
      </c>
      <c r="H218" t="s">
        <v>104</v>
      </c>
    </row>
    <row r="219" spans="1:8" x14ac:dyDescent="0.25">
      <c r="A219" t="s">
        <v>537</v>
      </c>
      <c r="E219" t="str">
        <f t="shared" si="3"/>
        <v>Goalkeeper</v>
      </c>
    </row>
    <row r="220" spans="1:8" x14ac:dyDescent="0.25">
      <c r="A220" t="s">
        <v>537</v>
      </c>
      <c r="B220" t="s">
        <v>1073</v>
      </c>
      <c r="C220" t="s">
        <v>1074</v>
      </c>
      <c r="D220" t="s">
        <v>1075</v>
      </c>
      <c r="E220" t="str">
        <f t="shared" si="3"/>
        <v>Goalkeeper</v>
      </c>
      <c r="F220" t="s">
        <v>1076</v>
      </c>
      <c r="G220" t="s">
        <v>1077</v>
      </c>
      <c r="H220" t="s">
        <v>1075</v>
      </c>
    </row>
    <row r="221" spans="1:8" x14ac:dyDescent="0.25">
      <c r="A221" t="s">
        <v>537</v>
      </c>
      <c r="B221" t="s">
        <v>1078</v>
      </c>
      <c r="C221" t="s">
        <v>1079</v>
      </c>
      <c r="D221" t="s">
        <v>1075</v>
      </c>
      <c r="E221" t="str">
        <f t="shared" si="3"/>
        <v>Goalkeeper</v>
      </c>
    </row>
    <row r="222" spans="1:8" x14ac:dyDescent="0.25">
      <c r="A222" t="s">
        <v>544</v>
      </c>
      <c r="E222" t="str">
        <f t="shared" si="3"/>
        <v>Defender</v>
      </c>
    </row>
    <row r="223" spans="1:8" x14ac:dyDescent="0.25">
      <c r="A223" t="s">
        <v>544</v>
      </c>
      <c r="B223" t="s">
        <v>1080</v>
      </c>
      <c r="C223" t="s">
        <v>1081</v>
      </c>
      <c r="D223" t="s">
        <v>1075</v>
      </c>
      <c r="E223" t="str">
        <f t="shared" si="3"/>
        <v>Defender</v>
      </c>
      <c r="F223" t="s">
        <v>1082</v>
      </c>
      <c r="G223" t="s">
        <v>1083</v>
      </c>
      <c r="H223" t="s">
        <v>1075</v>
      </c>
    </row>
    <row r="224" spans="1:8" x14ac:dyDescent="0.25">
      <c r="A224" t="s">
        <v>544</v>
      </c>
      <c r="B224" t="s">
        <v>1084</v>
      </c>
      <c r="C224" t="s">
        <v>1085</v>
      </c>
      <c r="D224" t="s">
        <v>1075</v>
      </c>
      <c r="E224" t="str">
        <f t="shared" si="3"/>
        <v>Defender</v>
      </c>
      <c r="F224" t="s">
        <v>1086</v>
      </c>
      <c r="G224" t="s">
        <v>1087</v>
      </c>
      <c r="H224" t="s">
        <v>1075</v>
      </c>
    </row>
    <row r="225" spans="1:8" x14ac:dyDescent="0.25">
      <c r="A225" t="s">
        <v>544</v>
      </c>
      <c r="B225" t="s">
        <v>1088</v>
      </c>
      <c r="C225" t="s">
        <v>1089</v>
      </c>
      <c r="D225" t="s">
        <v>1075</v>
      </c>
      <c r="E225" t="str">
        <f t="shared" si="3"/>
        <v>Defender</v>
      </c>
      <c r="F225" t="s">
        <v>1090</v>
      </c>
      <c r="G225" t="s">
        <v>1091</v>
      </c>
      <c r="H225" t="s">
        <v>1075</v>
      </c>
    </row>
    <row r="226" spans="1:8" x14ac:dyDescent="0.25">
      <c r="A226" t="s">
        <v>544</v>
      </c>
      <c r="B226" t="s">
        <v>1092</v>
      </c>
      <c r="C226" t="s">
        <v>1093</v>
      </c>
      <c r="D226" t="s">
        <v>1075</v>
      </c>
      <c r="E226" t="str">
        <f t="shared" si="3"/>
        <v>Defender</v>
      </c>
      <c r="F226" t="s">
        <v>1094</v>
      </c>
      <c r="G226" t="s">
        <v>1095</v>
      </c>
      <c r="H226" t="s">
        <v>1075</v>
      </c>
    </row>
    <row r="227" spans="1:8" x14ac:dyDescent="0.25">
      <c r="A227" t="s">
        <v>544</v>
      </c>
      <c r="B227" t="s">
        <v>1096</v>
      </c>
      <c r="C227" t="s">
        <v>1097</v>
      </c>
      <c r="D227" t="s">
        <v>1075</v>
      </c>
      <c r="E227" t="str">
        <f t="shared" si="3"/>
        <v>Defender</v>
      </c>
    </row>
    <row r="228" spans="1:8" x14ac:dyDescent="0.25">
      <c r="A228" t="s">
        <v>563</v>
      </c>
      <c r="E228" t="str">
        <f t="shared" si="3"/>
        <v>Midfielder</v>
      </c>
    </row>
    <row r="229" spans="1:8" x14ac:dyDescent="0.25">
      <c r="A229" t="s">
        <v>563</v>
      </c>
      <c r="B229" t="s">
        <v>1098</v>
      </c>
      <c r="C229" t="s">
        <v>1099</v>
      </c>
      <c r="D229" t="s">
        <v>1075</v>
      </c>
      <c r="E229" t="str">
        <f t="shared" si="3"/>
        <v>Midfielder</v>
      </c>
      <c r="F229" t="s">
        <v>1100</v>
      </c>
      <c r="G229" t="s">
        <v>1101</v>
      </c>
      <c r="H229" t="s">
        <v>1075</v>
      </c>
    </row>
    <row r="230" spans="1:8" x14ac:dyDescent="0.25">
      <c r="A230" t="s">
        <v>563</v>
      </c>
      <c r="B230" t="s">
        <v>1102</v>
      </c>
      <c r="C230" t="s">
        <v>1103</v>
      </c>
      <c r="D230" t="s">
        <v>1075</v>
      </c>
      <c r="E230" t="str">
        <f t="shared" si="3"/>
        <v>Midfielder</v>
      </c>
      <c r="F230" t="s">
        <v>1104</v>
      </c>
      <c r="G230" t="s">
        <v>1105</v>
      </c>
      <c r="H230" t="s">
        <v>1075</v>
      </c>
    </row>
    <row r="231" spans="1:8" x14ac:dyDescent="0.25">
      <c r="A231" t="s">
        <v>563</v>
      </c>
      <c r="B231" t="s">
        <v>1106</v>
      </c>
      <c r="C231" t="s">
        <v>1107</v>
      </c>
      <c r="D231" t="s">
        <v>1075</v>
      </c>
      <c r="E231" t="str">
        <f t="shared" si="3"/>
        <v>Midfielder</v>
      </c>
      <c r="F231" t="s">
        <v>1108</v>
      </c>
      <c r="G231" t="s">
        <v>1109</v>
      </c>
      <c r="H231" t="s">
        <v>1075</v>
      </c>
    </row>
    <row r="232" spans="1:8" x14ac:dyDescent="0.25">
      <c r="A232" t="s">
        <v>563</v>
      </c>
      <c r="B232" t="s">
        <v>1110</v>
      </c>
      <c r="C232" t="s">
        <v>1111</v>
      </c>
      <c r="D232" t="s">
        <v>1075</v>
      </c>
      <c r="E232" t="str">
        <f t="shared" si="3"/>
        <v>Midfielder</v>
      </c>
    </row>
    <row r="233" spans="1:8" x14ac:dyDescent="0.25">
      <c r="A233" t="s">
        <v>578</v>
      </c>
      <c r="E233" t="str">
        <f t="shared" si="3"/>
        <v>Forward</v>
      </c>
    </row>
    <row r="234" spans="1:8" x14ac:dyDescent="0.25">
      <c r="A234" t="s">
        <v>578</v>
      </c>
      <c r="B234" t="s">
        <v>1112</v>
      </c>
      <c r="C234" t="s">
        <v>1113</v>
      </c>
      <c r="D234" t="s">
        <v>1075</v>
      </c>
      <c r="E234" t="str">
        <f t="shared" si="3"/>
        <v>Forward</v>
      </c>
      <c r="F234" t="s">
        <v>1114</v>
      </c>
      <c r="G234" t="s">
        <v>1115</v>
      </c>
      <c r="H234" t="s">
        <v>1075</v>
      </c>
    </row>
    <row r="235" spans="1:8" x14ac:dyDescent="0.25">
      <c r="A235" t="s">
        <v>578</v>
      </c>
      <c r="B235" t="s">
        <v>1116</v>
      </c>
      <c r="C235" t="s">
        <v>1117</v>
      </c>
      <c r="D235" t="s">
        <v>1075</v>
      </c>
      <c r="E235" t="str">
        <f t="shared" si="3"/>
        <v>Forward</v>
      </c>
      <c r="F235" t="s">
        <v>1118</v>
      </c>
      <c r="G235" t="s">
        <v>1119</v>
      </c>
      <c r="H235" t="s">
        <v>1075</v>
      </c>
    </row>
    <row r="236" spans="1:8" x14ac:dyDescent="0.25">
      <c r="A236" t="s">
        <v>578</v>
      </c>
      <c r="B236" t="s">
        <v>1120</v>
      </c>
      <c r="C236" t="s">
        <v>1121</v>
      </c>
      <c r="D236" t="s">
        <v>1075</v>
      </c>
      <c r="E236" t="str">
        <f t="shared" si="3"/>
        <v>Forward</v>
      </c>
      <c r="F236" t="s">
        <v>1122</v>
      </c>
      <c r="G236" t="s">
        <v>1123</v>
      </c>
      <c r="H236" t="s">
        <v>1075</v>
      </c>
    </row>
    <row r="237" spans="1:8" x14ac:dyDescent="0.25">
      <c r="A237" t="s">
        <v>578</v>
      </c>
      <c r="B237" t="s">
        <v>1124</v>
      </c>
      <c r="C237" t="s">
        <v>1125</v>
      </c>
      <c r="D237" t="s">
        <v>1075</v>
      </c>
      <c r="E237" t="str">
        <f t="shared" si="3"/>
        <v>Forward</v>
      </c>
    </row>
    <row r="238" spans="1:8" x14ac:dyDescent="0.25">
      <c r="A238" t="s">
        <v>537</v>
      </c>
      <c r="E238" t="str">
        <f t="shared" si="3"/>
        <v>Goalkeeper</v>
      </c>
    </row>
    <row r="239" spans="1:8" x14ac:dyDescent="0.25">
      <c r="A239" t="s">
        <v>537</v>
      </c>
      <c r="B239" t="s">
        <v>1126</v>
      </c>
      <c r="C239" t="s">
        <v>1127</v>
      </c>
      <c r="D239" t="s">
        <v>152</v>
      </c>
      <c r="E239" t="str">
        <f t="shared" si="3"/>
        <v>Goalkeeper</v>
      </c>
      <c r="F239" t="s">
        <v>1128</v>
      </c>
      <c r="G239" t="s">
        <v>1129</v>
      </c>
      <c r="H239" t="s">
        <v>152</v>
      </c>
    </row>
    <row r="240" spans="1:8" x14ac:dyDescent="0.25">
      <c r="A240" t="s">
        <v>537</v>
      </c>
      <c r="B240" t="s">
        <v>1130</v>
      </c>
      <c r="C240" t="s">
        <v>1131</v>
      </c>
      <c r="D240" t="s">
        <v>152</v>
      </c>
      <c r="E240" t="str">
        <f t="shared" si="3"/>
        <v>Goalkeeper</v>
      </c>
    </row>
    <row r="241" spans="1:8" x14ac:dyDescent="0.25">
      <c r="A241" t="s">
        <v>544</v>
      </c>
      <c r="E241" t="str">
        <f t="shared" si="3"/>
        <v>Defender</v>
      </c>
    </row>
    <row r="242" spans="1:8" x14ac:dyDescent="0.25">
      <c r="A242" t="s">
        <v>544</v>
      </c>
      <c r="B242" t="s">
        <v>1132</v>
      </c>
      <c r="C242" t="s">
        <v>1133</v>
      </c>
      <c r="D242" t="s">
        <v>152</v>
      </c>
      <c r="E242" t="str">
        <f t="shared" si="3"/>
        <v>Defender</v>
      </c>
      <c r="F242" t="s">
        <v>1134</v>
      </c>
      <c r="G242" t="s">
        <v>1135</v>
      </c>
      <c r="H242" t="s">
        <v>152</v>
      </c>
    </row>
    <row r="243" spans="1:8" x14ac:dyDescent="0.25">
      <c r="A243" t="s">
        <v>544</v>
      </c>
      <c r="B243" t="s">
        <v>1136</v>
      </c>
      <c r="C243" t="s">
        <v>1137</v>
      </c>
      <c r="D243" t="s">
        <v>152</v>
      </c>
      <c r="E243" t="str">
        <f t="shared" si="3"/>
        <v>Defender</v>
      </c>
      <c r="F243" t="s">
        <v>1138</v>
      </c>
      <c r="G243" t="s">
        <v>1139</v>
      </c>
      <c r="H243" t="s">
        <v>152</v>
      </c>
    </row>
    <row r="244" spans="1:8" x14ac:dyDescent="0.25">
      <c r="A244" t="s">
        <v>544</v>
      </c>
      <c r="B244" t="s">
        <v>1140</v>
      </c>
      <c r="C244" t="s">
        <v>1141</v>
      </c>
      <c r="D244" t="s">
        <v>152</v>
      </c>
      <c r="E244" t="str">
        <f t="shared" si="3"/>
        <v>Defender</v>
      </c>
      <c r="F244" t="s">
        <v>1142</v>
      </c>
      <c r="G244" t="s">
        <v>1143</v>
      </c>
      <c r="H244" t="s">
        <v>152</v>
      </c>
    </row>
    <row r="245" spans="1:8" x14ac:dyDescent="0.25">
      <c r="A245" t="s">
        <v>544</v>
      </c>
      <c r="B245" t="s">
        <v>1144</v>
      </c>
      <c r="C245" t="s">
        <v>1145</v>
      </c>
      <c r="D245" t="s">
        <v>152</v>
      </c>
      <c r="E245" t="str">
        <f t="shared" si="3"/>
        <v>Defender</v>
      </c>
      <c r="F245" t="s">
        <v>1146</v>
      </c>
      <c r="G245" t="s">
        <v>1147</v>
      </c>
      <c r="H245" t="s">
        <v>152</v>
      </c>
    </row>
    <row r="246" spans="1:8" x14ac:dyDescent="0.25">
      <c r="A246" t="s">
        <v>563</v>
      </c>
      <c r="E246" t="str">
        <f t="shared" si="3"/>
        <v>Midfielder</v>
      </c>
    </row>
    <row r="247" spans="1:8" x14ac:dyDescent="0.25">
      <c r="A247" t="s">
        <v>563</v>
      </c>
      <c r="B247" t="s">
        <v>1148</v>
      </c>
      <c r="C247" t="s">
        <v>1149</v>
      </c>
      <c r="D247" t="s">
        <v>152</v>
      </c>
      <c r="E247" t="str">
        <f t="shared" si="3"/>
        <v>Midfielder</v>
      </c>
      <c r="F247" t="s">
        <v>1150</v>
      </c>
      <c r="G247" t="s">
        <v>1151</v>
      </c>
      <c r="H247" t="s">
        <v>152</v>
      </c>
    </row>
    <row r="248" spans="1:8" x14ac:dyDescent="0.25">
      <c r="A248" t="s">
        <v>563</v>
      </c>
      <c r="B248" t="s">
        <v>1152</v>
      </c>
      <c r="C248" t="s">
        <v>1153</v>
      </c>
      <c r="D248" t="s">
        <v>152</v>
      </c>
      <c r="E248" t="str">
        <f t="shared" si="3"/>
        <v>Midfielder</v>
      </c>
      <c r="F248" t="s">
        <v>1154</v>
      </c>
      <c r="G248" t="s">
        <v>1155</v>
      </c>
      <c r="H248" t="s">
        <v>152</v>
      </c>
    </row>
    <row r="249" spans="1:8" x14ac:dyDescent="0.25">
      <c r="A249" t="s">
        <v>563</v>
      </c>
      <c r="B249" t="s">
        <v>1156</v>
      </c>
      <c r="C249" t="s">
        <v>1157</v>
      </c>
      <c r="D249" t="s">
        <v>152</v>
      </c>
      <c r="E249" t="str">
        <f t="shared" si="3"/>
        <v>Midfielder</v>
      </c>
      <c r="F249" t="s">
        <v>1158</v>
      </c>
      <c r="G249" t="s">
        <v>1159</v>
      </c>
      <c r="H249" t="s">
        <v>152</v>
      </c>
    </row>
    <row r="250" spans="1:8" x14ac:dyDescent="0.25">
      <c r="A250" t="s">
        <v>563</v>
      </c>
      <c r="B250" t="s">
        <v>1160</v>
      </c>
      <c r="C250" t="s">
        <v>1161</v>
      </c>
      <c r="D250" t="s">
        <v>152</v>
      </c>
      <c r="E250" t="str">
        <f t="shared" si="3"/>
        <v>Midfielder</v>
      </c>
      <c r="F250" t="s">
        <v>1162</v>
      </c>
      <c r="G250" t="s">
        <v>1163</v>
      </c>
      <c r="H250" t="s">
        <v>152</v>
      </c>
    </row>
    <row r="251" spans="1:8" x14ac:dyDescent="0.25">
      <c r="A251" t="s">
        <v>563</v>
      </c>
      <c r="B251" t="s">
        <v>1164</v>
      </c>
      <c r="C251" t="s">
        <v>1165</v>
      </c>
      <c r="D251" t="s">
        <v>152</v>
      </c>
      <c r="E251" t="str">
        <f t="shared" si="3"/>
        <v>Midfielder</v>
      </c>
      <c r="F251" t="s">
        <v>1166</v>
      </c>
      <c r="G251" t="s">
        <v>1167</v>
      </c>
      <c r="H251" t="s">
        <v>152</v>
      </c>
    </row>
    <row r="252" spans="1:8" x14ac:dyDescent="0.25">
      <c r="A252" t="s">
        <v>578</v>
      </c>
      <c r="E252" t="str">
        <f t="shared" si="3"/>
        <v>Forward</v>
      </c>
    </row>
    <row r="253" spans="1:8" x14ac:dyDescent="0.25">
      <c r="A253" t="s">
        <v>578</v>
      </c>
      <c r="B253" t="s">
        <v>1168</v>
      </c>
      <c r="C253" t="s">
        <v>1169</v>
      </c>
      <c r="D253" t="s">
        <v>152</v>
      </c>
      <c r="E253" t="str">
        <f t="shared" si="3"/>
        <v>Forward</v>
      </c>
      <c r="F253" t="s">
        <v>1170</v>
      </c>
      <c r="G253" t="s">
        <v>1171</v>
      </c>
      <c r="H253" t="s">
        <v>152</v>
      </c>
    </row>
    <row r="254" spans="1:8" x14ac:dyDescent="0.25">
      <c r="A254" t="s">
        <v>578</v>
      </c>
      <c r="B254" t="s">
        <v>1172</v>
      </c>
      <c r="C254" t="s">
        <v>1173</v>
      </c>
      <c r="D254" t="s">
        <v>152</v>
      </c>
      <c r="E254" t="str">
        <f t="shared" si="3"/>
        <v>Forward</v>
      </c>
      <c r="F254" t="s">
        <v>1174</v>
      </c>
      <c r="G254" t="s">
        <v>1175</v>
      </c>
      <c r="H254" t="s">
        <v>152</v>
      </c>
    </row>
    <row r="255" spans="1:8" x14ac:dyDescent="0.25">
      <c r="A255" t="s">
        <v>578</v>
      </c>
      <c r="B255" t="s">
        <v>1176</v>
      </c>
      <c r="C255" t="s">
        <v>1177</v>
      </c>
      <c r="D255" t="s">
        <v>152</v>
      </c>
      <c r="E255" t="str">
        <f t="shared" si="3"/>
        <v>Forward</v>
      </c>
    </row>
    <row r="256" spans="1:8" x14ac:dyDescent="0.25">
      <c r="A256" t="s">
        <v>537</v>
      </c>
      <c r="E256" t="str">
        <f t="shared" si="3"/>
        <v>Goalkeeper</v>
      </c>
    </row>
    <row r="257" spans="1:8" x14ac:dyDescent="0.25">
      <c r="A257" t="s">
        <v>537</v>
      </c>
      <c r="B257" t="s">
        <v>1178</v>
      </c>
      <c r="C257" t="s">
        <v>1179</v>
      </c>
      <c r="D257" t="s">
        <v>65</v>
      </c>
      <c r="E257" t="str">
        <f t="shared" si="3"/>
        <v>Goalkeeper</v>
      </c>
      <c r="F257" t="s">
        <v>1180</v>
      </c>
      <c r="G257" t="s">
        <v>1181</v>
      </c>
      <c r="H257" t="s">
        <v>65</v>
      </c>
    </row>
    <row r="258" spans="1:8" x14ac:dyDescent="0.25">
      <c r="A258" t="s">
        <v>537</v>
      </c>
      <c r="B258" t="s">
        <v>1182</v>
      </c>
      <c r="C258" t="s">
        <v>1183</v>
      </c>
      <c r="D258" t="s">
        <v>65</v>
      </c>
      <c r="E258" t="str">
        <f t="shared" si="3"/>
        <v>Goalkeeper</v>
      </c>
    </row>
    <row r="259" spans="1:8" x14ac:dyDescent="0.25">
      <c r="A259" t="s">
        <v>544</v>
      </c>
      <c r="E259" t="str">
        <f t="shared" ref="E259:E322" si="4">A259</f>
        <v>Defender</v>
      </c>
    </row>
    <row r="260" spans="1:8" x14ac:dyDescent="0.25">
      <c r="A260" t="s">
        <v>544</v>
      </c>
      <c r="B260" t="s">
        <v>1184</v>
      </c>
      <c r="C260" t="s">
        <v>1185</v>
      </c>
      <c r="D260" t="s">
        <v>65</v>
      </c>
      <c r="E260" t="str">
        <f t="shared" si="4"/>
        <v>Defender</v>
      </c>
      <c r="F260" t="s">
        <v>1186</v>
      </c>
      <c r="G260" t="s">
        <v>1187</v>
      </c>
      <c r="H260" t="s">
        <v>65</v>
      </c>
    </row>
    <row r="261" spans="1:8" x14ac:dyDescent="0.25">
      <c r="A261" t="s">
        <v>544</v>
      </c>
      <c r="B261" t="s">
        <v>1188</v>
      </c>
      <c r="C261" t="s">
        <v>1189</v>
      </c>
      <c r="D261" t="s">
        <v>65</v>
      </c>
      <c r="E261" t="str">
        <f t="shared" si="4"/>
        <v>Defender</v>
      </c>
      <c r="F261" t="s">
        <v>1190</v>
      </c>
      <c r="G261" t="s">
        <v>1191</v>
      </c>
      <c r="H261" t="s">
        <v>65</v>
      </c>
    </row>
    <row r="262" spans="1:8" x14ac:dyDescent="0.25">
      <c r="A262" t="s">
        <v>544</v>
      </c>
      <c r="B262" t="s">
        <v>1192</v>
      </c>
      <c r="C262" t="s">
        <v>1193</v>
      </c>
      <c r="D262" t="s">
        <v>65</v>
      </c>
      <c r="E262" t="str">
        <f t="shared" si="4"/>
        <v>Defender</v>
      </c>
      <c r="F262" t="s">
        <v>1194</v>
      </c>
      <c r="G262" t="s">
        <v>1195</v>
      </c>
      <c r="H262" t="s">
        <v>65</v>
      </c>
    </row>
    <row r="263" spans="1:8" x14ac:dyDescent="0.25">
      <c r="A263" t="s">
        <v>544</v>
      </c>
      <c r="B263" t="s">
        <v>1196</v>
      </c>
      <c r="C263" t="s">
        <v>1197</v>
      </c>
      <c r="D263" t="s">
        <v>65</v>
      </c>
      <c r="E263" t="str">
        <f t="shared" si="4"/>
        <v>Defender</v>
      </c>
      <c r="F263" t="s">
        <v>1198</v>
      </c>
      <c r="G263" t="s">
        <v>1199</v>
      </c>
      <c r="H263" t="s">
        <v>65</v>
      </c>
    </row>
    <row r="264" spans="1:8" x14ac:dyDescent="0.25">
      <c r="A264" t="s">
        <v>563</v>
      </c>
      <c r="E264" t="str">
        <f t="shared" si="4"/>
        <v>Midfielder</v>
      </c>
    </row>
    <row r="265" spans="1:8" x14ac:dyDescent="0.25">
      <c r="A265" t="s">
        <v>563</v>
      </c>
      <c r="B265" t="s">
        <v>1200</v>
      </c>
      <c r="C265" t="s">
        <v>1201</v>
      </c>
      <c r="D265" t="s">
        <v>65</v>
      </c>
      <c r="E265" t="str">
        <f t="shared" si="4"/>
        <v>Midfielder</v>
      </c>
      <c r="F265" t="s">
        <v>1202</v>
      </c>
      <c r="G265" t="s">
        <v>533</v>
      </c>
      <c r="H265" t="s">
        <v>65</v>
      </c>
    </row>
    <row r="266" spans="1:8" x14ac:dyDescent="0.25">
      <c r="A266" t="s">
        <v>563</v>
      </c>
      <c r="B266" t="s">
        <v>1203</v>
      </c>
      <c r="C266" t="s">
        <v>1204</v>
      </c>
      <c r="D266" t="s">
        <v>65</v>
      </c>
      <c r="E266" t="str">
        <f t="shared" si="4"/>
        <v>Midfielder</v>
      </c>
      <c r="F266" t="s">
        <v>1205</v>
      </c>
      <c r="G266" t="s">
        <v>1206</v>
      </c>
      <c r="H266" t="s">
        <v>65</v>
      </c>
    </row>
    <row r="267" spans="1:8" x14ac:dyDescent="0.25">
      <c r="A267" t="s">
        <v>563</v>
      </c>
      <c r="B267" t="s">
        <v>1207</v>
      </c>
      <c r="C267" t="s">
        <v>1208</v>
      </c>
      <c r="D267" t="s">
        <v>65</v>
      </c>
      <c r="E267" t="str">
        <f t="shared" si="4"/>
        <v>Midfielder</v>
      </c>
      <c r="F267" t="s">
        <v>1209</v>
      </c>
      <c r="G267" t="s">
        <v>1210</v>
      </c>
      <c r="H267" t="s">
        <v>65</v>
      </c>
    </row>
    <row r="268" spans="1:8" x14ac:dyDescent="0.25">
      <c r="A268" t="s">
        <v>578</v>
      </c>
      <c r="E268" t="str">
        <f t="shared" si="4"/>
        <v>Forward</v>
      </c>
    </row>
    <row r="269" spans="1:8" x14ac:dyDescent="0.25">
      <c r="A269" t="s">
        <v>578</v>
      </c>
      <c r="B269" t="s">
        <v>1211</v>
      </c>
      <c r="C269" t="s">
        <v>1212</v>
      </c>
      <c r="D269" t="s">
        <v>65</v>
      </c>
      <c r="E269" t="str">
        <f t="shared" si="4"/>
        <v>Forward</v>
      </c>
      <c r="F269" t="s">
        <v>1213</v>
      </c>
      <c r="G269" t="s">
        <v>1214</v>
      </c>
      <c r="H269" t="s">
        <v>65</v>
      </c>
    </row>
    <row r="270" spans="1:8" x14ac:dyDescent="0.25">
      <c r="A270" t="s">
        <v>578</v>
      </c>
      <c r="B270" t="s">
        <v>1215</v>
      </c>
      <c r="C270" t="s">
        <v>1216</v>
      </c>
      <c r="D270" t="s">
        <v>65</v>
      </c>
      <c r="E270" t="str">
        <f t="shared" si="4"/>
        <v>Forward</v>
      </c>
      <c r="F270" t="s">
        <v>1217</v>
      </c>
      <c r="G270" t="s">
        <v>1218</v>
      </c>
      <c r="H270" t="s">
        <v>65</v>
      </c>
    </row>
    <row r="271" spans="1:8" x14ac:dyDescent="0.25">
      <c r="A271" t="s">
        <v>578</v>
      </c>
      <c r="B271" t="s">
        <v>1219</v>
      </c>
      <c r="C271" t="s">
        <v>1220</v>
      </c>
      <c r="D271" t="s">
        <v>65</v>
      </c>
      <c r="E271" t="str">
        <f t="shared" si="4"/>
        <v>Forward</v>
      </c>
      <c r="F271" t="s">
        <v>1221</v>
      </c>
      <c r="G271" t="s">
        <v>1222</v>
      </c>
      <c r="H271" t="s">
        <v>65</v>
      </c>
    </row>
    <row r="272" spans="1:8" x14ac:dyDescent="0.25">
      <c r="A272" t="s">
        <v>578</v>
      </c>
      <c r="B272" t="s">
        <v>1223</v>
      </c>
      <c r="C272" t="s">
        <v>1224</v>
      </c>
      <c r="D272" t="s">
        <v>65</v>
      </c>
      <c r="E272" t="str">
        <f t="shared" si="4"/>
        <v>Forward</v>
      </c>
      <c r="F272" t="s">
        <v>1225</v>
      </c>
      <c r="G272" t="s">
        <v>1226</v>
      </c>
      <c r="H272" t="s">
        <v>65</v>
      </c>
    </row>
    <row r="273" spans="1:8" x14ac:dyDescent="0.25">
      <c r="A273" t="s">
        <v>578</v>
      </c>
      <c r="B273" t="s">
        <v>1227</v>
      </c>
      <c r="C273" t="s">
        <v>1228</v>
      </c>
      <c r="D273" t="s">
        <v>65</v>
      </c>
      <c r="E273" t="str">
        <f t="shared" si="4"/>
        <v>Forward</v>
      </c>
    </row>
    <row r="274" spans="1:8" x14ac:dyDescent="0.25">
      <c r="A274" t="s">
        <v>537</v>
      </c>
      <c r="E274" t="str">
        <f t="shared" si="4"/>
        <v>Goalkeeper</v>
      </c>
    </row>
    <row r="275" spans="1:8" x14ac:dyDescent="0.25">
      <c r="A275" t="s">
        <v>537</v>
      </c>
      <c r="B275" t="s">
        <v>1229</v>
      </c>
      <c r="C275" t="s">
        <v>1230</v>
      </c>
      <c r="D275" t="s">
        <v>146</v>
      </c>
      <c r="E275" t="str">
        <f t="shared" si="4"/>
        <v>Goalkeeper</v>
      </c>
      <c r="F275" t="s">
        <v>1231</v>
      </c>
      <c r="G275" t="s">
        <v>1232</v>
      </c>
      <c r="H275" t="s">
        <v>146</v>
      </c>
    </row>
    <row r="276" spans="1:8" x14ac:dyDescent="0.25">
      <c r="A276" t="s">
        <v>537</v>
      </c>
      <c r="B276" t="s">
        <v>1233</v>
      </c>
      <c r="C276" t="s">
        <v>1234</v>
      </c>
      <c r="D276" t="s">
        <v>146</v>
      </c>
      <c r="E276" t="str">
        <f t="shared" si="4"/>
        <v>Goalkeeper</v>
      </c>
    </row>
    <row r="277" spans="1:8" x14ac:dyDescent="0.25">
      <c r="A277" t="s">
        <v>544</v>
      </c>
      <c r="E277" t="str">
        <f t="shared" si="4"/>
        <v>Defender</v>
      </c>
    </row>
    <row r="278" spans="1:8" x14ac:dyDescent="0.25">
      <c r="A278" t="s">
        <v>544</v>
      </c>
      <c r="B278" t="s">
        <v>1235</v>
      </c>
      <c r="C278" t="s">
        <v>1236</v>
      </c>
      <c r="D278" t="s">
        <v>146</v>
      </c>
      <c r="E278" t="str">
        <f t="shared" si="4"/>
        <v>Defender</v>
      </c>
      <c r="F278" t="s">
        <v>1237</v>
      </c>
      <c r="G278" t="s">
        <v>1238</v>
      </c>
      <c r="H278" t="s">
        <v>146</v>
      </c>
    </row>
    <row r="279" spans="1:8" x14ac:dyDescent="0.25">
      <c r="A279" t="s">
        <v>544</v>
      </c>
      <c r="B279" t="s">
        <v>1239</v>
      </c>
      <c r="C279" t="s">
        <v>1240</v>
      </c>
      <c r="D279" t="s">
        <v>146</v>
      </c>
      <c r="E279" t="str">
        <f t="shared" si="4"/>
        <v>Defender</v>
      </c>
      <c r="F279" t="s">
        <v>1241</v>
      </c>
      <c r="G279" t="s">
        <v>1242</v>
      </c>
      <c r="H279" t="s">
        <v>146</v>
      </c>
    </row>
    <row r="280" spans="1:8" x14ac:dyDescent="0.25">
      <c r="A280" t="s">
        <v>544</v>
      </c>
      <c r="B280" t="s">
        <v>1243</v>
      </c>
      <c r="C280" t="s">
        <v>1244</v>
      </c>
      <c r="D280" t="s">
        <v>146</v>
      </c>
      <c r="E280" t="str">
        <f t="shared" si="4"/>
        <v>Defender</v>
      </c>
      <c r="F280" t="s">
        <v>1245</v>
      </c>
      <c r="G280" t="s">
        <v>1246</v>
      </c>
      <c r="H280" t="s">
        <v>146</v>
      </c>
    </row>
    <row r="281" spans="1:8" x14ac:dyDescent="0.25">
      <c r="A281" t="s">
        <v>544</v>
      </c>
      <c r="B281" t="s">
        <v>1247</v>
      </c>
      <c r="C281" t="s">
        <v>1248</v>
      </c>
      <c r="D281" t="s">
        <v>146</v>
      </c>
      <c r="E281" t="str">
        <f t="shared" si="4"/>
        <v>Defender</v>
      </c>
      <c r="F281" t="s">
        <v>1249</v>
      </c>
      <c r="G281" t="s">
        <v>1250</v>
      </c>
      <c r="H281" t="s">
        <v>146</v>
      </c>
    </row>
    <row r="282" spans="1:8" x14ac:dyDescent="0.25">
      <c r="A282" t="s">
        <v>563</v>
      </c>
      <c r="E282" t="str">
        <f t="shared" si="4"/>
        <v>Midfielder</v>
      </c>
    </row>
    <row r="283" spans="1:8" x14ac:dyDescent="0.25">
      <c r="A283" t="s">
        <v>563</v>
      </c>
      <c r="B283" t="s">
        <v>1251</v>
      </c>
      <c r="C283" t="s">
        <v>1252</v>
      </c>
      <c r="D283" t="s">
        <v>146</v>
      </c>
      <c r="E283" t="str">
        <f t="shared" si="4"/>
        <v>Midfielder</v>
      </c>
      <c r="F283" t="s">
        <v>1253</v>
      </c>
      <c r="G283" t="s">
        <v>1254</v>
      </c>
      <c r="H283" t="s">
        <v>146</v>
      </c>
    </row>
    <row r="284" spans="1:8" x14ac:dyDescent="0.25">
      <c r="A284" t="s">
        <v>563</v>
      </c>
      <c r="B284" t="s">
        <v>1255</v>
      </c>
      <c r="C284" t="s">
        <v>1256</v>
      </c>
      <c r="D284" t="s">
        <v>146</v>
      </c>
      <c r="E284" t="str">
        <f t="shared" si="4"/>
        <v>Midfielder</v>
      </c>
      <c r="F284" t="s">
        <v>1257</v>
      </c>
      <c r="G284" t="s">
        <v>1258</v>
      </c>
      <c r="H284" t="s">
        <v>146</v>
      </c>
    </row>
    <row r="285" spans="1:8" x14ac:dyDescent="0.25">
      <c r="A285" t="s">
        <v>563</v>
      </c>
      <c r="B285" t="s">
        <v>1259</v>
      </c>
      <c r="C285" t="s">
        <v>1260</v>
      </c>
      <c r="D285" t="s">
        <v>146</v>
      </c>
      <c r="E285" t="str">
        <f t="shared" si="4"/>
        <v>Midfielder</v>
      </c>
      <c r="F285" t="s">
        <v>1261</v>
      </c>
      <c r="G285" t="s">
        <v>1262</v>
      </c>
      <c r="H285" t="s">
        <v>146</v>
      </c>
    </row>
    <row r="286" spans="1:8" x14ac:dyDescent="0.25">
      <c r="A286" t="s">
        <v>578</v>
      </c>
      <c r="E286" t="str">
        <f t="shared" si="4"/>
        <v>Forward</v>
      </c>
    </row>
    <row r="287" spans="1:8" x14ac:dyDescent="0.25">
      <c r="A287" t="s">
        <v>578</v>
      </c>
      <c r="B287" t="s">
        <v>1263</v>
      </c>
      <c r="C287" t="s">
        <v>1264</v>
      </c>
      <c r="D287" t="s">
        <v>146</v>
      </c>
      <c r="E287" t="str">
        <f t="shared" si="4"/>
        <v>Forward</v>
      </c>
      <c r="F287" t="s">
        <v>1265</v>
      </c>
      <c r="G287" t="s">
        <v>1266</v>
      </c>
      <c r="H287" t="s">
        <v>146</v>
      </c>
    </row>
    <row r="288" spans="1:8" x14ac:dyDescent="0.25">
      <c r="A288" t="s">
        <v>578</v>
      </c>
      <c r="B288" t="s">
        <v>1267</v>
      </c>
      <c r="C288" t="s">
        <v>1268</v>
      </c>
      <c r="D288" t="s">
        <v>146</v>
      </c>
      <c r="E288" t="str">
        <f t="shared" si="4"/>
        <v>Forward</v>
      </c>
      <c r="F288" t="s">
        <v>1269</v>
      </c>
      <c r="G288" t="s">
        <v>1270</v>
      </c>
      <c r="H288" t="s">
        <v>146</v>
      </c>
    </row>
    <row r="289" spans="1:8" x14ac:dyDescent="0.25">
      <c r="A289" t="s">
        <v>578</v>
      </c>
      <c r="B289" t="s">
        <v>1271</v>
      </c>
      <c r="C289" t="s">
        <v>1272</v>
      </c>
      <c r="D289" t="s">
        <v>146</v>
      </c>
      <c r="E289" t="str">
        <f t="shared" si="4"/>
        <v>Forward</v>
      </c>
      <c r="F289" t="s">
        <v>1273</v>
      </c>
      <c r="G289" t="s">
        <v>1274</v>
      </c>
      <c r="H289" t="s">
        <v>146</v>
      </c>
    </row>
    <row r="290" spans="1:8" x14ac:dyDescent="0.25">
      <c r="A290" t="s">
        <v>578</v>
      </c>
      <c r="B290" t="s">
        <v>1275</v>
      </c>
      <c r="C290" t="s">
        <v>1276</v>
      </c>
      <c r="D290" t="s">
        <v>146</v>
      </c>
      <c r="E290" t="str">
        <f t="shared" si="4"/>
        <v>Forward</v>
      </c>
      <c r="F290" t="s">
        <v>1277</v>
      </c>
      <c r="G290" t="s">
        <v>1278</v>
      </c>
      <c r="H290" t="s">
        <v>146</v>
      </c>
    </row>
    <row r="291" spans="1:8" x14ac:dyDescent="0.25">
      <c r="A291" t="s">
        <v>578</v>
      </c>
      <c r="B291" t="s">
        <v>1279</v>
      </c>
      <c r="C291" t="s">
        <v>1280</v>
      </c>
      <c r="D291" t="s">
        <v>146</v>
      </c>
      <c r="E291" t="str">
        <f t="shared" si="4"/>
        <v>Forward</v>
      </c>
    </row>
    <row r="292" spans="1:8" x14ac:dyDescent="0.25">
      <c r="A292" t="s">
        <v>537</v>
      </c>
      <c r="E292" t="str">
        <f t="shared" si="4"/>
        <v>Goalkeeper</v>
      </c>
    </row>
    <row r="293" spans="1:8" x14ac:dyDescent="0.25">
      <c r="A293" t="s">
        <v>537</v>
      </c>
      <c r="B293" t="s">
        <v>1281</v>
      </c>
      <c r="C293" t="s">
        <v>1281</v>
      </c>
      <c r="D293" t="s">
        <v>46</v>
      </c>
      <c r="E293" t="str">
        <f t="shared" si="4"/>
        <v>Goalkeeper</v>
      </c>
      <c r="F293" t="s">
        <v>1282</v>
      </c>
      <c r="G293" t="s">
        <v>1282</v>
      </c>
      <c r="H293" t="s">
        <v>46</v>
      </c>
    </row>
    <row r="294" spans="1:8" x14ac:dyDescent="0.25">
      <c r="A294" t="s">
        <v>537</v>
      </c>
      <c r="B294" t="s">
        <v>1283</v>
      </c>
      <c r="C294" t="s">
        <v>1283</v>
      </c>
      <c r="D294" t="s">
        <v>46</v>
      </c>
      <c r="E294" t="str">
        <f t="shared" si="4"/>
        <v>Goalkeeper</v>
      </c>
      <c r="F294" t="s">
        <v>1284</v>
      </c>
      <c r="G294" t="s">
        <v>1284</v>
      </c>
      <c r="H294" t="s">
        <v>46</v>
      </c>
    </row>
    <row r="295" spans="1:8" x14ac:dyDescent="0.25">
      <c r="A295" t="s">
        <v>544</v>
      </c>
      <c r="E295" t="str">
        <f t="shared" si="4"/>
        <v>Defender</v>
      </c>
    </row>
    <row r="296" spans="1:8" x14ac:dyDescent="0.25">
      <c r="A296" t="s">
        <v>544</v>
      </c>
      <c r="B296" t="s">
        <v>1285</v>
      </c>
      <c r="C296" t="s">
        <v>1285</v>
      </c>
      <c r="D296" t="s">
        <v>46</v>
      </c>
      <c r="E296" t="str">
        <f t="shared" si="4"/>
        <v>Defender</v>
      </c>
      <c r="F296" t="s">
        <v>1286</v>
      </c>
      <c r="G296" t="s">
        <v>1286</v>
      </c>
      <c r="H296" t="s">
        <v>46</v>
      </c>
    </row>
    <row r="297" spans="1:8" x14ac:dyDescent="0.25">
      <c r="A297" t="s">
        <v>544</v>
      </c>
      <c r="B297" t="s">
        <v>1287</v>
      </c>
      <c r="C297" t="s">
        <v>1287</v>
      </c>
      <c r="D297" t="s">
        <v>46</v>
      </c>
      <c r="E297" t="str">
        <f t="shared" si="4"/>
        <v>Defender</v>
      </c>
      <c r="F297" t="s">
        <v>1288</v>
      </c>
      <c r="G297" t="s">
        <v>1288</v>
      </c>
      <c r="H297" t="s">
        <v>46</v>
      </c>
    </row>
    <row r="298" spans="1:8" x14ac:dyDescent="0.25">
      <c r="A298" t="s">
        <v>544</v>
      </c>
      <c r="B298" t="s">
        <v>1289</v>
      </c>
      <c r="C298" t="s">
        <v>1289</v>
      </c>
      <c r="D298" t="s">
        <v>46</v>
      </c>
      <c r="E298" t="str">
        <f t="shared" si="4"/>
        <v>Defender</v>
      </c>
      <c r="F298" t="s">
        <v>1290</v>
      </c>
      <c r="G298" t="s">
        <v>1290</v>
      </c>
      <c r="H298" t="s">
        <v>46</v>
      </c>
    </row>
    <row r="299" spans="1:8" x14ac:dyDescent="0.25">
      <c r="A299" t="s">
        <v>544</v>
      </c>
      <c r="B299" t="s">
        <v>1291</v>
      </c>
      <c r="C299" t="s">
        <v>1291</v>
      </c>
      <c r="D299" t="s">
        <v>46</v>
      </c>
      <c r="E299" t="str">
        <f t="shared" si="4"/>
        <v>Defender</v>
      </c>
      <c r="F299" t="s">
        <v>1292</v>
      </c>
      <c r="G299" t="s">
        <v>1292</v>
      </c>
      <c r="H299" t="s">
        <v>46</v>
      </c>
    </row>
    <row r="300" spans="1:8" x14ac:dyDescent="0.25">
      <c r="A300" t="s">
        <v>563</v>
      </c>
      <c r="E300" t="str">
        <f t="shared" si="4"/>
        <v>Midfielder</v>
      </c>
    </row>
    <row r="301" spans="1:8" x14ac:dyDescent="0.25">
      <c r="A301" t="s">
        <v>563</v>
      </c>
      <c r="B301" t="s">
        <v>1293</v>
      </c>
      <c r="C301" t="s">
        <v>1293</v>
      </c>
      <c r="D301" t="s">
        <v>46</v>
      </c>
      <c r="E301" t="str">
        <f t="shared" si="4"/>
        <v>Midfielder</v>
      </c>
      <c r="F301" t="s">
        <v>1294</v>
      </c>
      <c r="G301" t="s">
        <v>1294</v>
      </c>
      <c r="H301" t="s">
        <v>46</v>
      </c>
    </row>
    <row r="302" spans="1:8" x14ac:dyDescent="0.25">
      <c r="A302" t="s">
        <v>563</v>
      </c>
      <c r="B302" t="s">
        <v>1295</v>
      </c>
      <c r="C302" t="s">
        <v>1295</v>
      </c>
      <c r="D302" t="s">
        <v>46</v>
      </c>
      <c r="E302" t="str">
        <f t="shared" si="4"/>
        <v>Midfielder</v>
      </c>
      <c r="F302" t="s">
        <v>1296</v>
      </c>
      <c r="G302" t="s">
        <v>1296</v>
      </c>
      <c r="H302" t="s">
        <v>46</v>
      </c>
    </row>
    <row r="303" spans="1:8" x14ac:dyDescent="0.25">
      <c r="A303" t="s">
        <v>563</v>
      </c>
      <c r="B303" t="s">
        <v>1297</v>
      </c>
      <c r="C303" t="s">
        <v>1297</v>
      </c>
      <c r="D303" t="s">
        <v>46</v>
      </c>
      <c r="E303" t="str">
        <f t="shared" si="4"/>
        <v>Midfielder</v>
      </c>
      <c r="F303" t="s">
        <v>1298</v>
      </c>
      <c r="G303" t="s">
        <v>1298</v>
      </c>
      <c r="H303" t="s">
        <v>46</v>
      </c>
    </row>
    <row r="304" spans="1:8" x14ac:dyDescent="0.25">
      <c r="A304" t="s">
        <v>563</v>
      </c>
      <c r="B304" t="s">
        <v>1299</v>
      </c>
      <c r="C304" t="s">
        <v>1299</v>
      </c>
      <c r="D304" t="s">
        <v>46</v>
      </c>
      <c r="E304" t="str">
        <f t="shared" si="4"/>
        <v>Midfielder</v>
      </c>
    </row>
    <row r="305" spans="1:8" x14ac:dyDescent="0.25">
      <c r="A305" t="s">
        <v>578</v>
      </c>
      <c r="E305" t="str">
        <f t="shared" si="4"/>
        <v>Forward</v>
      </c>
    </row>
    <row r="306" spans="1:8" x14ac:dyDescent="0.25">
      <c r="A306" t="s">
        <v>578</v>
      </c>
      <c r="B306" t="s">
        <v>1300</v>
      </c>
      <c r="C306" t="s">
        <v>1300</v>
      </c>
      <c r="D306" t="s">
        <v>46</v>
      </c>
      <c r="E306" t="str">
        <f t="shared" si="4"/>
        <v>Forward</v>
      </c>
      <c r="F306" t="s">
        <v>1301</v>
      </c>
      <c r="G306" t="s">
        <v>1301</v>
      </c>
      <c r="H306" t="s">
        <v>46</v>
      </c>
    </row>
    <row r="307" spans="1:8" x14ac:dyDescent="0.25">
      <c r="A307" t="s">
        <v>578</v>
      </c>
      <c r="B307" t="s">
        <v>1302</v>
      </c>
      <c r="C307" t="s">
        <v>1302</v>
      </c>
      <c r="D307" t="s">
        <v>46</v>
      </c>
      <c r="E307" t="str">
        <f t="shared" si="4"/>
        <v>Forward</v>
      </c>
      <c r="F307" t="s">
        <v>1303</v>
      </c>
      <c r="G307" t="s">
        <v>1303</v>
      </c>
      <c r="H307" t="s">
        <v>46</v>
      </c>
    </row>
    <row r="308" spans="1:8" x14ac:dyDescent="0.25">
      <c r="A308" t="s">
        <v>578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1304</v>
      </c>
      <c r="G308" t="s">
        <v>1304</v>
      </c>
      <c r="H308" t="s">
        <v>46</v>
      </c>
    </row>
    <row r="309" spans="1:8" x14ac:dyDescent="0.25">
      <c r="A309" t="s">
        <v>578</v>
      </c>
      <c r="B309" t="s">
        <v>1305</v>
      </c>
      <c r="C309" t="s">
        <v>1305</v>
      </c>
      <c r="D309" t="s">
        <v>46</v>
      </c>
      <c r="E309" t="str">
        <f t="shared" si="4"/>
        <v>Forward</v>
      </c>
    </row>
    <row r="310" spans="1:8" x14ac:dyDescent="0.25">
      <c r="A310" t="s">
        <v>537</v>
      </c>
      <c r="E310" t="str">
        <f t="shared" si="4"/>
        <v>Goalkeeper</v>
      </c>
    </row>
    <row r="311" spans="1:8" x14ac:dyDescent="0.25">
      <c r="A311" t="s">
        <v>537</v>
      </c>
      <c r="B311" t="s">
        <v>1306</v>
      </c>
      <c r="C311" t="s">
        <v>334</v>
      </c>
      <c r="D311" t="s">
        <v>109</v>
      </c>
      <c r="E311" t="str">
        <f t="shared" si="4"/>
        <v>Goalkeeper</v>
      </c>
      <c r="F311" t="s">
        <v>1307</v>
      </c>
      <c r="G311" t="s">
        <v>1308</v>
      </c>
      <c r="H311" t="s">
        <v>109</v>
      </c>
    </row>
    <row r="312" spans="1:8" x14ac:dyDescent="0.25">
      <c r="A312" t="s">
        <v>537</v>
      </c>
      <c r="B312" t="s">
        <v>1309</v>
      </c>
      <c r="C312" t="s">
        <v>1310</v>
      </c>
      <c r="D312" t="s">
        <v>109</v>
      </c>
      <c r="E312" t="str">
        <f t="shared" si="4"/>
        <v>Goalkeeper</v>
      </c>
    </row>
    <row r="313" spans="1:8" x14ac:dyDescent="0.25">
      <c r="A313" t="s">
        <v>544</v>
      </c>
      <c r="E313" t="str">
        <f t="shared" si="4"/>
        <v>Defender</v>
      </c>
    </row>
    <row r="314" spans="1:8" x14ac:dyDescent="0.25">
      <c r="A314" t="s">
        <v>544</v>
      </c>
      <c r="B314" t="s">
        <v>1311</v>
      </c>
      <c r="C314" t="s">
        <v>442</v>
      </c>
      <c r="D314" t="s">
        <v>109</v>
      </c>
      <c r="E314" t="str">
        <f t="shared" si="4"/>
        <v>Defender</v>
      </c>
      <c r="F314" t="s">
        <v>1312</v>
      </c>
      <c r="G314" t="s">
        <v>1313</v>
      </c>
      <c r="H314" t="s">
        <v>109</v>
      </c>
    </row>
    <row r="315" spans="1:8" x14ac:dyDescent="0.25">
      <c r="A315" t="s">
        <v>544</v>
      </c>
      <c r="B315" t="s">
        <v>1314</v>
      </c>
      <c r="C315" t="s">
        <v>350</v>
      </c>
      <c r="D315" t="s">
        <v>109</v>
      </c>
      <c r="E315" t="str">
        <f t="shared" si="4"/>
        <v>Defender</v>
      </c>
      <c r="F315" t="s">
        <v>1315</v>
      </c>
      <c r="G315" t="s">
        <v>450</v>
      </c>
      <c r="H315" t="s">
        <v>109</v>
      </c>
    </row>
    <row r="316" spans="1:8" x14ac:dyDescent="0.25">
      <c r="A316" t="s">
        <v>544</v>
      </c>
      <c r="B316" t="s">
        <v>1316</v>
      </c>
      <c r="C316" t="s">
        <v>454</v>
      </c>
      <c r="D316" t="s">
        <v>109</v>
      </c>
      <c r="E316" t="str">
        <f t="shared" si="4"/>
        <v>Defender</v>
      </c>
      <c r="F316" t="s">
        <v>1317</v>
      </c>
      <c r="G316" t="s">
        <v>1318</v>
      </c>
      <c r="H316" t="s">
        <v>109</v>
      </c>
    </row>
    <row r="317" spans="1:8" x14ac:dyDescent="0.25">
      <c r="A317" t="s">
        <v>544</v>
      </c>
      <c r="B317" t="s">
        <v>1319</v>
      </c>
      <c r="C317" t="s">
        <v>356</v>
      </c>
      <c r="D317" t="s">
        <v>109</v>
      </c>
      <c r="E317" t="str">
        <f t="shared" si="4"/>
        <v>Defender</v>
      </c>
      <c r="F317" t="s">
        <v>1320</v>
      </c>
      <c r="G317" t="s">
        <v>1321</v>
      </c>
      <c r="H317" t="s">
        <v>109</v>
      </c>
    </row>
    <row r="318" spans="1:8" x14ac:dyDescent="0.25">
      <c r="A318" t="s">
        <v>544</v>
      </c>
      <c r="B318" t="s">
        <v>1322</v>
      </c>
      <c r="C318" t="s">
        <v>1323</v>
      </c>
      <c r="D318" t="s">
        <v>109</v>
      </c>
      <c r="E318" t="str">
        <f t="shared" si="4"/>
        <v>Defender</v>
      </c>
    </row>
    <row r="319" spans="1:8" x14ac:dyDescent="0.25">
      <c r="A319" t="s">
        <v>563</v>
      </c>
      <c r="E319" t="str">
        <f t="shared" si="4"/>
        <v>Midfielder</v>
      </c>
    </row>
    <row r="320" spans="1:8" x14ac:dyDescent="0.25">
      <c r="A320" t="s">
        <v>563</v>
      </c>
      <c r="B320" t="s">
        <v>1324</v>
      </c>
      <c r="C320" t="s">
        <v>380</v>
      </c>
      <c r="D320" t="s">
        <v>109</v>
      </c>
      <c r="E320" t="str">
        <f t="shared" si="4"/>
        <v>Midfielder</v>
      </c>
      <c r="F320" t="s">
        <v>1325</v>
      </c>
      <c r="G320" t="s">
        <v>1326</v>
      </c>
      <c r="H320" t="s">
        <v>109</v>
      </c>
    </row>
    <row r="321" spans="1:8" x14ac:dyDescent="0.25">
      <c r="A321" t="s">
        <v>563</v>
      </c>
      <c r="B321" t="s">
        <v>1327</v>
      </c>
      <c r="C321" t="s">
        <v>396</v>
      </c>
      <c r="D321" t="s">
        <v>109</v>
      </c>
      <c r="E321" t="str">
        <f t="shared" si="4"/>
        <v>Midfielder</v>
      </c>
      <c r="F321" t="s">
        <v>1328</v>
      </c>
      <c r="G321" t="s">
        <v>1329</v>
      </c>
      <c r="H321" t="s">
        <v>109</v>
      </c>
    </row>
    <row r="322" spans="1:8" x14ac:dyDescent="0.25">
      <c r="A322" t="s">
        <v>563</v>
      </c>
      <c r="B322" t="s">
        <v>1330</v>
      </c>
      <c r="C322" t="s">
        <v>312</v>
      </c>
      <c r="D322" t="s">
        <v>109</v>
      </c>
      <c r="E322" t="str">
        <f t="shared" si="4"/>
        <v>Midfielder</v>
      </c>
      <c r="F322" t="s">
        <v>1331</v>
      </c>
      <c r="G322" t="s">
        <v>1332</v>
      </c>
      <c r="H322" t="s">
        <v>109</v>
      </c>
    </row>
    <row r="323" spans="1:8" x14ac:dyDescent="0.25">
      <c r="A323" t="s">
        <v>578</v>
      </c>
      <c r="E323" t="str">
        <f t="shared" ref="E323:E386" si="5">A323</f>
        <v>Forward</v>
      </c>
    </row>
    <row r="324" spans="1:8" x14ac:dyDescent="0.25">
      <c r="A324" t="s">
        <v>578</v>
      </c>
      <c r="B324" t="s">
        <v>1333</v>
      </c>
      <c r="C324" t="s">
        <v>318</v>
      </c>
      <c r="D324" t="s">
        <v>109</v>
      </c>
      <c r="E324" t="str">
        <f t="shared" si="5"/>
        <v>Forward</v>
      </c>
      <c r="F324" t="s">
        <v>1334</v>
      </c>
      <c r="G324" t="s">
        <v>1335</v>
      </c>
      <c r="H324" t="s">
        <v>109</v>
      </c>
    </row>
    <row r="325" spans="1:8" x14ac:dyDescent="0.25">
      <c r="A325" t="s">
        <v>578</v>
      </c>
      <c r="B325" t="s">
        <v>1336</v>
      </c>
      <c r="C325" t="s">
        <v>278</v>
      </c>
      <c r="D325" t="s">
        <v>109</v>
      </c>
      <c r="E325" t="str">
        <f t="shared" si="5"/>
        <v>Forward</v>
      </c>
      <c r="F325" t="s">
        <v>1337</v>
      </c>
      <c r="G325" t="s">
        <v>515</v>
      </c>
      <c r="H325" t="s">
        <v>109</v>
      </c>
    </row>
    <row r="326" spans="1:8" x14ac:dyDescent="0.25">
      <c r="A326" t="s">
        <v>578</v>
      </c>
      <c r="B326" t="s">
        <v>1338</v>
      </c>
      <c r="C326" t="s">
        <v>499</v>
      </c>
      <c r="D326" t="s">
        <v>109</v>
      </c>
      <c r="E326" t="str">
        <f t="shared" si="5"/>
        <v>Forward</v>
      </c>
      <c r="F326" t="s">
        <v>1339</v>
      </c>
      <c r="G326" t="s">
        <v>1340</v>
      </c>
      <c r="H326" t="s">
        <v>109</v>
      </c>
    </row>
    <row r="327" spans="1:8" x14ac:dyDescent="0.25">
      <c r="A327" t="s">
        <v>578</v>
      </c>
      <c r="B327" t="s">
        <v>1341</v>
      </c>
      <c r="C327" t="s">
        <v>495</v>
      </c>
      <c r="D327" t="s">
        <v>109</v>
      </c>
      <c r="E327" t="str">
        <f t="shared" si="5"/>
        <v>Forward</v>
      </c>
      <c r="F327" t="s">
        <v>1342</v>
      </c>
      <c r="G327" t="s">
        <v>1343</v>
      </c>
      <c r="H327" t="s">
        <v>109</v>
      </c>
    </row>
    <row r="328" spans="1:8" x14ac:dyDescent="0.25">
      <c r="A328" t="s">
        <v>537</v>
      </c>
      <c r="E328" t="str">
        <f t="shared" si="5"/>
        <v>Goalkeeper</v>
      </c>
    </row>
    <row r="329" spans="1:8" x14ac:dyDescent="0.25">
      <c r="A329" t="s">
        <v>537</v>
      </c>
      <c r="B329" t="s">
        <v>1344</v>
      </c>
      <c r="C329" t="s">
        <v>1345</v>
      </c>
      <c r="D329" t="s">
        <v>61</v>
      </c>
      <c r="E329" t="str">
        <f t="shared" si="5"/>
        <v>Goalkeeper</v>
      </c>
      <c r="F329" t="s">
        <v>1346</v>
      </c>
      <c r="G329" t="s">
        <v>1347</v>
      </c>
      <c r="H329" t="s">
        <v>61</v>
      </c>
    </row>
    <row r="330" spans="1:8" x14ac:dyDescent="0.25">
      <c r="A330" t="s">
        <v>537</v>
      </c>
      <c r="B330" t="s">
        <v>1348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544</v>
      </c>
      <c r="E331" t="str">
        <f t="shared" si="5"/>
        <v>Defender</v>
      </c>
    </row>
    <row r="332" spans="1:8" x14ac:dyDescent="0.25">
      <c r="A332" t="s">
        <v>544</v>
      </c>
      <c r="B332" t="s">
        <v>1349</v>
      </c>
      <c r="C332" t="s">
        <v>1350</v>
      </c>
      <c r="D332" t="s">
        <v>61</v>
      </c>
      <c r="E332" t="str">
        <f t="shared" si="5"/>
        <v>Defender</v>
      </c>
      <c r="F332" t="s">
        <v>1351</v>
      </c>
      <c r="G332" t="s">
        <v>376</v>
      </c>
      <c r="H332" t="s">
        <v>61</v>
      </c>
    </row>
    <row r="333" spans="1:8" x14ac:dyDescent="0.25">
      <c r="A333" t="s">
        <v>544</v>
      </c>
      <c r="B333" t="s">
        <v>1352</v>
      </c>
      <c r="C333" t="s">
        <v>1353</v>
      </c>
      <c r="D333" t="s">
        <v>61</v>
      </c>
      <c r="E333" t="str">
        <f t="shared" si="5"/>
        <v>Defender</v>
      </c>
      <c r="F333" t="s">
        <v>1354</v>
      </c>
      <c r="G333" t="s">
        <v>336</v>
      </c>
      <c r="H333" t="s">
        <v>61</v>
      </c>
    </row>
    <row r="334" spans="1:8" x14ac:dyDescent="0.25">
      <c r="A334" t="s">
        <v>544</v>
      </c>
      <c r="B334" t="s">
        <v>1355</v>
      </c>
      <c r="C334" t="s">
        <v>467</v>
      </c>
      <c r="D334" t="s">
        <v>61</v>
      </c>
      <c r="E334" t="str">
        <f t="shared" si="5"/>
        <v>Defender</v>
      </c>
      <c r="F334" t="s">
        <v>1356</v>
      </c>
      <c r="G334" t="s">
        <v>1357</v>
      </c>
      <c r="H334" t="s">
        <v>61</v>
      </c>
    </row>
    <row r="335" spans="1:8" x14ac:dyDescent="0.25">
      <c r="A335" t="s">
        <v>544</v>
      </c>
      <c r="B335" t="s">
        <v>1358</v>
      </c>
      <c r="C335" t="s">
        <v>358</v>
      </c>
      <c r="D335" t="s">
        <v>61</v>
      </c>
      <c r="E335" t="str">
        <f t="shared" si="5"/>
        <v>Defender</v>
      </c>
      <c r="F335" t="s">
        <v>1359</v>
      </c>
      <c r="G335" t="s">
        <v>1360</v>
      </c>
      <c r="H335" t="s">
        <v>61</v>
      </c>
    </row>
    <row r="336" spans="1:8" x14ac:dyDescent="0.25">
      <c r="A336" t="s">
        <v>544</v>
      </c>
      <c r="B336" t="s">
        <v>1361</v>
      </c>
      <c r="C336" t="s">
        <v>1362</v>
      </c>
      <c r="D336" t="s">
        <v>61</v>
      </c>
      <c r="E336" t="str">
        <f t="shared" si="5"/>
        <v>Defender</v>
      </c>
    </row>
    <row r="337" spans="1:8" x14ac:dyDescent="0.25">
      <c r="A337" t="s">
        <v>563</v>
      </c>
      <c r="E337" t="str">
        <f t="shared" si="5"/>
        <v>Midfielder</v>
      </c>
    </row>
    <row r="338" spans="1:8" x14ac:dyDescent="0.25">
      <c r="A338" t="s">
        <v>563</v>
      </c>
      <c r="B338" t="s">
        <v>1363</v>
      </c>
      <c r="C338" t="s">
        <v>1183</v>
      </c>
      <c r="D338" t="s">
        <v>61</v>
      </c>
      <c r="E338" t="str">
        <f t="shared" si="5"/>
        <v>Midfielder</v>
      </c>
      <c r="F338" t="s">
        <v>1364</v>
      </c>
      <c r="G338" t="s">
        <v>1365</v>
      </c>
      <c r="H338" t="s">
        <v>61</v>
      </c>
    </row>
    <row r="339" spans="1:8" x14ac:dyDescent="0.25">
      <c r="A339" t="s">
        <v>563</v>
      </c>
      <c r="B339" t="s">
        <v>1366</v>
      </c>
      <c r="C339" t="s">
        <v>412</v>
      </c>
      <c r="D339" t="s">
        <v>61</v>
      </c>
      <c r="E339" t="str">
        <f t="shared" si="5"/>
        <v>Midfielder</v>
      </c>
      <c r="F339" t="s">
        <v>1367</v>
      </c>
      <c r="G339" t="s">
        <v>1368</v>
      </c>
      <c r="H339" t="s">
        <v>61</v>
      </c>
    </row>
    <row r="340" spans="1:8" x14ac:dyDescent="0.25">
      <c r="A340" t="s">
        <v>563</v>
      </c>
      <c r="B340" t="s">
        <v>1369</v>
      </c>
      <c r="C340" t="s">
        <v>308</v>
      </c>
      <c r="D340" t="s">
        <v>61</v>
      </c>
      <c r="E340" t="str">
        <f t="shared" si="5"/>
        <v>Midfielder</v>
      </c>
      <c r="F340" t="s">
        <v>1370</v>
      </c>
      <c r="G340" t="s">
        <v>338</v>
      </c>
      <c r="H340" t="s">
        <v>61</v>
      </c>
    </row>
    <row r="341" spans="1:8" x14ac:dyDescent="0.25">
      <c r="A341" t="s">
        <v>563</v>
      </c>
      <c r="B341" t="s">
        <v>1371</v>
      </c>
      <c r="C341" t="s">
        <v>1372</v>
      </c>
      <c r="D341" t="s">
        <v>61</v>
      </c>
      <c r="E341" t="str">
        <f t="shared" si="5"/>
        <v>Midfielder</v>
      </c>
      <c r="F341" t="s">
        <v>1373</v>
      </c>
      <c r="G341" t="s">
        <v>1374</v>
      </c>
      <c r="H341" t="s">
        <v>61</v>
      </c>
    </row>
    <row r="342" spans="1:8" x14ac:dyDescent="0.25">
      <c r="A342" t="s">
        <v>578</v>
      </c>
      <c r="E342" t="str">
        <f t="shared" si="5"/>
        <v>Forward</v>
      </c>
    </row>
    <row r="343" spans="1:8" x14ac:dyDescent="0.25">
      <c r="A343" t="s">
        <v>578</v>
      </c>
      <c r="B343" t="s">
        <v>1375</v>
      </c>
      <c r="C343" t="s">
        <v>287</v>
      </c>
      <c r="D343" t="s">
        <v>61</v>
      </c>
      <c r="E343" t="str">
        <f t="shared" si="5"/>
        <v>Forward</v>
      </c>
      <c r="F343" t="s">
        <v>1376</v>
      </c>
      <c r="G343" t="s">
        <v>479</v>
      </c>
      <c r="H343" t="s">
        <v>61</v>
      </c>
    </row>
    <row r="344" spans="1:8" x14ac:dyDescent="0.25">
      <c r="A344" t="s">
        <v>578</v>
      </c>
      <c r="B344" t="s">
        <v>1377</v>
      </c>
      <c r="C344" t="s">
        <v>1378</v>
      </c>
      <c r="D344" t="s">
        <v>61</v>
      </c>
      <c r="E344" t="str">
        <f t="shared" si="5"/>
        <v>Forward</v>
      </c>
      <c r="F344" t="s">
        <v>1379</v>
      </c>
      <c r="G344" t="s">
        <v>354</v>
      </c>
      <c r="H344" t="s">
        <v>61</v>
      </c>
    </row>
    <row r="345" spans="1:8" x14ac:dyDescent="0.25">
      <c r="A345" t="s">
        <v>578</v>
      </c>
      <c r="B345" t="s">
        <v>1380</v>
      </c>
      <c r="C345" t="s">
        <v>275</v>
      </c>
      <c r="D345" t="s">
        <v>61</v>
      </c>
      <c r="E345" t="str">
        <f t="shared" si="5"/>
        <v>Forward</v>
      </c>
      <c r="F345" t="s">
        <v>1381</v>
      </c>
      <c r="G345" t="s">
        <v>1382</v>
      </c>
      <c r="H345" t="s">
        <v>61</v>
      </c>
    </row>
    <row r="346" spans="1:8" x14ac:dyDescent="0.25">
      <c r="A346" t="s">
        <v>537</v>
      </c>
      <c r="E346" t="str">
        <f t="shared" si="5"/>
        <v>Goalkeeper</v>
      </c>
    </row>
    <row r="347" spans="1:8" x14ac:dyDescent="0.25">
      <c r="A347" t="s">
        <v>537</v>
      </c>
      <c r="B347" t="s">
        <v>1383</v>
      </c>
      <c r="C347" t="s">
        <v>382</v>
      </c>
      <c r="D347" t="s">
        <v>74</v>
      </c>
      <c r="E347" t="str">
        <f t="shared" si="5"/>
        <v>Goalkeeper</v>
      </c>
      <c r="F347" t="s">
        <v>1384</v>
      </c>
      <c r="G347" t="s">
        <v>1385</v>
      </c>
      <c r="H347" t="s">
        <v>74</v>
      </c>
    </row>
    <row r="348" spans="1:8" x14ac:dyDescent="0.25">
      <c r="A348" t="s">
        <v>537</v>
      </c>
      <c r="B348" t="s">
        <v>1386</v>
      </c>
      <c r="C348" t="s">
        <v>1387</v>
      </c>
      <c r="D348" t="s">
        <v>74</v>
      </c>
      <c r="E348" t="str">
        <f t="shared" si="5"/>
        <v>Goalkeeper</v>
      </c>
    </row>
    <row r="349" spans="1:8" x14ac:dyDescent="0.25">
      <c r="A349" t="s">
        <v>544</v>
      </c>
      <c r="E349" t="str">
        <f t="shared" si="5"/>
        <v>Defender</v>
      </c>
    </row>
    <row r="350" spans="1:8" x14ac:dyDescent="0.25">
      <c r="A350" t="s">
        <v>544</v>
      </c>
      <c r="B350" t="s">
        <v>1388</v>
      </c>
      <c r="C350" t="s">
        <v>436</v>
      </c>
      <c r="D350" t="s">
        <v>74</v>
      </c>
      <c r="E350" t="str">
        <f t="shared" si="5"/>
        <v>Defender</v>
      </c>
      <c r="F350" t="s">
        <v>1389</v>
      </c>
      <c r="G350" t="s">
        <v>1390</v>
      </c>
      <c r="H350" t="s">
        <v>74</v>
      </c>
    </row>
    <row r="351" spans="1:8" x14ac:dyDescent="0.25">
      <c r="A351" t="s">
        <v>544</v>
      </c>
      <c r="B351" t="s">
        <v>1391</v>
      </c>
      <c r="C351" t="s">
        <v>1392</v>
      </c>
      <c r="D351" t="s">
        <v>74</v>
      </c>
      <c r="E351" t="str">
        <f t="shared" si="5"/>
        <v>Defender</v>
      </c>
      <c r="F351" t="s">
        <v>1393</v>
      </c>
      <c r="G351" t="s">
        <v>390</v>
      </c>
      <c r="H351" t="s">
        <v>74</v>
      </c>
    </row>
    <row r="352" spans="1:8" x14ac:dyDescent="0.25">
      <c r="A352" t="s">
        <v>544</v>
      </c>
      <c r="B352" t="s">
        <v>1394</v>
      </c>
      <c r="C352" t="s">
        <v>485</v>
      </c>
      <c r="D352" t="s">
        <v>74</v>
      </c>
      <c r="E352" t="str">
        <f t="shared" si="5"/>
        <v>Defender</v>
      </c>
      <c r="F352" t="s">
        <v>1395</v>
      </c>
      <c r="G352" t="s">
        <v>1396</v>
      </c>
      <c r="H352" t="s">
        <v>74</v>
      </c>
    </row>
    <row r="353" spans="1:8" x14ac:dyDescent="0.25">
      <c r="A353" t="s">
        <v>544</v>
      </c>
      <c r="B353" t="s">
        <v>1397</v>
      </c>
      <c r="C353" t="s">
        <v>493</v>
      </c>
      <c r="D353" t="s">
        <v>74</v>
      </c>
      <c r="E353" t="str">
        <f t="shared" si="5"/>
        <v>Defender</v>
      </c>
    </row>
    <row r="354" spans="1:8" x14ac:dyDescent="0.25">
      <c r="A354" t="s">
        <v>563</v>
      </c>
      <c r="E354" t="str">
        <f t="shared" si="5"/>
        <v>Midfielder</v>
      </c>
    </row>
    <row r="355" spans="1:8" x14ac:dyDescent="0.25">
      <c r="A355" t="s">
        <v>563</v>
      </c>
      <c r="B355" t="s">
        <v>1398</v>
      </c>
      <c r="C355" t="s">
        <v>1399</v>
      </c>
      <c r="D355" t="s">
        <v>74</v>
      </c>
      <c r="E355" t="str">
        <f t="shared" si="5"/>
        <v>Midfielder</v>
      </c>
      <c r="F355" t="s">
        <v>1400</v>
      </c>
      <c r="G355" t="s">
        <v>1401</v>
      </c>
      <c r="H355" t="s">
        <v>74</v>
      </c>
    </row>
    <row r="356" spans="1:8" x14ac:dyDescent="0.25">
      <c r="A356" t="s">
        <v>563</v>
      </c>
      <c r="B356" t="s">
        <v>1402</v>
      </c>
      <c r="C356" t="s">
        <v>342</v>
      </c>
      <c r="D356" t="s">
        <v>74</v>
      </c>
      <c r="E356" t="str">
        <f t="shared" si="5"/>
        <v>Midfielder</v>
      </c>
      <c r="F356" t="s">
        <v>1403</v>
      </c>
      <c r="G356" t="s">
        <v>326</v>
      </c>
      <c r="H356" t="s">
        <v>74</v>
      </c>
    </row>
    <row r="357" spans="1:8" x14ac:dyDescent="0.25">
      <c r="A357" t="s">
        <v>563</v>
      </c>
      <c r="B357" t="s">
        <v>1404</v>
      </c>
      <c r="C357" t="s">
        <v>511</v>
      </c>
      <c r="D357" t="s">
        <v>74</v>
      </c>
      <c r="E357" t="str">
        <f t="shared" si="5"/>
        <v>Midfielder</v>
      </c>
      <c r="F357" t="s">
        <v>1405</v>
      </c>
      <c r="G357" t="s">
        <v>1406</v>
      </c>
      <c r="H357" t="s">
        <v>74</v>
      </c>
    </row>
    <row r="358" spans="1:8" x14ac:dyDescent="0.25">
      <c r="A358" t="s">
        <v>563</v>
      </c>
      <c r="B358" t="s">
        <v>1407</v>
      </c>
      <c r="C358" t="s">
        <v>320</v>
      </c>
      <c r="D358" t="s">
        <v>74</v>
      </c>
      <c r="E358" t="str">
        <f t="shared" si="5"/>
        <v>Midfielder</v>
      </c>
      <c r="F358" t="s">
        <v>1408</v>
      </c>
      <c r="G358" t="s">
        <v>1409</v>
      </c>
      <c r="H358" t="s">
        <v>74</v>
      </c>
    </row>
    <row r="359" spans="1:8" x14ac:dyDescent="0.25">
      <c r="A359" t="s">
        <v>563</v>
      </c>
      <c r="B359" t="s">
        <v>1410</v>
      </c>
      <c r="C359" t="s">
        <v>1411</v>
      </c>
      <c r="D359" t="s">
        <v>74</v>
      </c>
      <c r="E359" t="str">
        <f t="shared" si="5"/>
        <v>Midfielder</v>
      </c>
      <c r="F359" t="s">
        <v>1412</v>
      </c>
      <c r="G359" t="s">
        <v>1413</v>
      </c>
      <c r="H359" t="s">
        <v>74</v>
      </c>
    </row>
    <row r="360" spans="1:8" x14ac:dyDescent="0.25">
      <c r="A360" t="s">
        <v>578</v>
      </c>
      <c r="E360" t="str">
        <f t="shared" si="5"/>
        <v>Forward</v>
      </c>
    </row>
    <row r="361" spans="1:8" x14ac:dyDescent="0.25">
      <c r="A361" t="s">
        <v>578</v>
      </c>
      <c r="B361" t="s">
        <v>1414</v>
      </c>
      <c r="C361" t="s">
        <v>298</v>
      </c>
      <c r="D361" t="s">
        <v>74</v>
      </c>
      <c r="E361" t="str">
        <f t="shared" si="5"/>
        <v>Forward</v>
      </c>
      <c r="F361" t="s">
        <v>1415</v>
      </c>
      <c r="G361" t="s">
        <v>1416</v>
      </c>
      <c r="H361" t="s">
        <v>74</v>
      </c>
    </row>
    <row r="362" spans="1:8" x14ac:dyDescent="0.25">
      <c r="A362" t="s">
        <v>578</v>
      </c>
      <c r="B362" t="s">
        <v>1417</v>
      </c>
      <c r="C362" t="s">
        <v>1418</v>
      </c>
      <c r="D362" t="s">
        <v>74</v>
      </c>
      <c r="E362" t="str">
        <f t="shared" si="5"/>
        <v>Forward</v>
      </c>
      <c r="F362" t="s">
        <v>1419</v>
      </c>
      <c r="G362" t="s">
        <v>316</v>
      </c>
      <c r="H362" t="s">
        <v>74</v>
      </c>
    </row>
    <row r="363" spans="1:8" x14ac:dyDescent="0.25">
      <c r="A363" t="s">
        <v>578</v>
      </c>
      <c r="B363" t="s">
        <v>1420</v>
      </c>
      <c r="C363" t="s">
        <v>1421</v>
      </c>
      <c r="D363" t="s">
        <v>74</v>
      </c>
      <c r="E363" t="str">
        <f t="shared" si="5"/>
        <v>Forward</v>
      </c>
      <c r="F363" t="s">
        <v>1422</v>
      </c>
      <c r="G363" t="s">
        <v>1423</v>
      </c>
      <c r="H363" t="s">
        <v>74</v>
      </c>
    </row>
    <row r="364" spans="1:8" x14ac:dyDescent="0.25">
      <c r="A364" t="s">
        <v>537</v>
      </c>
      <c r="E364" t="str">
        <f t="shared" si="5"/>
        <v>Goalkeeper</v>
      </c>
    </row>
    <row r="365" spans="1:8" x14ac:dyDescent="0.25">
      <c r="A365" t="s">
        <v>537</v>
      </c>
      <c r="B365" t="s">
        <v>1424</v>
      </c>
      <c r="C365" t="s">
        <v>1425</v>
      </c>
      <c r="D365" t="s">
        <v>105</v>
      </c>
      <c r="E365" t="str">
        <f t="shared" si="5"/>
        <v>Goalkeeper</v>
      </c>
      <c r="F365" t="s">
        <v>1426</v>
      </c>
      <c r="G365" t="s">
        <v>1427</v>
      </c>
      <c r="H365" t="s">
        <v>105</v>
      </c>
    </row>
    <row r="366" spans="1:8" x14ac:dyDescent="0.25">
      <c r="A366" t="s">
        <v>537</v>
      </c>
      <c r="B366" t="s">
        <v>1428</v>
      </c>
      <c r="C366" t="s">
        <v>1429</v>
      </c>
      <c r="D366" t="s">
        <v>105</v>
      </c>
      <c r="E366" t="str">
        <f t="shared" si="5"/>
        <v>Goalkeeper</v>
      </c>
    </row>
    <row r="367" spans="1:8" x14ac:dyDescent="0.25">
      <c r="A367" t="s">
        <v>544</v>
      </c>
      <c r="E367" t="str">
        <f t="shared" si="5"/>
        <v>Defender</v>
      </c>
    </row>
    <row r="368" spans="1:8" x14ac:dyDescent="0.25">
      <c r="A368" t="s">
        <v>544</v>
      </c>
      <c r="B368" t="s">
        <v>1430</v>
      </c>
      <c r="C368" t="s">
        <v>1431</v>
      </c>
      <c r="D368" t="s">
        <v>105</v>
      </c>
      <c r="E368" t="str">
        <f t="shared" si="5"/>
        <v>Defender</v>
      </c>
      <c r="F368" t="s">
        <v>1432</v>
      </c>
      <c r="G368" t="s">
        <v>1433</v>
      </c>
      <c r="H368" t="s">
        <v>105</v>
      </c>
    </row>
    <row r="369" spans="1:8" x14ac:dyDescent="0.25">
      <c r="A369" t="s">
        <v>544</v>
      </c>
      <c r="B369" t="s">
        <v>1434</v>
      </c>
      <c r="C369" t="s">
        <v>1435</v>
      </c>
      <c r="D369" t="s">
        <v>105</v>
      </c>
      <c r="E369" t="str">
        <f t="shared" si="5"/>
        <v>Defender</v>
      </c>
      <c r="F369" t="s">
        <v>1436</v>
      </c>
      <c r="G369" t="s">
        <v>1437</v>
      </c>
      <c r="H369" t="s">
        <v>105</v>
      </c>
    </row>
    <row r="370" spans="1:8" x14ac:dyDescent="0.25">
      <c r="A370" t="s">
        <v>544</v>
      </c>
      <c r="B370" t="s">
        <v>1438</v>
      </c>
      <c r="C370" t="s">
        <v>1439</v>
      </c>
      <c r="D370" t="s">
        <v>105</v>
      </c>
      <c r="E370" t="str">
        <f t="shared" si="5"/>
        <v>Defender</v>
      </c>
      <c r="F370" t="s">
        <v>1440</v>
      </c>
      <c r="G370" t="s">
        <v>1441</v>
      </c>
      <c r="H370" t="s">
        <v>105</v>
      </c>
    </row>
    <row r="371" spans="1:8" x14ac:dyDescent="0.25">
      <c r="A371" t="s">
        <v>544</v>
      </c>
      <c r="B371" t="s">
        <v>1442</v>
      </c>
      <c r="C371" t="s">
        <v>1443</v>
      </c>
      <c r="D371" t="s">
        <v>105</v>
      </c>
      <c r="E371" t="str">
        <f t="shared" si="5"/>
        <v>Defender</v>
      </c>
      <c r="F371" t="s">
        <v>1444</v>
      </c>
      <c r="G371" t="s">
        <v>1445</v>
      </c>
      <c r="H371" t="s">
        <v>105</v>
      </c>
    </row>
    <row r="372" spans="1:8" x14ac:dyDescent="0.25">
      <c r="A372" t="s">
        <v>544</v>
      </c>
      <c r="B372" t="s">
        <v>1446</v>
      </c>
      <c r="C372" t="s">
        <v>1447</v>
      </c>
      <c r="D372" t="s">
        <v>105</v>
      </c>
      <c r="E372" t="str">
        <f t="shared" si="5"/>
        <v>Defender</v>
      </c>
    </row>
    <row r="373" spans="1:8" x14ac:dyDescent="0.25">
      <c r="A373" t="s">
        <v>563</v>
      </c>
      <c r="E373" t="str">
        <f t="shared" si="5"/>
        <v>Midfielder</v>
      </c>
    </row>
    <row r="374" spans="1:8" x14ac:dyDescent="0.25">
      <c r="A374" t="s">
        <v>563</v>
      </c>
      <c r="B374" t="s">
        <v>1448</v>
      </c>
      <c r="C374" t="s">
        <v>1449</v>
      </c>
      <c r="D374" t="s">
        <v>105</v>
      </c>
      <c r="E374" t="str">
        <f t="shared" si="5"/>
        <v>Midfielder</v>
      </c>
      <c r="F374" t="s">
        <v>1450</v>
      </c>
      <c r="G374" t="s">
        <v>1451</v>
      </c>
      <c r="H374" t="s">
        <v>105</v>
      </c>
    </row>
    <row r="375" spans="1:8" x14ac:dyDescent="0.25">
      <c r="A375" t="s">
        <v>563</v>
      </c>
      <c r="B375" t="s">
        <v>1452</v>
      </c>
      <c r="C375" t="s">
        <v>1453</v>
      </c>
      <c r="D375" t="s">
        <v>105</v>
      </c>
      <c r="E375" t="str">
        <f t="shared" si="5"/>
        <v>Midfielder</v>
      </c>
      <c r="F375" t="s">
        <v>1454</v>
      </c>
      <c r="G375" t="s">
        <v>1455</v>
      </c>
      <c r="H375" t="s">
        <v>105</v>
      </c>
    </row>
    <row r="376" spans="1:8" x14ac:dyDescent="0.25">
      <c r="A376" t="s">
        <v>578</v>
      </c>
      <c r="E376" t="str">
        <f t="shared" si="5"/>
        <v>Forward</v>
      </c>
    </row>
    <row r="377" spans="1:8" x14ac:dyDescent="0.25">
      <c r="A377" t="s">
        <v>578</v>
      </c>
      <c r="B377" t="s">
        <v>1456</v>
      </c>
      <c r="C377" t="s">
        <v>1457</v>
      </c>
      <c r="D377" t="s">
        <v>105</v>
      </c>
      <c r="E377" t="str">
        <f t="shared" si="5"/>
        <v>Forward</v>
      </c>
      <c r="F377" t="s">
        <v>1458</v>
      </c>
      <c r="G377" t="s">
        <v>1459</v>
      </c>
      <c r="H377" t="s">
        <v>105</v>
      </c>
    </row>
    <row r="378" spans="1:8" x14ac:dyDescent="0.25">
      <c r="A378" t="s">
        <v>578</v>
      </c>
      <c r="B378" t="s">
        <v>1460</v>
      </c>
      <c r="C378" t="s">
        <v>1461</v>
      </c>
      <c r="D378" t="s">
        <v>105</v>
      </c>
      <c r="E378" t="str">
        <f t="shared" si="5"/>
        <v>Forward</v>
      </c>
      <c r="F378" t="s">
        <v>1462</v>
      </c>
      <c r="G378" t="s">
        <v>1463</v>
      </c>
      <c r="H378" t="s">
        <v>105</v>
      </c>
    </row>
    <row r="379" spans="1:8" x14ac:dyDescent="0.25">
      <c r="A379" t="s">
        <v>578</v>
      </c>
      <c r="B379" t="s">
        <v>1464</v>
      </c>
      <c r="C379" t="s">
        <v>1465</v>
      </c>
      <c r="D379" t="s">
        <v>105</v>
      </c>
      <c r="E379" t="str">
        <f t="shared" si="5"/>
        <v>Forward</v>
      </c>
      <c r="F379" t="s">
        <v>1466</v>
      </c>
      <c r="G379" t="s">
        <v>1467</v>
      </c>
      <c r="H379" t="s">
        <v>105</v>
      </c>
    </row>
    <row r="380" spans="1:8" x14ac:dyDescent="0.25">
      <c r="A380" t="s">
        <v>578</v>
      </c>
      <c r="B380" t="s">
        <v>1468</v>
      </c>
      <c r="C380" t="s">
        <v>1469</v>
      </c>
      <c r="D380" t="s">
        <v>105</v>
      </c>
      <c r="E380" t="str">
        <f t="shared" si="5"/>
        <v>Forward</v>
      </c>
      <c r="F380" t="s">
        <v>1470</v>
      </c>
      <c r="G380" t="s">
        <v>1471</v>
      </c>
      <c r="H380" t="s">
        <v>105</v>
      </c>
    </row>
    <row r="381" spans="1:8" x14ac:dyDescent="0.25">
      <c r="A381" t="s">
        <v>578</v>
      </c>
      <c r="B381" t="s">
        <v>1472</v>
      </c>
      <c r="C381" t="s">
        <v>1473</v>
      </c>
      <c r="D381" t="s">
        <v>105</v>
      </c>
      <c r="E381" t="str">
        <f t="shared" si="5"/>
        <v>Forward</v>
      </c>
      <c r="F381" t="s">
        <v>1474</v>
      </c>
      <c r="G381" t="s">
        <v>1475</v>
      </c>
      <c r="H381" t="s">
        <v>105</v>
      </c>
    </row>
    <row r="382" spans="1:8" x14ac:dyDescent="0.25">
      <c r="A382" t="s">
        <v>537</v>
      </c>
      <c r="E382" t="str">
        <f t="shared" si="5"/>
        <v>Goalkeeper</v>
      </c>
    </row>
    <row r="383" spans="1:8" x14ac:dyDescent="0.25">
      <c r="A383" t="s">
        <v>537</v>
      </c>
      <c r="B383" t="s">
        <v>1476</v>
      </c>
      <c r="C383" t="s">
        <v>1477</v>
      </c>
      <c r="D383" t="s">
        <v>159</v>
      </c>
      <c r="E383" t="str">
        <f t="shared" si="5"/>
        <v>Goalkeeper</v>
      </c>
      <c r="F383" t="s">
        <v>1478</v>
      </c>
      <c r="G383" t="s">
        <v>1479</v>
      </c>
      <c r="H383" t="s">
        <v>159</v>
      </c>
    </row>
    <row r="384" spans="1:8" x14ac:dyDescent="0.25">
      <c r="A384" t="s">
        <v>537</v>
      </c>
      <c r="B384" t="s">
        <v>1480</v>
      </c>
      <c r="C384" t="s">
        <v>1481</v>
      </c>
      <c r="D384" t="s">
        <v>159</v>
      </c>
      <c r="E384" t="str">
        <f t="shared" si="5"/>
        <v>Goalkeeper</v>
      </c>
    </row>
    <row r="385" spans="1:8" x14ac:dyDescent="0.25">
      <c r="A385" t="s">
        <v>544</v>
      </c>
      <c r="E385" t="str">
        <f t="shared" si="5"/>
        <v>Defender</v>
      </c>
    </row>
    <row r="386" spans="1:8" x14ac:dyDescent="0.25">
      <c r="A386" t="s">
        <v>544</v>
      </c>
      <c r="B386" t="s">
        <v>1482</v>
      </c>
      <c r="C386" t="s">
        <v>1483</v>
      </c>
      <c r="D386" t="s">
        <v>159</v>
      </c>
      <c r="E386" t="str">
        <f t="shared" si="5"/>
        <v>Defender</v>
      </c>
      <c r="F386" t="s">
        <v>1484</v>
      </c>
      <c r="G386" t="s">
        <v>1485</v>
      </c>
      <c r="H386" t="s">
        <v>159</v>
      </c>
    </row>
    <row r="387" spans="1:8" x14ac:dyDescent="0.25">
      <c r="A387" t="s">
        <v>544</v>
      </c>
      <c r="B387" t="s">
        <v>1486</v>
      </c>
      <c r="C387" t="s">
        <v>1487</v>
      </c>
      <c r="D387" t="s">
        <v>159</v>
      </c>
      <c r="E387" t="str">
        <f t="shared" ref="E387:E450" si="6">A387</f>
        <v>Defender</v>
      </c>
      <c r="F387" t="s">
        <v>1488</v>
      </c>
      <c r="G387" t="s">
        <v>1489</v>
      </c>
      <c r="H387" t="s">
        <v>159</v>
      </c>
    </row>
    <row r="388" spans="1:8" x14ac:dyDescent="0.25">
      <c r="A388" t="s">
        <v>544</v>
      </c>
      <c r="B388" t="s">
        <v>1490</v>
      </c>
      <c r="C388" t="s">
        <v>1491</v>
      </c>
      <c r="D388" t="s">
        <v>159</v>
      </c>
      <c r="E388" t="str">
        <f t="shared" si="6"/>
        <v>Defender</v>
      </c>
      <c r="F388" t="s">
        <v>1492</v>
      </c>
      <c r="G388" t="s">
        <v>1493</v>
      </c>
      <c r="H388" t="s">
        <v>159</v>
      </c>
    </row>
    <row r="389" spans="1:8" x14ac:dyDescent="0.25">
      <c r="A389" t="s">
        <v>544</v>
      </c>
      <c r="B389" t="s">
        <v>1494</v>
      </c>
      <c r="C389" t="s">
        <v>1495</v>
      </c>
      <c r="D389" t="s">
        <v>159</v>
      </c>
      <c r="E389" t="str">
        <f t="shared" si="6"/>
        <v>Defender</v>
      </c>
      <c r="F389" t="s">
        <v>1496</v>
      </c>
      <c r="G389" t="s">
        <v>1497</v>
      </c>
      <c r="H389" t="s">
        <v>159</v>
      </c>
    </row>
    <row r="390" spans="1:8" x14ac:dyDescent="0.25">
      <c r="A390" t="s">
        <v>563</v>
      </c>
      <c r="E390" t="str">
        <f t="shared" si="6"/>
        <v>Midfielder</v>
      </c>
    </row>
    <row r="391" spans="1:8" x14ac:dyDescent="0.25">
      <c r="A391" t="s">
        <v>563</v>
      </c>
      <c r="B391" t="s">
        <v>1498</v>
      </c>
      <c r="C391" t="s">
        <v>1499</v>
      </c>
      <c r="D391" t="s">
        <v>159</v>
      </c>
      <c r="E391" t="str">
        <f t="shared" si="6"/>
        <v>Midfielder</v>
      </c>
      <c r="F391" t="s">
        <v>1500</v>
      </c>
      <c r="G391" t="s">
        <v>1501</v>
      </c>
      <c r="H391" t="s">
        <v>159</v>
      </c>
    </row>
    <row r="392" spans="1:8" x14ac:dyDescent="0.25">
      <c r="A392" t="s">
        <v>563</v>
      </c>
      <c r="B392" t="s">
        <v>1502</v>
      </c>
      <c r="C392" t="s">
        <v>1503</v>
      </c>
      <c r="D392" t="s">
        <v>159</v>
      </c>
      <c r="E392" t="str">
        <f t="shared" si="6"/>
        <v>Midfielder</v>
      </c>
      <c r="F392" t="s">
        <v>1504</v>
      </c>
      <c r="G392" t="s">
        <v>1505</v>
      </c>
      <c r="H392" t="s">
        <v>159</v>
      </c>
    </row>
    <row r="393" spans="1:8" x14ac:dyDescent="0.25">
      <c r="A393" t="s">
        <v>563</v>
      </c>
      <c r="B393" t="s">
        <v>1506</v>
      </c>
      <c r="C393" t="s">
        <v>1507</v>
      </c>
      <c r="D393" t="s">
        <v>159</v>
      </c>
      <c r="E393" t="str">
        <f t="shared" si="6"/>
        <v>Midfielder</v>
      </c>
      <c r="F393" t="s">
        <v>1508</v>
      </c>
      <c r="G393" t="s">
        <v>1509</v>
      </c>
      <c r="H393" t="s">
        <v>159</v>
      </c>
    </row>
    <row r="394" spans="1:8" x14ac:dyDescent="0.25">
      <c r="A394" t="s">
        <v>578</v>
      </c>
      <c r="E394" t="str">
        <f t="shared" si="6"/>
        <v>Forward</v>
      </c>
    </row>
    <row r="395" spans="1:8" x14ac:dyDescent="0.25">
      <c r="A395" t="s">
        <v>578</v>
      </c>
      <c r="B395" t="s">
        <v>1510</v>
      </c>
      <c r="C395" t="s">
        <v>1511</v>
      </c>
      <c r="D395" t="s">
        <v>159</v>
      </c>
      <c r="E395" t="str">
        <f t="shared" si="6"/>
        <v>Forward</v>
      </c>
      <c r="F395" t="s">
        <v>1512</v>
      </c>
      <c r="G395" t="s">
        <v>1513</v>
      </c>
      <c r="H395" t="s">
        <v>159</v>
      </c>
    </row>
    <row r="396" spans="1:8" x14ac:dyDescent="0.25">
      <c r="A396" t="s">
        <v>578</v>
      </c>
      <c r="B396" t="s">
        <v>1514</v>
      </c>
      <c r="C396" t="s">
        <v>1515</v>
      </c>
      <c r="D396" t="s">
        <v>159</v>
      </c>
      <c r="E396" t="str">
        <f t="shared" si="6"/>
        <v>Forward</v>
      </c>
      <c r="F396" t="s">
        <v>1516</v>
      </c>
      <c r="G396" t="s">
        <v>1517</v>
      </c>
      <c r="H396" t="s">
        <v>159</v>
      </c>
    </row>
    <row r="397" spans="1:8" x14ac:dyDescent="0.25">
      <c r="A397" t="s">
        <v>578</v>
      </c>
      <c r="B397" t="s">
        <v>1518</v>
      </c>
      <c r="C397" t="s">
        <v>1519</v>
      </c>
      <c r="D397" t="s">
        <v>159</v>
      </c>
      <c r="E397" t="str">
        <f t="shared" si="6"/>
        <v>Forward</v>
      </c>
      <c r="F397" t="s">
        <v>1520</v>
      </c>
      <c r="G397" t="s">
        <v>1521</v>
      </c>
      <c r="H397" t="s">
        <v>159</v>
      </c>
    </row>
    <row r="398" spans="1:8" x14ac:dyDescent="0.25">
      <c r="A398" t="s">
        <v>578</v>
      </c>
      <c r="B398" t="s">
        <v>1522</v>
      </c>
      <c r="C398" t="s">
        <v>1523</v>
      </c>
      <c r="D398" t="s">
        <v>159</v>
      </c>
      <c r="E398" t="str">
        <f t="shared" si="6"/>
        <v>Forward</v>
      </c>
      <c r="F398" t="s">
        <v>1524</v>
      </c>
      <c r="G398" t="s">
        <v>1525</v>
      </c>
      <c r="H398" t="s">
        <v>159</v>
      </c>
    </row>
    <row r="399" spans="1:8" x14ac:dyDescent="0.25">
      <c r="A399" t="s">
        <v>578</v>
      </c>
      <c r="B399" t="s">
        <v>1526</v>
      </c>
      <c r="C399" t="s">
        <v>1527</v>
      </c>
      <c r="D399" t="s">
        <v>159</v>
      </c>
      <c r="E399" t="str">
        <f t="shared" si="6"/>
        <v>Forward</v>
      </c>
    </row>
    <row r="400" spans="1:8" x14ac:dyDescent="0.25">
      <c r="A400" t="s">
        <v>537</v>
      </c>
      <c r="E400" t="str">
        <f t="shared" si="6"/>
        <v>Goalkeeper</v>
      </c>
    </row>
    <row r="401" spans="1:8" x14ac:dyDescent="0.25">
      <c r="A401" t="s">
        <v>537</v>
      </c>
      <c r="B401" t="s">
        <v>1528</v>
      </c>
      <c r="C401" t="s">
        <v>1529</v>
      </c>
      <c r="D401" t="s">
        <v>1530</v>
      </c>
      <c r="E401" t="str">
        <f t="shared" si="6"/>
        <v>Goalkeeper</v>
      </c>
      <c r="F401" t="s">
        <v>1531</v>
      </c>
      <c r="G401" t="s">
        <v>1532</v>
      </c>
      <c r="H401" t="s">
        <v>1530</v>
      </c>
    </row>
    <row r="402" spans="1:8" x14ac:dyDescent="0.25">
      <c r="A402" t="s">
        <v>537</v>
      </c>
      <c r="B402" t="s">
        <v>1533</v>
      </c>
      <c r="C402" t="s">
        <v>1534</v>
      </c>
      <c r="D402" t="s">
        <v>1530</v>
      </c>
      <c r="E402" t="str">
        <f t="shared" si="6"/>
        <v>Goalkeeper</v>
      </c>
    </row>
    <row r="403" spans="1:8" x14ac:dyDescent="0.25">
      <c r="A403" t="s">
        <v>544</v>
      </c>
      <c r="E403" t="str">
        <f t="shared" si="6"/>
        <v>Defender</v>
      </c>
    </row>
    <row r="404" spans="1:8" x14ac:dyDescent="0.25">
      <c r="A404" t="s">
        <v>544</v>
      </c>
      <c r="B404" t="s">
        <v>1535</v>
      </c>
      <c r="C404" t="s">
        <v>1536</v>
      </c>
      <c r="D404" t="s">
        <v>1530</v>
      </c>
      <c r="E404" t="str">
        <f t="shared" si="6"/>
        <v>Defender</v>
      </c>
      <c r="F404" t="s">
        <v>1537</v>
      </c>
      <c r="G404" t="s">
        <v>1538</v>
      </c>
      <c r="H404" t="s">
        <v>1530</v>
      </c>
    </row>
    <row r="405" spans="1:8" x14ac:dyDescent="0.25">
      <c r="A405" t="s">
        <v>544</v>
      </c>
      <c r="B405" t="s">
        <v>1539</v>
      </c>
      <c r="C405" t="s">
        <v>1540</v>
      </c>
      <c r="D405" t="s">
        <v>1530</v>
      </c>
      <c r="E405" t="str">
        <f t="shared" si="6"/>
        <v>Defender</v>
      </c>
      <c r="F405" t="s">
        <v>1541</v>
      </c>
      <c r="G405" t="s">
        <v>1542</v>
      </c>
      <c r="H405" t="s">
        <v>1530</v>
      </c>
    </row>
    <row r="406" spans="1:8" x14ac:dyDescent="0.25">
      <c r="A406" t="s">
        <v>544</v>
      </c>
      <c r="B406" t="s">
        <v>1543</v>
      </c>
      <c r="C406" t="s">
        <v>1544</v>
      </c>
      <c r="D406" t="s">
        <v>1530</v>
      </c>
      <c r="E406" t="str">
        <f t="shared" si="6"/>
        <v>Defender</v>
      </c>
      <c r="F406" t="s">
        <v>1545</v>
      </c>
      <c r="G406" t="s">
        <v>1546</v>
      </c>
      <c r="H406" t="s">
        <v>1530</v>
      </c>
    </row>
    <row r="407" spans="1:8" x14ac:dyDescent="0.25">
      <c r="A407" t="s">
        <v>544</v>
      </c>
      <c r="B407" t="s">
        <v>1547</v>
      </c>
      <c r="C407" t="s">
        <v>1548</v>
      </c>
      <c r="D407" t="s">
        <v>1530</v>
      </c>
      <c r="E407" t="str">
        <f t="shared" si="6"/>
        <v>Defender</v>
      </c>
      <c r="F407" t="s">
        <v>1549</v>
      </c>
      <c r="G407" t="s">
        <v>1550</v>
      </c>
      <c r="H407" t="s">
        <v>1530</v>
      </c>
    </row>
    <row r="408" spans="1:8" x14ac:dyDescent="0.25">
      <c r="A408" t="s">
        <v>544</v>
      </c>
      <c r="B408" t="s">
        <v>1551</v>
      </c>
      <c r="C408" t="s">
        <v>1552</v>
      </c>
      <c r="D408" t="s">
        <v>1530</v>
      </c>
      <c r="E408" t="str">
        <f t="shared" si="6"/>
        <v>Defender</v>
      </c>
    </row>
    <row r="409" spans="1:8" x14ac:dyDescent="0.25">
      <c r="A409" t="s">
        <v>563</v>
      </c>
      <c r="E409" t="str">
        <f t="shared" si="6"/>
        <v>Midfielder</v>
      </c>
    </row>
    <row r="410" spans="1:8" x14ac:dyDescent="0.25">
      <c r="A410" t="s">
        <v>563</v>
      </c>
      <c r="B410" t="s">
        <v>1553</v>
      </c>
      <c r="C410" t="s">
        <v>1554</v>
      </c>
      <c r="D410" t="s">
        <v>1530</v>
      </c>
      <c r="E410" t="str">
        <f t="shared" si="6"/>
        <v>Midfielder</v>
      </c>
      <c r="F410" t="s">
        <v>1555</v>
      </c>
      <c r="G410" t="s">
        <v>1556</v>
      </c>
      <c r="H410" t="s">
        <v>1530</v>
      </c>
    </row>
    <row r="411" spans="1:8" x14ac:dyDescent="0.25">
      <c r="A411" t="s">
        <v>563</v>
      </c>
      <c r="B411" t="s">
        <v>1557</v>
      </c>
      <c r="C411" t="s">
        <v>1558</v>
      </c>
      <c r="D411" t="s">
        <v>1530</v>
      </c>
      <c r="E411" t="str">
        <f t="shared" si="6"/>
        <v>Midfielder</v>
      </c>
      <c r="F411" t="s">
        <v>1559</v>
      </c>
      <c r="G411" t="s">
        <v>1560</v>
      </c>
      <c r="H411" t="s">
        <v>1530</v>
      </c>
    </row>
    <row r="412" spans="1:8" x14ac:dyDescent="0.25">
      <c r="A412" t="s">
        <v>563</v>
      </c>
      <c r="B412" t="s">
        <v>1561</v>
      </c>
      <c r="C412" t="s">
        <v>1562</v>
      </c>
      <c r="D412" t="s">
        <v>1530</v>
      </c>
      <c r="E412" t="str">
        <f t="shared" si="6"/>
        <v>Midfielder</v>
      </c>
      <c r="F412" t="s">
        <v>1563</v>
      </c>
      <c r="G412" t="s">
        <v>1564</v>
      </c>
      <c r="H412" t="s">
        <v>1530</v>
      </c>
    </row>
    <row r="413" spans="1:8" x14ac:dyDescent="0.25">
      <c r="A413" t="s">
        <v>563</v>
      </c>
      <c r="B413" t="s">
        <v>1565</v>
      </c>
      <c r="C413" t="s">
        <v>1566</v>
      </c>
      <c r="D413" t="s">
        <v>1530</v>
      </c>
      <c r="E413" t="str">
        <f t="shared" si="6"/>
        <v>Midfielder</v>
      </c>
    </row>
    <row r="414" spans="1:8" x14ac:dyDescent="0.25">
      <c r="A414" t="s">
        <v>578</v>
      </c>
      <c r="E414" t="str">
        <f t="shared" si="6"/>
        <v>Forward</v>
      </c>
    </row>
    <row r="415" spans="1:8" x14ac:dyDescent="0.25">
      <c r="A415" t="s">
        <v>578</v>
      </c>
      <c r="B415" t="s">
        <v>1567</v>
      </c>
      <c r="C415" t="s">
        <v>1568</v>
      </c>
      <c r="D415" t="s">
        <v>1530</v>
      </c>
      <c r="E415" t="str">
        <f t="shared" si="6"/>
        <v>Forward</v>
      </c>
      <c r="F415" t="s">
        <v>1569</v>
      </c>
      <c r="G415" t="s">
        <v>1570</v>
      </c>
      <c r="H415" t="s">
        <v>1530</v>
      </c>
    </row>
    <row r="416" spans="1:8" x14ac:dyDescent="0.25">
      <c r="A416" t="s">
        <v>578</v>
      </c>
      <c r="B416" t="s">
        <v>1571</v>
      </c>
      <c r="C416" t="s">
        <v>1572</v>
      </c>
      <c r="D416" t="s">
        <v>1530</v>
      </c>
      <c r="E416" t="str">
        <f t="shared" si="6"/>
        <v>Forward</v>
      </c>
      <c r="F416" t="s">
        <v>1573</v>
      </c>
      <c r="G416" t="s">
        <v>1574</v>
      </c>
      <c r="H416" t="s">
        <v>1530</v>
      </c>
    </row>
    <row r="417" spans="1:8" x14ac:dyDescent="0.25">
      <c r="A417" t="s">
        <v>578</v>
      </c>
      <c r="B417" t="s">
        <v>1575</v>
      </c>
      <c r="C417" t="s">
        <v>1576</v>
      </c>
      <c r="D417" t="s">
        <v>1530</v>
      </c>
      <c r="E417" t="str">
        <f t="shared" si="6"/>
        <v>Forward</v>
      </c>
      <c r="F417" t="s">
        <v>1577</v>
      </c>
      <c r="G417" t="s">
        <v>1578</v>
      </c>
      <c r="H417" t="s">
        <v>1530</v>
      </c>
    </row>
    <row r="418" spans="1:8" x14ac:dyDescent="0.25">
      <c r="A418" t="s">
        <v>578</v>
      </c>
      <c r="B418" t="s">
        <v>1579</v>
      </c>
      <c r="C418" t="s">
        <v>1580</v>
      </c>
      <c r="D418" t="s">
        <v>1530</v>
      </c>
      <c r="E418" t="str">
        <f t="shared" si="6"/>
        <v>Forward</v>
      </c>
    </row>
    <row r="419" spans="1:8" x14ac:dyDescent="0.25">
      <c r="A419" t="s">
        <v>537</v>
      </c>
      <c r="E419" t="str">
        <f t="shared" si="6"/>
        <v>Goalkeeper</v>
      </c>
    </row>
    <row r="420" spans="1:8" x14ac:dyDescent="0.25">
      <c r="A420" t="s">
        <v>537</v>
      </c>
      <c r="B420" t="s">
        <v>1581</v>
      </c>
      <c r="C420" t="s">
        <v>1581</v>
      </c>
      <c r="D420" t="s">
        <v>127</v>
      </c>
      <c r="E420" t="str">
        <f t="shared" si="6"/>
        <v>Goalkeeper</v>
      </c>
      <c r="F420" t="s">
        <v>1582</v>
      </c>
      <c r="G420" t="s">
        <v>1582</v>
      </c>
      <c r="H420" t="s">
        <v>127</v>
      </c>
    </row>
    <row r="421" spans="1:8" x14ac:dyDescent="0.25">
      <c r="A421" t="s">
        <v>537</v>
      </c>
      <c r="B421" t="s">
        <v>1583</v>
      </c>
      <c r="C421" t="s">
        <v>1583</v>
      </c>
      <c r="D421" t="s">
        <v>127</v>
      </c>
      <c r="E421" t="str">
        <f t="shared" si="6"/>
        <v>Goalkeeper</v>
      </c>
    </row>
    <row r="422" spans="1:8" x14ac:dyDescent="0.25">
      <c r="A422" t="s">
        <v>544</v>
      </c>
      <c r="E422" t="str">
        <f t="shared" si="6"/>
        <v>Defender</v>
      </c>
    </row>
    <row r="423" spans="1:8" x14ac:dyDescent="0.25">
      <c r="A423" t="s">
        <v>544</v>
      </c>
      <c r="B423" t="s">
        <v>1584</v>
      </c>
      <c r="C423" t="s">
        <v>1584</v>
      </c>
      <c r="D423" t="s">
        <v>127</v>
      </c>
      <c r="E423" t="str">
        <f t="shared" si="6"/>
        <v>Defender</v>
      </c>
      <c r="F423" t="s">
        <v>1585</v>
      </c>
      <c r="G423" t="s">
        <v>1585</v>
      </c>
      <c r="H423" t="s">
        <v>127</v>
      </c>
    </row>
    <row r="424" spans="1:8" x14ac:dyDescent="0.25">
      <c r="A424" t="s">
        <v>544</v>
      </c>
      <c r="B424" t="s">
        <v>1586</v>
      </c>
      <c r="C424" t="s">
        <v>1586</v>
      </c>
      <c r="D424" t="s">
        <v>127</v>
      </c>
      <c r="E424" t="str">
        <f t="shared" si="6"/>
        <v>Defender</v>
      </c>
      <c r="F424" t="s">
        <v>1587</v>
      </c>
      <c r="G424" t="s">
        <v>1587</v>
      </c>
      <c r="H424" t="s">
        <v>127</v>
      </c>
    </row>
    <row r="425" spans="1:8" x14ac:dyDescent="0.25">
      <c r="A425" t="s">
        <v>544</v>
      </c>
      <c r="B425" t="s">
        <v>1588</v>
      </c>
      <c r="C425" t="s">
        <v>1588</v>
      </c>
      <c r="D425" t="s">
        <v>127</v>
      </c>
      <c r="E425" t="str">
        <f t="shared" si="6"/>
        <v>Defender</v>
      </c>
      <c r="F425" t="s">
        <v>1589</v>
      </c>
      <c r="G425" t="s">
        <v>1589</v>
      </c>
      <c r="H425" t="s">
        <v>127</v>
      </c>
    </row>
    <row r="426" spans="1:8" x14ac:dyDescent="0.25">
      <c r="A426" t="s">
        <v>544</v>
      </c>
      <c r="B426" t="s">
        <v>1590</v>
      </c>
      <c r="C426" t="s">
        <v>1590</v>
      </c>
      <c r="D426" t="s">
        <v>127</v>
      </c>
      <c r="E426" t="str">
        <f t="shared" si="6"/>
        <v>Defender</v>
      </c>
      <c r="F426" t="s">
        <v>1591</v>
      </c>
      <c r="G426" t="s">
        <v>1591</v>
      </c>
      <c r="H426" t="s">
        <v>127</v>
      </c>
    </row>
    <row r="427" spans="1:8" x14ac:dyDescent="0.25">
      <c r="A427" t="s">
        <v>544</v>
      </c>
      <c r="B427" t="s">
        <v>1592</v>
      </c>
      <c r="C427" t="s">
        <v>1592</v>
      </c>
      <c r="D427" t="s">
        <v>127</v>
      </c>
      <c r="E427" t="str">
        <f t="shared" si="6"/>
        <v>Defender</v>
      </c>
    </row>
    <row r="428" spans="1:8" x14ac:dyDescent="0.25">
      <c r="A428" t="s">
        <v>563</v>
      </c>
      <c r="E428" t="str">
        <f t="shared" si="6"/>
        <v>Midfielder</v>
      </c>
    </row>
    <row r="429" spans="1:8" x14ac:dyDescent="0.25">
      <c r="A429" t="s">
        <v>563</v>
      </c>
      <c r="B429" t="s">
        <v>1593</v>
      </c>
      <c r="C429" t="s">
        <v>1593</v>
      </c>
      <c r="D429" t="s">
        <v>127</v>
      </c>
      <c r="E429" t="str">
        <f t="shared" si="6"/>
        <v>Midfielder</v>
      </c>
      <c r="F429" t="s">
        <v>1594</v>
      </c>
      <c r="G429" t="s">
        <v>1594</v>
      </c>
      <c r="H429" t="s">
        <v>127</v>
      </c>
    </row>
    <row r="430" spans="1:8" x14ac:dyDescent="0.25">
      <c r="A430" t="s">
        <v>563</v>
      </c>
      <c r="B430" t="s">
        <v>1595</v>
      </c>
      <c r="C430" t="s">
        <v>1595</v>
      </c>
      <c r="D430" t="s">
        <v>127</v>
      </c>
      <c r="E430" t="str">
        <f t="shared" si="6"/>
        <v>Midfielder</v>
      </c>
      <c r="F430" t="s">
        <v>1596</v>
      </c>
      <c r="G430" t="s">
        <v>1596</v>
      </c>
      <c r="H430" t="s">
        <v>127</v>
      </c>
    </row>
    <row r="431" spans="1:8" x14ac:dyDescent="0.25">
      <c r="A431" t="s">
        <v>563</v>
      </c>
      <c r="B431" t="s">
        <v>1597</v>
      </c>
      <c r="C431" t="s">
        <v>1597</v>
      </c>
      <c r="D431" t="s">
        <v>127</v>
      </c>
      <c r="E431" t="str">
        <f t="shared" si="6"/>
        <v>Midfielder</v>
      </c>
      <c r="F431" t="s">
        <v>1598</v>
      </c>
      <c r="G431" t="s">
        <v>1598</v>
      </c>
      <c r="H431" t="s">
        <v>127</v>
      </c>
    </row>
    <row r="432" spans="1:8" x14ac:dyDescent="0.25">
      <c r="A432" t="s">
        <v>563</v>
      </c>
      <c r="B432" t="s">
        <v>1599</v>
      </c>
      <c r="C432" t="s">
        <v>1600</v>
      </c>
      <c r="D432" t="s">
        <v>127</v>
      </c>
      <c r="E432" t="str">
        <f t="shared" si="6"/>
        <v>Midfielder</v>
      </c>
    </row>
    <row r="433" spans="1:8" x14ac:dyDescent="0.25">
      <c r="A433" t="s">
        <v>578</v>
      </c>
      <c r="E433" t="str">
        <f t="shared" si="6"/>
        <v>Forward</v>
      </c>
    </row>
    <row r="434" spans="1:8" x14ac:dyDescent="0.25">
      <c r="A434" t="s">
        <v>578</v>
      </c>
      <c r="B434" t="s">
        <v>1601</v>
      </c>
      <c r="C434" t="s">
        <v>1601</v>
      </c>
      <c r="D434" t="s">
        <v>127</v>
      </c>
      <c r="E434" t="str">
        <f t="shared" si="6"/>
        <v>Forward</v>
      </c>
      <c r="F434" t="s">
        <v>1602</v>
      </c>
      <c r="G434" t="s">
        <v>1602</v>
      </c>
      <c r="H434" t="s">
        <v>127</v>
      </c>
    </row>
    <row r="435" spans="1:8" x14ac:dyDescent="0.25">
      <c r="A435" t="s">
        <v>578</v>
      </c>
      <c r="B435" t="s">
        <v>1603</v>
      </c>
      <c r="C435" t="s">
        <v>1603</v>
      </c>
      <c r="D435" t="s">
        <v>127</v>
      </c>
      <c r="E435" t="str">
        <f t="shared" si="6"/>
        <v>Forward</v>
      </c>
      <c r="F435" t="s">
        <v>1604</v>
      </c>
      <c r="G435" t="s">
        <v>1604</v>
      </c>
      <c r="H435" t="s">
        <v>127</v>
      </c>
    </row>
    <row r="436" spans="1:8" x14ac:dyDescent="0.25">
      <c r="A436" t="s">
        <v>578</v>
      </c>
      <c r="B436" t="s">
        <v>1605</v>
      </c>
      <c r="C436" t="s">
        <v>1605</v>
      </c>
      <c r="D436" t="s">
        <v>127</v>
      </c>
      <c r="E436" t="str">
        <f t="shared" si="6"/>
        <v>Forward</v>
      </c>
      <c r="F436" t="s">
        <v>1606</v>
      </c>
      <c r="G436" t="s">
        <v>1606</v>
      </c>
      <c r="H436" t="s">
        <v>127</v>
      </c>
    </row>
    <row r="437" spans="1:8" x14ac:dyDescent="0.25">
      <c r="A437" t="s">
        <v>578</v>
      </c>
      <c r="B437" t="s">
        <v>1607</v>
      </c>
      <c r="C437" t="s">
        <v>1607</v>
      </c>
      <c r="D437" t="s">
        <v>127</v>
      </c>
      <c r="E437" t="str">
        <f t="shared" si="6"/>
        <v>Forward</v>
      </c>
    </row>
    <row r="438" spans="1:8" x14ac:dyDescent="0.25">
      <c r="A438" t="s">
        <v>537</v>
      </c>
      <c r="E438" t="str">
        <f t="shared" si="6"/>
        <v>Goalkeeper</v>
      </c>
    </row>
    <row r="439" spans="1:8" x14ac:dyDescent="0.25">
      <c r="A439" t="s">
        <v>537</v>
      </c>
      <c r="B439" t="s">
        <v>1608</v>
      </c>
      <c r="C439" t="s">
        <v>517</v>
      </c>
      <c r="D439" t="s">
        <v>79</v>
      </c>
      <c r="E439" t="str">
        <f t="shared" si="6"/>
        <v>Goalkeeper</v>
      </c>
      <c r="F439" t="s">
        <v>1609</v>
      </c>
      <c r="G439" t="s">
        <v>1610</v>
      </c>
      <c r="H439" t="s">
        <v>79</v>
      </c>
    </row>
    <row r="440" spans="1:8" x14ac:dyDescent="0.25">
      <c r="A440" t="s">
        <v>537</v>
      </c>
      <c r="B440" t="s">
        <v>1611</v>
      </c>
      <c r="C440" t="s">
        <v>1612</v>
      </c>
      <c r="D440" t="s">
        <v>79</v>
      </c>
      <c r="E440" t="str">
        <f t="shared" si="6"/>
        <v>Goalkeeper</v>
      </c>
    </row>
    <row r="441" spans="1:8" x14ac:dyDescent="0.25">
      <c r="A441" t="s">
        <v>544</v>
      </c>
      <c r="E441" t="str">
        <f t="shared" si="6"/>
        <v>Defender</v>
      </c>
    </row>
    <row r="442" spans="1:8" x14ac:dyDescent="0.25">
      <c r="A442" t="s">
        <v>544</v>
      </c>
      <c r="B442" t="s">
        <v>1613</v>
      </c>
      <c r="C442" t="s">
        <v>1614</v>
      </c>
      <c r="D442" t="s">
        <v>79</v>
      </c>
      <c r="E442" t="str">
        <f t="shared" si="6"/>
        <v>Defender</v>
      </c>
      <c r="F442" t="s">
        <v>1615</v>
      </c>
      <c r="G442" t="s">
        <v>1616</v>
      </c>
      <c r="H442" t="s">
        <v>79</v>
      </c>
    </row>
    <row r="443" spans="1:8" x14ac:dyDescent="0.25">
      <c r="A443" t="s">
        <v>544</v>
      </c>
      <c r="B443" t="s">
        <v>1617</v>
      </c>
      <c r="C443" t="s">
        <v>1618</v>
      </c>
      <c r="D443" t="s">
        <v>79</v>
      </c>
      <c r="E443" t="str">
        <f t="shared" si="6"/>
        <v>Defender</v>
      </c>
      <c r="F443" t="s">
        <v>1619</v>
      </c>
      <c r="G443" t="s">
        <v>1620</v>
      </c>
      <c r="H443" t="s">
        <v>79</v>
      </c>
    </row>
    <row r="444" spans="1:8" x14ac:dyDescent="0.25">
      <c r="A444" t="s">
        <v>544</v>
      </c>
      <c r="B444" t="s">
        <v>1621</v>
      </c>
      <c r="C444" t="s">
        <v>1622</v>
      </c>
      <c r="D444" t="s">
        <v>79</v>
      </c>
      <c r="E444" t="str">
        <f t="shared" si="6"/>
        <v>Defender</v>
      </c>
      <c r="F444" t="s">
        <v>1623</v>
      </c>
      <c r="G444" t="s">
        <v>1624</v>
      </c>
      <c r="H444" t="s">
        <v>79</v>
      </c>
    </row>
    <row r="445" spans="1:8" x14ac:dyDescent="0.25">
      <c r="A445" t="s">
        <v>544</v>
      </c>
      <c r="B445" t="s">
        <v>1625</v>
      </c>
      <c r="C445" t="s">
        <v>1626</v>
      </c>
      <c r="D445" t="s">
        <v>79</v>
      </c>
      <c r="E445" t="str">
        <f t="shared" si="6"/>
        <v>Defender</v>
      </c>
      <c r="F445" t="s">
        <v>1627</v>
      </c>
      <c r="G445" t="s">
        <v>1628</v>
      </c>
      <c r="H445" t="s">
        <v>79</v>
      </c>
    </row>
    <row r="446" spans="1:8" x14ac:dyDescent="0.25">
      <c r="A446" t="s">
        <v>544</v>
      </c>
      <c r="B446" t="s">
        <v>1629</v>
      </c>
      <c r="C446" t="s">
        <v>1630</v>
      </c>
      <c r="D446" t="s">
        <v>79</v>
      </c>
      <c r="E446" t="str">
        <f t="shared" si="6"/>
        <v>Defender</v>
      </c>
    </row>
    <row r="447" spans="1:8" x14ac:dyDescent="0.25">
      <c r="A447" t="s">
        <v>563</v>
      </c>
      <c r="E447" t="str">
        <f t="shared" si="6"/>
        <v>Midfielder</v>
      </c>
    </row>
    <row r="448" spans="1:8" x14ac:dyDescent="0.25">
      <c r="A448" t="s">
        <v>563</v>
      </c>
      <c r="B448" t="s">
        <v>1631</v>
      </c>
      <c r="C448" t="s">
        <v>1632</v>
      </c>
      <c r="D448" t="s">
        <v>79</v>
      </c>
      <c r="E448" t="str">
        <f t="shared" si="6"/>
        <v>Midfielder</v>
      </c>
      <c r="F448" t="s">
        <v>1633</v>
      </c>
      <c r="G448" t="s">
        <v>1634</v>
      </c>
      <c r="H448" t="s">
        <v>79</v>
      </c>
    </row>
    <row r="449" spans="1:8" x14ac:dyDescent="0.25">
      <c r="A449" t="s">
        <v>563</v>
      </c>
      <c r="B449" t="s">
        <v>1635</v>
      </c>
      <c r="C449" t="s">
        <v>1636</v>
      </c>
      <c r="D449" t="s">
        <v>79</v>
      </c>
      <c r="E449" t="str">
        <f t="shared" si="6"/>
        <v>Midfielder</v>
      </c>
      <c r="F449" t="s">
        <v>1637</v>
      </c>
      <c r="G449" t="s">
        <v>1638</v>
      </c>
      <c r="H449" t="s">
        <v>79</v>
      </c>
    </row>
    <row r="450" spans="1:8" x14ac:dyDescent="0.25">
      <c r="A450" t="s">
        <v>563</v>
      </c>
      <c r="B450" t="s">
        <v>1639</v>
      </c>
      <c r="C450" t="s">
        <v>1640</v>
      </c>
      <c r="D450" t="s">
        <v>79</v>
      </c>
      <c r="E450" t="str">
        <f t="shared" si="6"/>
        <v>Midfielder</v>
      </c>
      <c r="F450" t="s">
        <v>1641</v>
      </c>
      <c r="G450" t="s">
        <v>1642</v>
      </c>
      <c r="H450" t="s">
        <v>79</v>
      </c>
    </row>
    <row r="451" spans="1:8" x14ac:dyDescent="0.25">
      <c r="A451" t="s">
        <v>578</v>
      </c>
      <c r="E451" t="str">
        <f t="shared" ref="E451:E514" si="7">A451</f>
        <v>Forward</v>
      </c>
    </row>
    <row r="452" spans="1:8" x14ac:dyDescent="0.25">
      <c r="A452" t="s">
        <v>578</v>
      </c>
      <c r="B452" t="s">
        <v>1643</v>
      </c>
      <c r="C452" t="s">
        <v>1644</v>
      </c>
      <c r="D452" t="s">
        <v>79</v>
      </c>
      <c r="E452" t="str">
        <f t="shared" si="7"/>
        <v>Forward</v>
      </c>
      <c r="F452" t="s">
        <v>1645</v>
      </c>
      <c r="G452" t="s">
        <v>1646</v>
      </c>
      <c r="H452" t="s">
        <v>79</v>
      </c>
    </row>
    <row r="453" spans="1:8" x14ac:dyDescent="0.25">
      <c r="A453" t="s">
        <v>578</v>
      </c>
      <c r="B453" t="s">
        <v>1647</v>
      </c>
      <c r="C453" t="s">
        <v>1648</v>
      </c>
      <c r="D453" t="s">
        <v>79</v>
      </c>
      <c r="E453" t="str">
        <f t="shared" si="7"/>
        <v>Forward</v>
      </c>
      <c r="F453" t="s">
        <v>1649</v>
      </c>
      <c r="G453" t="s">
        <v>1650</v>
      </c>
      <c r="H453" t="s">
        <v>79</v>
      </c>
    </row>
    <row r="454" spans="1:8" x14ac:dyDescent="0.25">
      <c r="A454" t="s">
        <v>578</v>
      </c>
      <c r="B454" t="s">
        <v>1651</v>
      </c>
      <c r="C454" t="s">
        <v>1652</v>
      </c>
      <c r="D454" t="s">
        <v>79</v>
      </c>
      <c r="E454" t="str">
        <f t="shared" si="7"/>
        <v>Forward</v>
      </c>
      <c r="F454" t="s">
        <v>1653</v>
      </c>
      <c r="G454" t="s">
        <v>1654</v>
      </c>
      <c r="H454" t="s">
        <v>79</v>
      </c>
    </row>
    <row r="455" spans="1:8" x14ac:dyDescent="0.25">
      <c r="A455" t="s">
        <v>578</v>
      </c>
      <c r="B455" t="s">
        <v>1655</v>
      </c>
      <c r="C455" t="s">
        <v>1656</v>
      </c>
      <c r="D455" t="s">
        <v>79</v>
      </c>
      <c r="E455" t="str">
        <f t="shared" si="7"/>
        <v>Forward</v>
      </c>
      <c r="F455" t="s">
        <v>1657</v>
      </c>
      <c r="G455" t="s">
        <v>1658</v>
      </c>
      <c r="H455" t="s">
        <v>79</v>
      </c>
    </row>
    <row r="456" spans="1:8" x14ac:dyDescent="0.25">
      <c r="A456" t="s">
        <v>537</v>
      </c>
      <c r="E456" t="str">
        <f t="shared" si="7"/>
        <v>Goalkeeper</v>
      </c>
    </row>
    <row r="457" spans="1:8" x14ac:dyDescent="0.25">
      <c r="A457" t="s">
        <v>537</v>
      </c>
      <c r="B457" t="s">
        <v>1659</v>
      </c>
      <c r="C457" t="s">
        <v>1659</v>
      </c>
      <c r="D457" t="s">
        <v>92</v>
      </c>
      <c r="E457" t="str">
        <f t="shared" si="7"/>
        <v>Goalkeeper</v>
      </c>
      <c r="F457" t="s">
        <v>1660</v>
      </c>
      <c r="G457" t="s">
        <v>1660</v>
      </c>
      <c r="H457" t="s">
        <v>92</v>
      </c>
    </row>
    <row r="458" spans="1:8" x14ac:dyDescent="0.25">
      <c r="A458" t="s">
        <v>537</v>
      </c>
      <c r="B458" t="s">
        <v>1661</v>
      </c>
      <c r="C458" t="s">
        <v>1661</v>
      </c>
      <c r="D458" t="s">
        <v>92</v>
      </c>
      <c r="E458" t="str">
        <f t="shared" si="7"/>
        <v>Goalkeeper</v>
      </c>
    </row>
    <row r="459" spans="1:8" x14ac:dyDescent="0.25">
      <c r="A459" t="s">
        <v>544</v>
      </c>
      <c r="E459" t="str">
        <f t="shared" si="7"/>
        <v>Defender</v>
      </c>
    </row>
    <row r="460" spans="1:8" x14ac:dyDescent="0.25">
      <c r="A460" t="s">
        <v>544</v>
      </c>
      <c r="B460" t="s">
        <v>1662</v>
      </c>
      <c r="C460" t="s">
        <v>1662</v>
      </c>
      <c r="D460" t="s">
        <v>92</v>
      </c>
      <c r="E460" t="str">
        <f t="shared" si="7"/>
        <v>Defender</v>
      </c>
      <c r="F460" t="s">
        <v>1663</v>
      </c>
      <c r="G460" t="s">
        <v>1663</v>
      </c>
      <c r="H460" t="s">
        <v>92</v>
      </c>
    </row>
    <row r="461" spans="1:8" x14ac:dyDescent="0.25">
      <c r="A461" t="s">
        <v>544</v>
      </c>
      <c r="B461" t="s">
        <v>1664</v>
      </c>
      <c r="C461" t="s">
        <v>1664</v>
      </c>
      <c r="D461" t="s">
        <v>92</v>
      </c>
      <c r="E461" t="str">
        <f t="shared" si="7"/>
        <v>Defender</v>
      </c>
      <c r="F461" t="s">
        <v>1665</v>
      </c>
      <c r="G461" t="s">
        <v>1665</v>
      </c>
      <c r="H461" t="s">
        <v>92</v>
      </c>
    </row>
    <row r="462" spans="1:8" x14ac:dyDescent="0.25">
      <c r="A462" t="s">
        <v>544</v>
      </c>
      <c r="B462" t="s">
        <v>1666</v>
      </c>
      <c r="C462" t="s">
        <v>1666</v>
      </c>
      <c r="D462" t="s">
        <v>92</v>
      </c>
      <c r="E462" t="str">
        <f t="shared" si="7"/>
        <v>Defender</v>
      </c>
      <c r="F462" t="s">
        <v>1667</v>
      </c>
      <c r="G462" t="s">
        <v>1667</v>
      </c>
      <c r="H462" t="s">
        <v>92</v>
      </c>
    </row>
    <row r="463" spans="1:8" x14ac:dyDescent="0.25">
      <c r="A463" t="s">
        <v>544</v>
      </c>
      <c r="B463" t="s">
        <v>1668</v>
      </c>
      <c r="C463" t="s">
        <v>1668</v>
      </c>
      <c r="D463" t="s">
        <v>92</v>
      </c>
      <c r="E463" t="str">
        <f t="shared" si="7"/>
        <v>Defender</v>
      </c>
      <c r="F463" t="s">
        <v>1669</v>
      </c>
      <c r="G463" t="s">
        <v>1669</v>
      </c>
      <c r="H463" t="s">
        <v>92</v>
      </c>
    </row>
    <row r="464" spans="1:8" x14ac:dyDescent="0.25">
      <c r="A464" t="s">
        <v>544</v>
      </c>
      <c r="B464" t="s">
        <v>1670</v>
      </c>
      <c r="C464" t="s">
        <v>1670</v>
      </c>
      <c r="D464" t="s">
        <v>92</v>
      </c>
      <c r="E464" t="str">
        <f t="shared" si="7"/>
        <v>Defender</v>
      </c>
      <c r="F464" t="s">
        <v>1671</v>
      </c>
      <c r="G464" t="s">
        <v>1671</v>
      </c>
      <c r="H464" t="s">
        <v>92</v>
      </c>
    </row>
    <row r="465" spans="1:8" x14ac:dyDescent="0.25">
      <c r="A465" t="s">
        <v>544</v>
      </c>
      <c r="B465" t="s">
        <v>1672</v>
      </c>
      <c r="C465" t="s">
        <v>1672</v>
      </c>
      <c r="D465" t="s">
        <v>92</v>
      </c>
      <c r="E465" t="str">
        <f t="shared" si="7"/>
        <v>Defender</v>
      </c>
    </row>
    <row r="466" spans="1:8" x14ac:dyDescent="0.25">
      <c r="A466" t="s">
        <v>563</v>
      </c>
      <c r="E466" t="str">
        <f t="shared" si="7"/>
        <v>Midfielder</v>
      </c>
    </row>
    <row r="467" spans="1:8" x14ac:dyDescent="0.25">
      <c r="A467" t="s">
        <v>563</v>
      </c>
      <c r="B467" t="s">
        <v>1673</v>
      </c>
      <c r="C467" t="s">
        <v>1673</v>
      </c>
      <c r="D467" t="s">
        <v>92</v>
      </c>
      <c r="E467" t="str">
        <f t="shared" si="7"/>
        <v>Midfielder</v>
      </c>
      <c r="F467" t="s">
        <v>1674</v>
      </c>
      <c r="G467" t="s">
        <v>1674</v>
      </c>
      <c r="H467" t="s">
        <v>92</v>
      </c>
    </row>
    <row r="468" spans="1:8" x14ac:dyDescent="0.25">
      <c r="A468" t="s">
        <v>563</v>
      </c>
      <c r="B468" t="s">
        <v>1675</v>
      </c>
      <c r="C468" t="s">
        <v>1675</v>
      </c>
      <c r="D468" t="s">
        <v>92</v>
      </c>
      <c r="E468" t="str">
        <f t="shared" si="7"/>
        <v>Midfielder</v>
      </c>
      <c r="F468" t="s">
        <v>1676</v>
      </c>
      <c r="G468" t="s">
        <v>1676</v>
      </c>
      <c r="H468" t="s">
        <v>92</v>
      </c>
    </row>
    <row r="469" spans="1:8" x14ac:dyDescent="0.25">
      <c r="A469" t="s">
        <v>563</v>
      </c>
      <c r="B469" t="s">
        <v>1677</v>
      </c>
      <c r="C469" t="s">
        <v>1677</v>
      </c>
      <c r="D469" t="s">
        <v>92</v>
      </c>
      <c r="E469" t="str">
        <f t="shared" si="7"/>
        <v>Midfielder</v>
      </c>
    </row>
    <row r="470" spans="1:8" x14ac:dyDescent="0.25">
      <c r="A470" t="s">
        <v>578</v>
      </c>
      <c r="E470" t="str">
        <f t="shared" si="7"/>
        <v>Forward</v>
      </c>
    </row>
    <row r="471" spans="1:8" x14ac:dyDescent="0.25">
      <c r="A471" t="s">
        <v>578</v>
      </c>
      <c r="B471" t="s">
        <v>1678</v>
      </c>
      <c r="C471" t="s">
        <v>1678</v>
      </c>
      <c r="D471" t="s">
        <v>92</v>
      </c>
      <c r="E471" t="str">
        <f t="shared" si="7"/>
        <v>Forward</v>
      </c>
      <c r="F471" t="s">
        <v>1679</v>
      </c>
      <c r="G471" t="s">
        <v>1679</v>
      </c>
      <c r="H471" t="s">
        <v>92</v>
      </c>
    </row>
    <row r="472" spans="1:8" x14ac:dyDescent="0.25">
      <c r="A472" t="s">
        <v>578</v>
      </c>
      <c r="B472" t="s">
        <v>1680</v>
      </c>
      <c r="C472" t="s">
        <v>1680</v>
      </c>
      <c r="D472" t="s">
        <v>92</v>
      </c>
      <c r="E472" t="str">
        <f t="shared" si="7"/>
        <v>Forward</v>
      </c>
      <c r="F472" t="s">
        <v>1681</v>
      </c>
      <c r="G472" t="s">
        <v>1681</v>
      </c>
      <c r="H472" t="s">
        <v>92</v>
      </c>
    </row>
    <row r="473" spans="1:8" x14ac:dyDescent="0.25">
      <c r="A473" t="s">
        <v>578</v>
      </c>
      <c r="B473" t="s">
        <v>1682</v>
      </c>
      <c r="C473" t="s">
        <v>1682</v>
      </c>
      <c r="D473" t="s">
        <v>92</v>
      </c>
      <c r="E473" t="str">
        <f t="shared" si="7"/>
        <v>Forward</v>
      </c>
      <c r="F473" t="s">
        <v>1683</v>
      </c>
      <c r="G473" t="s">
        <v>1683</v>
      </c>
      <c r="H473" t="s">
        <v>92</v>
      </c>
    </row>
    <row r="474" spans="1:8" x14ac:dyDescent="0.25">
      <c r="A474" t="s">
        <v>537</v>
      </c>
      <c r="E474" t="str">
        <f t="shared" si="7"/>
        <v>Goalkeeper</v>
      </c>
    </row>
    <row r="475" spans="1:8" x14ac:dyDescent="0.25">
      <c r="A475" t="s">
        <v>537</v>
      </c>
      <c r="B475" t="s">
        <v>1684</v>
      </c>
      <c r="C475" t="s">
        <v>1684</v>
      </c>
      <c r="D475" t="s">
        <v>149</v>
      </c>
      <c r="E475" t="str">
        <f t="shared" si="7"/>
        <v>Goalkeeper</v>
      </c>
      <c r="F475" t="s">
        <v>1685</v>
      </c>
      <c r="G475" t="s">
        <v>1685</v>
      </c>
      <c r="H475" t="s">
        <v>149</v>
      </c>
    </row>
    <row r="476" spans="1:8" x14ac:dyDescent="0.25">
      <c r="A476" t="s">
        <v>537</v>
      </c>
      <c r="B476" t="s">
        <v>1686</v>
      </c>
      <c r="C476" t="s">
        <v>1686</v>
      </c>
      <c r="D476" t="s">
        <v>149</v>
      </c>
      <c r="E476" t="str">
        <f t="shared" si="7"/>
        <v>Goalkeeper</v>
      </c>
    </row>
    <row r="477" spans="1:8" x14ac:dyDescent="0.25">
      <c r="A477" t="s">
        <v>544</v>
      </c>
      <c r="E477" t="str">
        <f t="shared" si="7"/>
        <v>Defender</v>
      </c>
    </row>
    <row r="478" spans="1:8" x14ac:dyDescent="0.25">
      <c r="A478" t="s">
        <v>544</v>
      </c>
      <c r="B478" t="s">
        <v>1687</v>
      </c>
      <c r="C478" t="s">
        <v>1687</v>
      </c>
      <c r="D478" t="s">
        <v>149</v>
      </c>
      <c r="E478" t="str">
        <f t="shared" si="7"/>
        <v>Defender</v>
      </c>
      <c r="F478" t="s">
        <v>1688</v>
      </c>
      <c r="G478" t="s">
        <v>1688</v>
      </c>
      <c r="H478" t="s">
        <v>149</v>
      </c>
    </row>
    <row r="479" spans="1:8" x14ac:dyDescent="0.25">
      <c r="A479" t="s">
        <v>544</v>
      </c>
      <c r="B479" t="s">
        <v>1689</v>
      </c>
      <c r="C479" t="s">
        <v>1689</v>
      </c>
      <c r="D479" t="s">
        <v>149</v>
      </c>
      <c r="E479" t="str">
        <f t="shared" si="7"/>
        <v>Defender</v>
      </c>
      <c r="F479" t="s">
        <v>1690</v>
      </c>
      <c r="G479" t="s">
        <v>1690</v>
      </c>
      <c r="H479" t="s">
        <v>149</v>
      </c>
    </row>
    <row r="480" spans="1:8" x14ac:dyDescent="0.25">
      <c r="A480" t="s">
        <v>544</v>
      </c>
      <c r="B480" t="s">
        <v>473</v>
      </c>
      <c r="C480" t="s">
        <v>473</v>
      </c>
      <c r="D480" t="s">
        <v>149</v>
      </c>
      <c r="E480" t="str">
        <f t="shared" si="7"/>
        <v>Defender</v>
      </c>
      <c r="F480" t="s">
        <v>1691</v>
      </c>
      <c r="G480" t="s">
        <v>1691</v>
      </c>
      <c r="H480" t="s">
        <v>149</v>
      </c>
    </row>
    <row r="481" spans="1:8" x14ac:dyDescent="0.25">
      <c r="A481" t="s">
        <v>544</v>
      </c>
      <c r="B481" t="s">
        <v>1692</v>
      </c>
      <c r="C481" t="s">
        <v>1692</v>
      </c>
      <c r="D481" t="s">
        <v>149</v>
      </c>
      <c r="E481" t="str">
        <f t="shared" si="7"/>
        <v>Defender</v>
      </c>
      <c r="F481" t="s">
        <v>1693</v>
      </c>
      <c r="G481" t="s">
        <v>1693</v>
      </c>
      <c r="H481" t="s">
        <v>149</v>
      </c>
    </row>
    <row r="482" spans="1:8" x14ac:dyDescent="0.25">
      <c r="A482" t="s">
        <v>563</v>
      </c>
      <c r="E482" t="str">
        <f t="shared" si="7"/>
        <v>Midfielder</v>
      </c>
    </row>
    <row r="483" spans="1:8" x14ac:dyDescent="0.25">
      <c r="A483" t="s">
        <v>563</v>
      </c>
      <c r="B483" t="s">
        <v>1694</v>
      </c>
      <c r="C483" t="s">
        <v>1694</v>
      </c>
      <c r="D483" t="s">
        <v>149</v>
      </c>
      <c r="E483" t="str">
        <f t="shared" si="7"/>
        <v>Midfielder</v>
      </c>
      <c r="F483" t="s">
        <v>1695</v>
      </c>
      <c r="G483" t="s">
        <v>1695</v>
      </c>
      <c r="H483" t="s">
        <v>149</v>
      </c>
    </row>
    <row r="484" spans="1:8" x14ac:dyDescent="0.25">
      <c r="A484" t="s">
        <v>563</v>
      </c>
      <c r="B484" t="s">
        <v>1696</v>
      </c>
      <c r="C484" t="s">
        <v>1696</v>
      </c>
      <c r="D484" t="s">
        <v>149</v>
      </c>
      <c r="E484" t="str">
        <f t="shared" si="7"/>
        <v>Midfielder</v>
      </c>
      <c r="F484" t="s">
        <v>1697</v>
      </c>
      <c r="G484" t="s">
        <v>1698</v>
      </c>
      <c r="H484" t="s">
        <v>149</v>
      </c>
    </row>
    <row r="485" spans="1:8" x14ac:dyDescent="0.25">
      <c r="A485" t="s">
        <v>563</v>
      </c>
      <c r="B485" t="s">
        <v>1699</v>
      </c>
      <c r="C485" t="s">
        <v>1699</v>
      </c>
      <c r="D485" t="s">
        <v>149</v>
      </c>
      <c r="E485" t="str">
        <f t="shared" si="7"/>
        <v>Midfielder</v>
      </c>
      <c r="F485" t="s">
        <v>1700</v>
      </c>
      <c r="G485" t="s">
        <v>1700</v>
      </c>
      <c r="H485" t="s">
        <v>149</v>
      </c>
    </row>
    <row r="486" spans="1:8" x14ac:dyDescent="0.25">
      <c r="A486" t="s">
        <v>563</v>
      </c>
      <c r="B486" t="s">
        <v>1701</v>
      </c>
      <c r="C486" t="s">
        <v>1701</v>
      </c>
      <c r="D486" t="s">
        <v>149</v>
      </c>
      <c r="E486" t="str">
        <f t="shared" si="7"/>
        <v>Midfielder</v>
      </c>
      <c r="F486" t="s">
        <v>1702</v>
      </c>
      <c r="G486" t="s">
        <v>1702</v>
      </c>
      <c r="H486" t="s">
        <v>149</v>
      </c>
    </row>
    <row r="487" spans="1:8" x14ac:dyDescent="0.25">
      <c r="A487" t="s">
        <v>563</v>
      </c>
      <c r="B487" t="s">
        <v>1703</v>
      </c>
      <c r="C487" t="s">
        <v>1703</v>
      </c>
      <c r="D487" t="s">
        <v>149</v>
      </c>
      <c r="E487" t="str">
        <f t="shared" si="7"/>
        <v>Midfielder</v>
      </c>
    </row>
    <row r="488" spans="1:8" x14ac:dyDescent="0.25">
      <c r="A488" t="s">
        <v>578</v>
      </c>
      <c r="E488" t="str">
        <f t="shared" si="7"/>
        <v>Forward</v>
      </c>
    </row>
    <row r="489" spans="1:8" x14ac:dyDescent="0.25">
      <c r="A489" t="s">
        <v>578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1704</v>
      </c>
      <c r="G489" t="s">
        <v>1704</v>
      </c>
      <c r="H489" t="s">
        <v>149</v>
      </c>
    </row>
    <row r="490" spans="1:8" x14ac:dyDescent="0.25">
      <c r="A490" t="s">
        <v>578</v>
      </c>
      <c r="B490" t="s">
        <v>1705</v>
      </c>
      <c r="C490" t="s">
        <v>1705</v>
      </c>
      <c r="D490" t="s">
        <v>149</v>
      </c>
      <c r="E490" t="str">
        <f t="shared" si="7"/>
        <v>Forward</v>
      </c>
      <c r="F490" t="s">
        <v>1706</v>
      </c>
      <c r="G490" t="s">
        <v>1706</v>
      </c>
      <c r="H490" t="s">
        <v>149</v>
      </c>
    </row>
    <row r="491" spans="1:8" x14ac:dyDescent="0.25">
      <c r="A491" t="s">
        <v>578</v>
      </c>
      <c r="B491" t="s">
        <v>1707</v>
      </c>
      <c r="C491" t="s">
        <v>1707</v>
      </c>
      <c r="D491" t="s">
        <v>149</v>
      </c>
      <c r="E491" t="str">
        <f t="shared" si="7"/>
        <v>Forward</v>
      </c>
      <c r="F491" t="s">
        <v>1708</v>
      </c>
      <c r="G491" t="s">
        <v>1708</v>
      </c>
      <c r="H491" t="s">
        <v>149</v>
      </c>
    </row>
    <row r="492" spans="1:8" x14ac:dyDescent="0.25">
      <c r="A492" t="s">
        <v>537</v>
      </c>
      <c r="E492" t="str">
        <f t="shared" si="7"/>
        <v>Goalkeeper</v>
      </c>
    </row>
    <row r="493" spans="1:8" x14ac:dyDescent="0.25">
      <c r="A493" t="s">
        <v>537</v>
      </c>
      <c r="B493" t="s">
        <v>1709</v>
      </c>
      <c r="C493" t="s">
        <v>1710</v>
      </c>
      <c r="D493" t="s">
        <v>153</v>
      </c>
      <c r="E493" t="str">
        <f t="shared" si="7"/>
        <v>Goalkeeper</v>
      </c>
      <c r="F493" t="s">
        <v>1711</v>
      </c>
      <c r="G493" t="s">
        <v>1712</v>
      </c>
      <c r="H493" t="s">
        <v>153</v>
      </c>
    </row>
    <row r="494" spans="1:8" x14ac:dyDescent="0.25">
      <c r="A494" t="s">
        <v>537</v>
      </c>
      <c r="B494" t="s">
        <v>1713</v>
      </c>
      <c r="C494" t="s">
        <v>1714</v>
      </c>
      <c r="D494" t="s">
        <v>153</v>
      </c>
      <c r="E494" t="str">
        <f t="shared" si="7"/>
        <v>Goalkeeper</v>
      </c>
    </row>
    <row r="495" spans="1:8" x14ac:dyDescent="0.25">
      <c r="A495" t="s">
        <v>544</v>
      </c>
      <c r="E495" t="str">
        <f t="shared" si="7"/>
        <v>Defender</v>
      </c>
    </row>
    <row r="496" spans="1:8" x14ac:dyDescent="0.25">
      <c r="A496" t="s">
        <v>544</v>
      </c>
      <c r="B496" t="s">
        <v>1715</v>
      </c>
      <c r="C496" t="s">
        <v>1716</v>
      </c>
      <c r="D496" t="s">
        <v>153</v>
      </c>
      <c r="E496" t="str">
        <f t="shared" si="7"/>
        <v>Defender</v>
      </c>
      <c r="F496" t="s">
        <v>1717</v>
      </c>
      <c r="G496" t="s">
        <v>1718</v>
      </c>
      <c r="H496" t="s">
        <v>153</v>
      </c>
    </row>
    <row r="497" spans="1:8" x14ac:dyDescent="0.25">
      <c r="A497" t="s">
        <v>544</v>
      </c>
      <c r="B497" t="s">
        <v>1719</v>
      </c>
      <c r="C497" t="s">
        <v>1720</v>
      </c>
      <c r="D497" t="s">
        <v>153</v>
      </c>
      <c r="E497" t="str">
        <f t="shared" si="7"/>
        <v>Defender</v>
      </c>
      <c r="F497" t="s">
        <v>1721</v>
      </c>
      <c r="G497" t="s">
        <v>1722</v>
      </c>
      <c r="H497" t="s">
        <v>153</v>
      </c>
    </row>
    <row r="498" spans="1:8" x14ac:dyDescent="0.25">
      <c r="A498" t="s">
        <v>544</v>
      </c>
      <c r="B498" t="s">
        <v>1723</v>
      </c>
      <c r="C498" t="s">
        <v>1724</v>
      </c>
      <c r="D498" t="s">
        <v>153</v>
      </c>
      <c r="E498" t="str">
        <f t="shared" si="7"/>
        <v>Defender</v>
      </c>
      <c r="F498" t="s">
        <v>1725</v>
      </c>
      <c r="G498" t="s">
        <v>1726</v>
      </c>
      <c r="H498" t="s">
        <v>153</v>
      </c>
    </row>
    <row r="499" spans="1:8" x14ac:dyDescent="0.25">
      <c r="A499" t="s">
        <v>563</v>
      </c>
      <c r="E499" t="str">
        <f t="shared" si="7"/>
        <v>Midfielder</v>
      </c>
    </row>
    <row r="500" spans="1:8" x14ac:dyDescent="0.25">
      <c r="A500" t="s">
        <v>563</v>
      </c>
      <c r="B500" t="s">
        <v>1727</v>
      </c>
      <c r="C500" t="s">
        <v>1728</v>
      </c>
      <c r="D500" t="s">
        <v>153</v>
      </c>
      <c r="E500" t="str">
        <f t="shared" si="7"/>
        <v>Midfielder</v>
      </c>
      <c r="F500" t="s">
        <v>1729</v>
      </c>
      <c r="G500" t="s">
        <v>1730</v>
      </c>
      <c r="H500" t="s">
        <v>153</v>
      </c>
    </row>
    <row r="501" spans="1:8" x14ac:dyDescent="0.25">
      <c r="A501" t="s">
        <v>563</v>
      </c>
      <c r="B501" t="s">
        <v>1731</v>
      </c>
      <c r="C501" t="s">
        <v>1732</v>
      </c>
      <c r="D501" t="s">
        <v>153</v>
      </c>
      <c r="E501" t="str">
        <f t="shared" si="7"/>
        <v>Midfielder</v>
      </c>
      <c r="F501" t="s">
        <v>1733</v>
      </c>
      <c r="G501" t="s">
        <v>1734</v>
      </c>
      <c r="H501" t="s">
        <v>153</v>
      </c>
    </row>
    <row r="502" spans="1:8" x14ac:dyDescent="0.25">
      <c r="A502" t="s">
        <v>563</v>
      </c>
      <c r="B502" t="s">
        <v>1735</v>
      </c>
      <c r="C502" t="s">
        <v>1736</v>
      </c>
      <c r="D502" t="s">
        <v>153</v>
      </c>
      <c r="E502" t="str">
        <f t="shared" si="7"/>
        <v>Midfielder</v>
      </c>
      <c r="F502" t="s">
        <v>1737</v>
      </c>
      <c r="G502" t="s">
        <v>1738</v>
      </c>
      <c r="H502" t="s">
        <v>153</v>
      </c>
    </row>
    <row r="503" spans="1:8" x14ac:dyDescent="0.25">
      <c r="A503" t="s">
        <v>563</v>
      </c>
      <c r="B503" t="s">
        <v>1739</v>
      </c>
      <c r="C503" t="s">
        <v>1740</v>
      </c>
      <c r="D503" t="s">
        <v>153</v>
      </c>
      <c r="E503" t="str">
        <f t="shared" si="7"/>
        <v>Midfielder</v>
      </c>
      <c r="F503" t="s">
        <v>1741</v>
      </c>
      <c r="G503" t="s">
        <v>1742</v>
      </c>
      <c r="H503" t="s">
        <v>153</v>
      </c>
    </row>
    <row r="504" spans="1:8" x14ac:dyDescent="0.25">
      <c r="A504" t="s">
        <v>563</v>
      </c>
      <c r="B504" t="s">
        <v>1743</v>
      </c>
      <c r="C504" t="s">
        <v>1744</v>
      </c>
      <c r="D504" t="s">
        <v>153</v>
      </c>
      <c r="E504" t="str">
        <f t="shared" si="7"/>
        <v>Midfielder</v>
      </c>
      <c r="F504" t="s">
        <v>1745</v>
      </c>
      <c r="G504" t="s">
        <v>1746</v>
      </c>
      <c r="H504" t="s">
        <v>153</v>
      </c>
    </row>
    <row r="505" spans="1:8" x14ac:dyDescent="0.25">
      <c r="A505" t="s">
        <v>578</v>
      </c>
      <c r="E505" t="str">
        <f t="shared" si="7"/>
        <v>Forward</v>
      </c>
    </row>
    <row r="506" spans="1:8" x14ac:dyDescent="0.25">
      <c r="A506" t="s">
        <v>578</v>
      </c>
      <c r="B506" t="s">
        <v>1747</v>
      </c>
      <c r="C506" t="s">
        <v>489</v>
      </c>
      <c r="D506" t="s">
        <v>153</v>
      </c>
      <c r="E506" t="str">
        <f t="shared" si="7"/>
        <v>Forward</v>
      </c>
      <c r="F506" t="s">
        <v>1748</v>
      </c>
      <c r="G506" t="s">
        <v>1749</v>
      </c>
      <c r="H506" t="s">
        <v>153</v>
      </c>
    </row>
    <row r="507" spans="1:8" x14ac:dyDescent="0.25">
      <c r="A507" t="s">
        <v>578</v>
      </c>
      <c r="B507" t="s">
        <v>1750</v>
      </c>
      <c r="C507" t="s">
        <v>1751</v>
      </c>
      <c r="D507" t="s">
        <v>153</v>
      </c>
      <c r="E507" t="str">
        <f t="shared" si="7"/>
        <v>Forward</v>
      </c>
      <c r="F507" t="s">
        <v>1752</v>
      </c>
      <c r="G507" t="s">
        <v>1753</v>
      </c>
      <c r="H507" t="s">
        <v>153</v>
      </c>
    </row>
    <row r="508" spans="1:8" x14ac:dyDescent="0.25">
      <c r="A508" t="s">
        <v>578</v>
      </c>
      <c r="B508" t="s">
        <v>1754</v>
      </c>
      <c r="C508" t="s">
        <v>1755</v>
      </c>
      <c r="D508" t="s">
        <v>153</v>
      </c>
      <c r="E508" t="str">
        <f t="shared" si="7"/>
        <v>Forward</v>
      </c>
      <c r="F508" t="s">
        <v>1756</v>
      </c>
      <c r="G508" t="s">
        <v>1757</v>
      </c>
      <c r="H508" t="s">
        <v>153</v>
      </c>
    </row>
    <row r="509" spans="1:8" x14ac:dyDescent="0.25">
      <c r="A509" t="s">
        <v>578</v>
      </c>
      <c r="B509" t="s">
        <v>1758</v>
      </c>
      <c r="C509" t="s">
        <v>1759</v>
      </c>
      <c r="D509" t="s">
        <v>153</v>
      </c>
      <c r="E509" t="str">
        <f t="shared" si="7"/>
        <v>Forward</v>
      </c>
    </row>
    <row r="510" spans="1:8" x14ac:dyDescent="0.25">
      <c r="A510" t="s">
        <v>537</v>
      </c>
      <c r="E510" t="str">
        <f t="shared" si="7"/>
        <v>Goalkeeper</v>
      </c>
    </row>
    <row r="511" spans="1:8" x14ac:dyDescent="0.25">
      <c r="A511" t="s">
        <v>537</v>
      </c>
      <c r="B511" t="s">
        <v>1760</v>
      </c>
      <c r="C511" t="s">
        <v>521</v>
      </c>
      <c r="D511" t="s">
        <v>70</v>
      </c>
      <c r="E511" t="str">
        <f t="shared" si="7"/>
        <v>Goalkeeper</v>
      </c>
      <c r="F511" t="s">
        <v>1761</v>
      </c>
      <c r="G511" t="s">
        <v>1762</v>
      </c>
      <c r="H511" t="s">
        <v>70</v>
      </c>
    </row>
    <row r="512" spans="1:8" x14ac:dyDescent="0.25">
      <c r="A512" t="s">
        <v>537</v>
      </c>
      <c r="B512" t="s">
        <v>1763</v>
      </c>
      <c r="C512" t="s">
        <v>1764</v>
      </c>
      <c r="D512" t="s">
        <v>70</v>
      </c>
      <c r="E512" t="str">
        <f t="shared" si="7"/>
        <v>Goalkeeper</v>
      </c>
    </row>
    <row r="513" spans="1:8" x14ac:dyDescent="0.25">
      <c r="A513" t="s">
        <v>544</v>
      </c>
      <c r="E513" t="str">
        <f t="shared" si="7"/>
        <v>Defender</v>
      </c>
    </row>
    <row r="514" spans="1:8" x14ac:dyDescent="0.25">
      <c r="A514" t="s">
        <v>544</v>
      </c>
      <c r="B514" t="s">
        <v>1765</v>
      </c>
      <c r="C514" t="s">
        <v>332</v>
      </c>
      <c r="D514" t="s">
        <v>70</v>
      </c>
      <c r="E514" t="str">
        <f t="shared" si="7"/>
        <v>Defender</v>
      </c>
      <c r="F514" t="s">
        <v>1766</v>
      </c>
      <c r="G514" t="s">
        <v>1767</v>
      </c>
      <c r="H514" t="s">
        <v>70</v>
      </c>
    </row>
    <row r="515" spans="1:8" x14ac:dyDescent="0.25">
      <c r="A515" t="s">
        <v>544</v>
      </c>
      <c r="B515" t="s">
        <v>1768</v>
      </c>
      <c r="C515" t="s">
        <v>1769</v>
      </c>
      <c r="D515" t="s">
        <v>70</v>
      </c>
      <c r="E515" t="str">
        <f t="shared" ref="E515:E578" si="8">A515</f>
        <v>Defender</v>
      </c>
      <c r="F515" t="s">
        <v>1770</v>
      </c>
      <c r="G515" t="s">
        <v>1771</v>
      </c>
      <c r="H515" t="s">
        <v>70</v>
      </c>
    </row>
    <row r="516" spans="1:8" x14ac:dyDescent="0.25">
      <c r="A516" t="s">
        <v>544</v>
      </c>
      <c r="B516" t="s">
        <v>1772</v>
      </c>
      <c r="C516" t="s">
        <v>1773</v>
      </c>
      <c r="D516" t="s">
        <v>70</v>
      </c>
      <c r="E516" t="str">
        <f t="shared" si="8"/>
        <v>Defender</v>
      </c>
      <c r="F516" t="s">
        <v>1774</v>
      </c>
      <c r="G516" t="s">
        <v>1775</v>
      </c>
      <c r="H516" t="s">
        <v>70</v>
      </c>
    </row>
    <row r="517" spans="1:8" x14ac:dyDescent="0.25">
      <c r="A517" t="s">
        <v>544</v>
      </c>
      <c r="B517" t="s">
        <v>1776</v>
      </c>
      <c r="C517" t="s">
        <v>1777</v>
      </c>
      <c r="D517" t="s">
        <v>70</v>
      </c>
      <c r="E517" t="str">
        <f t="shared" si="8"/>
        <v>Defender</v>
      </c>
      <c r="F517" t="s">
        <v>1778</v>
      </c>
      <c r="G517" t="s">
        <v>1779</v>
      </c>
      <c r="H517" t="s">
        <v>70</v>
      </c>
    </row>
    <row r="518" spans="1:8" x14ac:dyDescent="0.25">
      <c r="A518" t="s">
        <v>544</v>
      </c>
      <c r="B518" t="s">
        <v>1780</v>
      </c>
      <c r="C518" t="s">
        <v>1781</v>
      </c>
      <c r="D518" t="s">
        <v>70</v>
      </c>
      <c r="E518" t="str">
        <f t="shared" si="8"/>
        <v>Defender</v>
      </c>
    </row>
    <row r="519" spans="1:8" x14ac:dyDescent="0.25">
      <c r="A519" t="s">
        <v>563</v>
      </c>
      <c r="E519" t="str">
        <f t="shared" si="8"/>
        <v>Midfielder</v>
      </c>
    </row>
    <row r="520" spans="1:8" x14ac:dyDescent="0.25">
      <c r="A520" t="s">
        <v>563</v>
      </c>
      <c r="B520" t="s">
        <v>1782</v>
      </c>
      <c r="C520" t="s">
        <v>1783</v>
      </c>
      <c r="D520" t="s">
        <v>70</v>
      </c>
      <c r="E520" t="str">
        <f t="shared" si="8"/>
        <v>Midfielder</v>
      </c>
      <c r="F520" t="s">
        <v>1784</v>
      </c>
      <c r="G520" t="s">
        <v>1785</v>
      </c>
      <c r="H520" t="s">
        <v>70</v>
      </c>
    </row>
    <row r="521" spans="1:8" x14ac:dyDescent="0.25">
      <c r="A521" t="s">
        <v>563</v>
      </c>
      <c r="B521" t="s">
        <v>1786</v>
      </c>
      <c r="C521" t="s">
        <v>1787</v>
      </c>
      <c r="D521" t="s">
        <v>70</v>
      </c>
      <c r="E521" t="str">
        <f t="shared" si="8"/>
        <v>Midfielder</v>
      </c>
      <c r="F521" t="s">
        <v>1788</v>
      </c>
      <c r="G521" t="s">
        <v>1789</v>
      </c>
      <c r="H521" t="s">
        <v>70</v>
      </c>
    </row>
    <row r="522" spans="1:8" x14ac:dyDescent="0.25">
      <c r="A522" t="s">
        <v>563</v>
      </c>
      <c r="B522" t="s">
        <v>1790</v>
      </c>
      <c r="C522" t="s">
        <v>1791</v>
      </c>
      <c r="D522" t="s">
        <v>70</v>
      </c>
      <c r="E522" t="str">
        <f t="shared" si="8"/>
        <v>Midfielder</v>
      </c>
      <c r="F522" t="s">
        <v>1792</v>
      </c>
      <c r="G522" t="s">
        <v>1793</v>
      </c>
      <c r="H522" t="s">
        <v>70</v>
      </c>
    </row>
    <row r="523" spans="1:8" x14ac:dyDescent="0.25">
      <c r="A523" t="s">
        <v>563</v>
      </c>
      <c r="B523" t="s">
        <v>1794</v>
      </c>
      <c r="C523" t="s">
        <v>428</v>
      </c>
      <c r="D523" t="s">
        <v>70</v>
      </c>
      <c r="E523" t="str">
        <f t="shared" si="8"/>
        <v>Midfielder</v>
      </c>
      <c r="F523" t="s">
        <v>1795</v>
      </c>
      <c r="G523" t="s">
        <v>1796</v>
      </c>
      <c r="H523" t="s">
        <v>70</v>
      </c>
    </row>
    <row r="524" spans="1:8" x14ac:dyDescent="0.25">
      <c r="A524" t="s">
        <v>578</v>
      </c>
      <c r="E524" t="str">
        <f t="shared" si="8"/>
        <v>Forward</v>
      </c>
    </row>
    <row r="525" spans="1:8" x14ac:dyDescent="0.25">
      <c r="A525" t="s">
        <v>578</v>
      </c>
      <c r="B525" t="s">
        <v>1797</v>
      </c>
      <c r="C525" t="s">
        <v>1798</v>
      </c>
      <c r="D525" t="s">
        <v>70</v>
      </c>
      <c r="E525" t="str">
        <f t="shared" si="8"/>
        <v>Forward</v>
      </c>
      <c r="F525" t="s">
        <v>1799</v>
      </c>
      <c r="G525" t="s">
        <v>1800</v>
      </c>
      <c r="H525" t="s">
        <v>70</v>
      </c>
    </row>
    <row r="526" spans="1:8" x14ac:dyDescent="0.25">
      <c r="A526" t="s">
        <v>578</v>
      </c>
      <c r="B526" t="s">
        <v>1801</v>
      </c>
      <c r="C526" t="s">
        <v>1802</v>
      </c>
      <c r="D526" t="s">
        <v>70</v>
      </c>
      <c r="E526" t="str">
        <f t="shared" si="8"/>
        <v>Forward</v>
      </c>
      <c r="F526" t="s">
        <v>1803</v>
      </c>
      <c r="G526" t="s">
        <v>1804</v>
      </c>
      <c r="H526" t="s">
        <v>70</v>
      </c>
    </row>
    <row r="527" spans="1:8" x14ac:dyDescent="0.25">
      <c r="A527" t="s">
        <v>578</v>
      </c>
      <c r="B527" t="s">
        <v>1805</v>
      </c>
      <c r="C527" t="s">
        <v>1806</v>
      </c>
      <c r="D527" t="s">
        <v>70</v>
      </c>
      <c r="E527" t="str">
        <f t="shared" si="8"/>
        <v>Forward</v>
      </c>
      <c r="F527" t="s">
        <v>1807</v>
      </c>
      <c r="G527" t="s">
        <v>1808</v>
      </c>
      <c r="H527" t="s">
        <v>70</v>
      </c>
    </row>
    <row r="528" spans="1:8" x14ac:dyDescent="0.25">
      <c r="A528" t="s">
        <v>537</v>
      </c>
      <c r="E528" t="str">
        <f t="shared" si="8"/>
        <v>Goalkeeper</v>
      </c>
    </row>
    <row r="529" spans="1:8" x14ac:dyDescent="0.25">
      <c r="A529" t="s">
        <v>537</v>
      </c>
      <c r="B529" t="s">
        <v>1809</v>
      </c>
      <c r="C529" t="s">
        <v>505</v>
      </c>
      <c r="D529" t="s">
        <v>69</v>
      </c>
      <c r="E529" t="str">
        <f t="shared" si="8"/>
        <v>Goalkeeper</v>
      </c>
      <c r="F529" t="s">
        <v>1810</v>
      </c>
      <c r="G529" t="s">
        <v>1811</v>
      </c>
      <c r="H529" t="s">
        <v>69</v>
      </c>
    </row>
    <row r="530" spans="1:8" x14ac:dyDescent="0.25">
      <c r="A530" t="s">
        <v>537</v>
      </c>
      <c r="B530" t="s">
        <v>1812</v>
      </c>
      <c r="C530" t="s">
        <v>1813</v>
      </c>
      <c r="D530" t="s">
        <v>69</v>
      </c>
      <c r="E530" t="str">
        <f t="shared" si="8"/>
        <v>Goalkeeper</v>
      </c>
    </row>
    <row r="531" spans="1:8" x14ac:dyDescent="0.25">
      <c r="A531" t="s">
        <v>544</v>
      </c>
      <c r="E531" t="str">
        <f t="shared" si="8"/>
        <v>Defender</v>
      </c>
    </row>
    <row r="532" spans="1:8" x14ac:dyDescent="0.25">
      <c r="A532" t="s">
        <v>544</v>
      </c>
      <c r="B532" t="s">
        <v>1814</v>
      </c>
      <c r="C532" t="s">
        <v>1815</v>
      </c>
      <c r="D532" t="s">
        <v>69</v>
      </c>
      <c r="E532" t="str">
        <f t="shared" si="8"/>
        <v>Defender</v>
      </c>
      <c r="F532" t="s">
        <v>1816</v>
      </c>
      <c r="G532" t="s">
        <v>464</v>
      </c>
      <c r="H532" t="s">
        <v>69</v>
      </c>
    </row>
    <row r="533" spans="1:8" x14ac:dyDescent="0.25">
      <c r="A533" t="s">
        <v>544</v>
      </c>
      <c r="B533" t="s">
        <v>1817</v>
      </c>
      <c r="C533" t="s">
        <v>362</v>
      </c>
      <c r="D533" t="s">
        <v>69</v>
      </c>
      <c r="E533" t="str">
        <f t="shared" si="8"/>
        <v>Defender</v>
      </c>
      <c r="F533" t="s">
        <v>1818</v>
      </c>
      <c r="G533" t="s">
        <v>430</v>
      </c>
      <c r="H533" t="s">
        <v>69</v>
      </c>
    </row>
    <row r="534" spans="1:8" x14ac:dyDescent="0.25">
      <c r="A534" t="s">
        <v>544</v>
      </c>
      <c r="B534" t="s">
        <v>1819</v>
      </c>
      <c r="C534" t="s">
        <v>1820</v>
      </c>
      <c r="D534" t="s">
        <v>69</v>
      </c>
      <c r="E534" t="str">
        <f t="shared" si="8"/>
        <v>Defender</v>
      </c>
      <c r="F534" t="s">
        <v>1821</v>
      </c>
      <c r="G534" t="s">
        <v>1822</v>
      </c>
      <c r="H534" t="s">
        <v>69</v>
      </c>
    </row>
    <row r="535" spans="1:8" x14ac:dyDescent="0.25">
      <c r="A535" t="s">
        <v>544</v>
      </c>
      <c r="B535" t="s">
        <v>1823</v>
      </c>
      <c r="C535" t="s">
        <v>1824</v>
      </c>
      <c r="D535" t="s">
        <v>69</v>
      </c>
      <c r="E535" t="str">
        <f t="shared" si="8"/>
        <v>Defender</v>
      </c>
    </row>
    <row r="536" spans="1:8" x14ac:dyDescent="0.25">
      <c r="A536" t="s">
        <v>563</v>
      </c>
      <c r="E536" t="str">
        <f t="shared" si="8"/>
        <v>Midfielder</v>
      </c>
    </row>
    <row r="537" spans="1:8" x14ac:dyDescent="0.25">
      <c r="A537" t="s">
        <v>563</v>
      </c>
      <c r="B537" t="s">
        <v>1825</v>
      </c>
      <c r="C537" t="s">
        <v>1826</v>
      </c>
      <c r="D537" t="s">
        <v>69</v>
      </c>
      <c r="E537" t="str">
        <f t="shared" si="8"/>
        <v>Midfielder</v>
      </c>
      <c r="F537" t="s">
        <v>1827</v>
      </c>
      <c r="G537" t="s">
        <v>1828</v>
      </c>
      <c r="H537" t="s">
        <v>69</v>
      </c>
    </row>
    <row r="538" spans="1:8" x14ac:dyDescent="0.25">
      <c r="A538" t="s">
        <v>563</v>
      </c>
      <c r="B538" t="s">
        <v>1829</v>
      </c>
      <c r="C538" t="s">
        <v>475</v>
      </c>
      <c r="D538" t="s">
        <v>69</v>
      </c>
      <c r="E538" t="str">
        <f t="shared" si="8"/>
        <v>Midfielder</v>
      </c>
      <c r="F538" t="s">
        <v>1830</v>
      </c>
      <c r="G538" t="s">
        <v>1831</v>
      </c>
      <c r="H538" t="s">
        <v>69</v>
      </c>
    </row>
    <row r="539" spans="1:8" x14ac:dyDescent="0.25">
      <c r="A539" t="s">
        <v>563</v>
      </c>
      <c r="B539" t="s">
        <v>1832</v>
      </c>
      <c r="C539" t="s">
        <v>1833</v>
      </c>
      <c r="D539" t="s">
        <v>69</v>
      </c>
      <c r="E539" t="str">
        <f t="shared" si="8"/>
        <v>Midfielder</v>
      </c>
      <c r="F539" t="s">
        <v>1834</v>
      </c>
      <c r="G539" t="s">
        <v>471</v>
      </c>
      <c r="H539" t="s">
        <v>69</v>
      </c>
    </row>
    <row r="540" spans="1:8" x14ac:dyDescent="0.25">
      <c r="A540" t="s">
        <v>563</v>
      </c>
      <c r="B540" t="s">
        <v>1835</v>
      </c>
      <c r="C540" t="s">
        <v>1836</v>
      </c>
      <c r="D540" t="s">
        <v>69</v>
      </c>
      <c r="E540" t="str">
        <f t="shared" si="8"/>
        <v>Midfielder</v>
      </c>
      <c r="F540" t="s">
        <v>1837</v>
      </c>
      <c r="G540" t="s">
        <v>1838</v>
      </c>
      <c r="H540" t="s">
        <v>69</v>
      </c>
    </row>
    <row r="541" spans="1:8" x14ac:dyDescent="0.25">
      <c r="A541" t="s">
        <v>578</v>
      </c>
      <c r="E541" t="str">
        <f t="shared" si="8"/>
        <v>Forward</v>
      </c>
    </row>
    <row r="542" spans="1:8" x14ac:dyDescent="0.25">
      <c r="A542" t="s">
        <v>578</v>
      </c>
      <c r="B542" t="s">
        <v>1839</v>
      </c>
      <c r="C542" t="s">
        <v>1840</v>
      </c>
      <c r="D542" t="s">
        <v>69</v>
      </c>
      <c r="E542" t="str">
        <f t="shared" si="8"/>
        <v>Forward</v>
      </c>
      <c r="F542" t="s">
        <v>1841</v>
      </c>
      <c r="G542" t="s">
        <v>1842</v>
      </c>
      <c r="H542" t="s">
        <v>69</v>
      </c>
    </row>
    <row r="543" spans="1:8" x14ac:dyDescent="0.25">
      <c r="A543" t="s">
        <v>578</v>
      </c>
      <c r="B543" t="s">
        <v>1843</v>
      </c>
      <c r="C543" t="s">
        <v>1844</v>
      </c>
      <c r="D543" t="s">
        <v>69</v>
      </c>
      <c r="E543" t="str">
        <f t="shared" si="8"/>
        <v>Forward</v>
      </c>
      <c r="F543" t="s">
        <v>1845</v>
      </c>
      <c r="G543" t="s">
        <v>1846</v>
      </c>
      <c r="H543" t="s">
        <v>69</v>
      </c>
    </row>
    <row r="544" spans="1:8" x14ac:dyDescent="0.25">
      <c r="A544" t="s">
        <v>578</v>
      </c>
      <c r="B544" t="s">
        <v>1847</v>
      </c>
      <c r="C544" t="s">
        <v>483</v>
      </c>
      <c r="D544" t="s">
        <v>69</v>
      </c>
      <c r="E544" t="str">
        <f t="shared" si="8"/>
        <v>Forward</v>
      </c>
      <c r="F544" t="s">
        <v>1848</v>
      </c>
      <c r="G544" t="s">
        <v>1849</v>
      </c>
      <c r="H544" t="s">
        <v>69</v>
      </c>
    </row>
    <row r="545" spans="1:8" x14ac:dyDescent="0.25">
      <c r="A545" t="s">
        <v>578</v>
      </c>
      <c r="B545" t="s">
        <v>1850</v>
      </c>
      <c r="C545" t="s">
        <v>404</v>
      </c>
      <c r="D545" t="s">
        <v>69</v>
      </c>
      <c r="E545" t="str">
        <f t="shared" si="8"/>
        <v>Forward</v>
      </c>
      <c r="F545" t="s">
        <v>1851</v>
      </c>
      <c r="G545" t="s">
        <v>1852</v>
      </c>
      <c r="H545" t="s">
        <v>69</v>
      </c>
    </row>
    <row r="546" spans="1:8" x14ac:dyDescent="0.25">
      <c r="A546" t="s">
        <v>537</v>
      </c>
      <c r="E546" t="str">
        <f t="shared" si="8"/>
        <v>Goalkeeper</v>
      </c>
    </row>
    <row r="547" spans="1:8" x14ac:dyDescent="0.25">
      <c r="A547" t="s">
        <v>537</v>
      </c>
      <c r="B547" t="s">
        <v>1853</v>
      </c>
      <c r="C547" t="s">
        <v>1854</v>
      </c>
      <c r="D547" t="s">
        <v>112</v>
      </c>
      <c r="E547" t="str">
        <f t="shared" si="8"/>
        <v>Goalkeeper</v>
      </c>
      <c r="F547" t="s">
        <v>1855</v>
      </c>
      <c r="G547" t="s">
        <v>1856</v>
      </c>
      <c r="H547" t="s">
        <v>112</v>
      </c>
    </row>
    <row r="548" spans="1:8" x14ac:dyDescent="0.25">
      <c r="A548" t="s">
        <v>537</v>
      </c>
      <c r="B548" t="s">
        <v>1857</v>
      </c>
      <c r="C548" t="s">
        <v>1858</v>
      </c>
      <c r="D548" t="s">
        <v>112</v>
      </c>
      <c r="E548" t="str">
        <f t="shared" si="8"/>
        <v>Goalkeeper</v>
      </c>
    </row>
    <row r="549" spans="1:8" x14ac:dyDescent="0.25">
      <c r="A549" t="s">
        <v>544</v>
      </c>
      <c r="E549" t="str">
        <f t="shared" si="8"/>
        <v>Defender</v>
      </c>
    </row>
    <row r="550" spans="1:8" x14ac:dyDescent="0.25">
      <c r="A550" t="s">
        <v>544</v>
      </c>
      <c r="B550" t="s">
        <v>1859</v>
      </c>
      <c r="C550" t="s">
        <v>1860</v>
      </c>
      <c r="D550" t="s">
        <v>112</v>
      </c>
      <c r="E550" t="str">
        <f t="shared" si="8"/>
        <v>Defender</v>
      </c>
      <c r="F550" t="s">
        <v>1861</v>
      </c>
      <c r="G550" t="s">
        <v>1862</v>
      </c>
      <c r="H550" t="s">
        <v>112</v>
      </c>
    </row>
    <row r="551" spans="1:8" x14ac:dyDescent="0.25">
      <c r="A551" t="s">
        <v>544</v>
      </c>
      <c r="B551" t="s">
        <v>1863</v>
      </c>
      <c r="C551" t="s">
        <v>1864</v>
      </c>
      <c r="D551" t="s">
        <v>112</v>
      </c>
      <c r="E551" t="str">
        <f t="shared" si="8"/>
        <v>Defender</v>
      </c>
      <c r="F551" t="s">
        <v>1865</v>
      </c>
      <c r="G551" t="s">
        <v>1866</v>
      </c>
      <c r="H551" t="s">
        <v>112</v>
      </c>
    </row>
    <row r="552" spans="1:8" x14ac:dyDescent="0.25">
      <c r="A552" t="s">
        <v>544</v>
      </c>
      <c r="B552" t="s">
        <v>1867</v>
      </c>
      <c r="C552" t="s">
        <v>1868</v>
      </c>
      <c r="D552" t="s">
        <v>112</v>
      </c>
      <c r="E552" t="str">
        <f t="shared" si="8"/>
        <v>Defender</v>
      </c>
      <c r="F552" t="s">
        <v>1869</v>
      </c>
      <c r="G552" t="s">
        <v>1870</v>
      </c>
      <c r="H552" t="s">
        <v>112</v>
      </c>
    </row>
    <row r="553" spans="1:8" x14ac:dyDescent="0.25">
      <c r="A553" t="s">
        <v>544</v>
      </c>
      <c r="B553" t="s">
        <v>1871</v>
      </c>
      <c r="C553" t="s">
        <v>1872</v>
      </c>
      <c r="D553" t="s">
        <v>112</v>
      </c>
      <c r="E553" t="str">
        <f t="shared" si="8"/>
        <v>Defender</v>
      </c>
      <c r="F553" t="s">
        <v>1873</v>
      </c>
      <c r="G553" t="s">
        <v>1874</v>
      </c>
      <c r="H553" t="s">
        <v>112</v>
      </c>
    </row>
    <row r="554" spans="1:8" x14ac:dyDescent="0.25">
      <c r="A554" t="s">
        <v>544</v>
      </c>
      <c r="B554" t="s">
        <v>1875</v>
      </c>
      <c r="C554" t="s">
        <v>1876</v>
      </c>
      <c r="D554" t="s">
        <v>112</v>
      </c>
      <c r="E554" t="str">
        <f t="shared" si="8"/>
        <v>Defender</v>
      </c>
    </row>
    <row r="555" spans="1:8" x14ac:dyDescent="0.25">
      <c r="A555" t="s">
        <v>563</v>
      </c>
      <c r="E555" t="str">
        <f t="shared" si="8"/>
        <v>Midfielder</v>
      </c>
    </row>
    <row r="556" spans="1:8" x14ac:dyDescent="0.25">
      <c r="A556" t="s">
        <v>563</v>
      </c>
      <c r="B556" t="s">
        <v>1877</v>
      </c>
      <c r="C556" t="s">
        <v>1878</v>
      </c>
      <c r="D556" t="s">
        <v>112</v>
      </c>
      <c r="E556" t="str">
        <f t="shared" si="8"/>
        <v>Midfielder</v>
      </c>
      <c r="F556" t="s">
        <v>1879</v>
      </c>
      <c r="G556" t="s">
        <v>1880</v>
      </c>
      <c r="H556" t="s">
        <v>112</v>
      </c>
    </row>
    <row r="557" spans="1:8" x14ac:dyDescent="0.25">
      <c r="A557" t="s">
        <v>563</v>
      </c>
      <c r="B557" t="s">
        <v>1881</v>
      </c>
      <c r="C557" t="s">
        <v>1882</v>
      </c>
      <c r="D557" t="s">
        <v>112</v>
      </c>
      <c r="E557" t="str">
        <f t="shared" si="8"/>
        <v>Midfielder</v>
      </c>
      <c r="F557" t="s">
        <v>1883</v>
      </c>
      <c r="G557" t="s">
        <v>1884</v>
      </c>
      <c r="H557" t="s">
        <v>112</v>
      </c>
    </row>
    <row r="558" spans="1:8" x14ac:dyDescent="0.25">
      <c r="A558" t="s">
        <v>563</v>
      </c>
      <c r="B558" t="s">
        <v>1885</v>
      </c>
      <c r="C558" t="s">
        <v>1886</v>
      </c>
      <c r="D558" t="s">
        <v>112</v>
      </c>
      <c r="E558" t="str">
        <f t="shared" si="8"/>
        <v>Midfielder</v>
      </c>
      <c r="F558" t="s">
        <v>1887</v>
      </c>
      <c r="G558" t="s">
        <v>1888</v>
      </c>
      <c r="H558" t="s">
        <v>112</v>
      </c>
    </row>
    <row r="559" spans="1:8" x14ac:dyDescent="0.25">
      <c r="A559" t="s">
        <v>563</v>
      </c>
      <c r="B559" t="s">
        <v>1889</v>
      </c>
      <c r="C559" t="s">
        <v>1890</v>
      </c>
      <c r="D559" t="s">
        <v>112</v>
      </c>
      <c r="E559" t="str">
        <f t="shared" si="8"/>
        <v>Midfielder</v>
      </c>
      <c r="F559" t="s">
        <v>1891</v>
      </c>
      <c r="G559" t="s">
        <v>1892</v>
      </c>
      <c r="H559" t="s">
        <v>112</v>
      </c>
    </row>
    <row r="560" spans="1:8" x14ac:dyDescent="0.25">
      <c r="A560" t="s">
        <v>578</v>
      </c>
      <c r="E560" t="str">
        <f t="shared" si="8"/>
        <v>Forward</v>
      </c>
    </row>
    <row r="561" spans="1:8" x14ac:dyDescent="0.25">
      <c r="A561" t="s">
        <v>578</v>
      </c>
      <c r="B561" t="s">
        <v>1893</v>
      </c>
      <c r="C561" t="s">
        <v>1894</v>
      </c>
      <c r="D561" t="s">
        <v>112</v>
      </c>
      <c r="E561" t="str">
        <f t="shared" si="8"/>
        <v>Forward</v>
      </c>
      <c r="F561" t="s">
        <v>1895</v>
      </c>
      <c r="G561" t="s">
        <v>1896</v>
      </c>
      <c r="H561" t="s">
        <v>112</v>
      </c>
    </row>
    <row r="562" spans="1:8" x14ac:dyDescent="0.25">
      <c r="A562" t="s">
        <v>578</v>
      </c>
      <c r="B562" t="s">
        <v>1897</v>
      </c>
      <c r="C562" t="s">
        <v>1898</v>
      </c>
      <c r="D562" t="s">
        <v>112</v>
      </c>
      <c r="E562" t="str">
        <f t="shared" si="8"/>
        <v>Forward</v>
      </c>
      <c r="F562" t="s">
        <v>1899</v>
      </c>
      <c r="G562" t="s">
        <v>1900</v>
      </c>
      <c r="H562" t="s">
        <v>112</v>
      </c>
    </row>
    <row r="563" spans="1:8" x14ac:dyDescent="0.25">
      <c r="A563" t="s">
        <v>578</v>
      </c>
      <c r="B563" t="s">
        <v>1901</v>
      </c>
      <c r="C563" t="s">
        <v>1902</v>
      </c>
      <c r="D563" t="s">
        <v>112</v>
      </c>
      <c r="E563" t="str">
        <f t="shared" si="8"/>
        <v>Forward</v>
      </c>
      <c r="F563" t="s">
        <v>1903</v>
      </c>
      <c r="G563" t="s">
        <v>1904</v>
      </c>
      <c r="H563" t="s">
        <v>112</v>
      </c>
    </row>
    <row r="564" spans="1:8" x14ac:dyDescent="0.25">
      <c r="A564" t="s">
        <v>537</v>
      </c>
      <c r="E564" t="str">
        <f t="shared" si="8"/>
        <v>Goalkeeper</v>
      </c>
    </row>
    <row r="565" spans="1:8" x14ac:dyDescent="0.25">
      <c r="A565" t="s">
        <v>537</v>
      </c>
      <c r="B565" t="s">
        <v>1905</v>
      </c>
      <c r="C565" t="s">
        <v>1906</v>
      </c>
      <c r="D565" t="s">
        <v>66</v>
      </c>
      <c r="E565" t="str">
        <f t="shared" si="8"/>
        <v>Goalkeeper</v>
      </c>
      <c r="F565" t="s">
        <v>1907</v>
      </c>
      <c r="G565" t="s">
        <v>1908</v>
      </c>
      <c r="H565" t="s">
        <v>66</v>
      </c>
    </row>
    <row r="566" spans="1:8" x14ac:dyDescent="0.25">
      <c r="A566" t="s">
        <v>537</v>
      </c>
      <c r="B566" t="s">
        <v>1909</v>
      </c>
      <c r="C566" t="s">
        <v>1910</v>
      </c>
      <c r="D566" t="s">
        <v>66</v>
      </c>
      <c r="E566" t="str">
        <f t="shared" si="8"/>
        <v>Goalkeeper</v>
      </c>
    </row>
    <row r="567" spans="1:8" x14ac:dyDescent="0.25">
      <c r="A567" t="s">
        <v>544</v>
      </c>
      <c r="E567" t="str">
        <f t="shared" si="8"/>
        <v>Defender</v>
      </c>
    </row>
    <row r="568" spans="1:8" x14ac:dyDescent="0.25">
      <c r="A568" t="s">
        <v>544</v>
      </c>
      <c r="B568" t="s">
        <v>1911</v>
      </c>
      <c r="C568" t="s">
        <v>1912</v>
      </c>
      <c r="D568" t="s">
        <v>66</v>
      </c>
      <c r="E568" t="str">
        <f t="shared" si="8"/>
        <v>Defender</v>
      </c>
      <c r="F568" t="s">
        <v>1913</v>
      </c>
      <c r="G568" t="s">
        <v>1914</v>
      </c>
      <c r="H568" t="s">
        <v>66</v>
      </c>
    </row>
    <row r="569" spans="1:8" x14ac:dyDescent="0.25">
      <c r="A569" t="s">
        <v>544</v>
      </c>
      <c r="B569" t="s">
        <v>1915</v>
      </c>
      <c r="C569" t="s">
        <v>1916</v>
      </c>
      <c r="D569" t="s">
        <v>66</v>
      </c>
      <c r="E569" t="str">
        <f t="shared" si="8"/>
        <v>Defender</v>
      </c>
      <c r="F569" t="s">
        <v>1917</v>
      </c>
      <c r="G569" t="s">
        <v>1918</v>
      </c>
      <c r="H569" t="s">
        <v>66</v>
      </c>
    </row>
    <row r="570" spans="1:8" x14ac:dyDescent="0.25">
      <c r="A570" t="s">
        <v>544</v>
      </c>
      <c r="B570" t="s">
        <v>1919</v>
      </c>
      <c r="C570" t="s">
        <v>1920</v>
      </c>
      <c r="D570" t="s">
        <v>66</v>
      </c>
      <c r="E570" t="str">
        <f t="shared" si="8"/>
        <v>Defender</v>
      </c>
      <c r="F570" t="s">
        <v>1921</v>
      </c>
      <c r="G570" t="s">
        <v>1922</v>
      </c>
      <c r="H570" t="s">
        <v>66</v>
      </c>
    </row>
    <row r="571" spans="1:8" x14ac:dyDescent="0.25">
      <c r="A571" t="s">
        <v>544</v>
      </c>
      <c r="B571" t="s">
        <v>1923</v>
      </c>
      <c r="C571" t="s">
        <v>1924</v>
      </c>
      <c r="D571" t="s">
        <v>66</v>
      </c>
      <c r="E571" t="str">
        <f t="shared" si="8"/>
        <v>Defender</v>
      </c>
      <c r="F571" t="s">
        <v>1925</v>
      </c>
      <c r="G571" t="s">
        <v>1926</v>
      </c>
      <c r="H571" t="s">
        <v>66</v>
      </c>
    </row>
    <row r="572" spans="1:8" x14ac:dyDescent="0.25">
      <c r="A572" t="s">
        <v>544</v>
      </c>
      <c r="B572" t="s">
        <v>1927</v>
      </c>
      <c r="C572" t="s">
        <v>1928</v>
      </c>
      <c r="D572" t="s">
        <v>66</v>
      </c>
      <c r="E572" t="str">
        <f t="shared" si="8"/>
        <v>Defender</v>
      </c>
    </row>
    <row r="573" spans="1:8" x14ac:dyDescent="0.25">
      <c r="A573" t="s">
        <v>563</v>
      </c>
      <c r="E573" t="str">
        <f t="shared" si="8"/>
        <v>Midfielder</v>
      </c>
    </row>
    <row r="574" spans="1:8" x14ac:dyDescent="0.25">
      <c r="A574" t="s">
        <v>563</v>
      </c>
      <c r="B574" t="s">
        <v>1929</v>
      </c>
      <c r="C574" t="s">
        <v>1930</v>
      </c>
      <c r="D574" t="s">
        <v>66</v>
      </c>
      <c r="E574" t="str">
        <f t="shared" si="8"/>
        <v>Midfielder</v>
      </c>
      <c r="F574" t="s">
        <v>1931</v>
      </c>
      <c r="G574" t="s">
        <v>1932</v>
      </c>
      <c r="H574" t="s">
        <v>66</v>
      </c>
    </row>
    <row r="575" spans="1:8" x14ac:dyDescent="0.25">
      <c r="A575" t="s">
        <v>563</v>
      </c>
      <c r="B575" t="s">
        <v>1933</v>
      </c>
      <c r="C575" t="s">
        <v>1934</v>
      </c>
      <c r="D575" t="s">
        <v>66</v>
      </c>
      <c r="E575" t="str">
        <f t="shared" si="8"/>
        <v>Midfielder</v>
      </c>
      <c r="F575" t="s">
        <v>1935</v>
      </c>
      <c r="G575" t="s">
        <v>1936</v>
      </c>
      <c r="H575" t="s">
        <v>66</v>
      </c>
    </row>
    <row r="576" spans="1:8" x14ac:dyDescent="0.25">
      <c r="A576" t="s">
        <v>563</v>
      </c>
      <c r="B576" t="s">
        <v>1937</v>
      </c>
      <c r="C576" t="s">
        <v>1938</v>
      </c>
      <c r="D576" t="s">
        <v>66</v>
      </c>
      <c r="E576" t="str">
        <f t="shared" si="8"/>
        <v>Midfielder</v>
      </c>
      <c r="F576" t="s">
        <v>1939</v>
      </c>
      <c r="G576" t="s">
        <v>501</v>
      </c>
      <c r="H576" t="s">
        <v>66</v>
      </c>
    </row>
    <row r="577" spans="1:8" x14ac:dyDescent="0.25">
      <c r="A577" t="s">
        <v>563</v>
      </c>
      <c r="B577" t="s">
        <v>1940</v>
      </c>
      <c r="C577" t="s">
        <v>416</v>
      </c>
      <c r="D577" t="s">
        <v>66</v>
      </c>
      <c r="E577" t="str">
        <f t="shared" si="8"/>
        <v>Midfielder</v>
      </c>
      <c r="F577" t="s">
        <v>1941</v>
      </c>
      <c r="G577" t="s">
        <v>1942</v>
      </c>
      <c r="H577" t="s">
        <v>66</v>
      </c>
    </row>
    <row r="578" spans="1:8" x14ac:dyDescent="0.25">
      <c r="A578" t="s">
        <v>563</v>
      </c>
      <c r="B578" t="s">
        <v>1943</v>
      </c>
      <c r="C578" t="s">
        <v>1944</v>
      </c>
      <c r="D578" t="s">
        <v>66</v>
      </c>
      <c r="E578" t="str">
        <f t="shared" si="8"/>
        <v>Midfielder</v>
      </c>
      <c r="F578" t="s">
        <v>1945</v>
      </c>
      <c r="G578" t="s">
        <v>1946</v>
      </c>
      <c r="H578" t="s">
        <v>66</v>
      </c>
    </row>
    <row r="579" spans="1:8" x14ac:dyDescent="0.25">
      <c r="A579" t="s">
        <v>578</v>
      </c>
      <c r="E579" t="str">
        <f t="shared" ref="E579:E642" si="9">A579</f>
        <v>Forward</v>
      </c>
    </row>
    <row r="580" spans="1:8" x14ac:dyDescent="0.25">
      <c r="A580" t="s">
        <v>578</v>
      </c>
      <c r="B580" t="s">
        <v>1947</v>
      </c>
      <c r="C580" t="s">
        <v>1948</v>
      </c>
      <c r="D580" t="s">
        <v>66</v>
      </c>
      <c r="E580" t="str">
        <f t="shared" si="9"/>
        <v>Forward</v>
      </c>
      <c r="F580" t="s">
        <v>1949</v>
      </c>
      <c r="G580" t="s">
        <v>1950</v>
      </c>
      <c r="H580" t="s">
        <v>66</v>
      </c>
    </row>
    <row r="581" spans="1:8" x14ac:dyDescent="0.25">
      <c r="A581" t="s">
        <v>578</v>
      </c>
      <c r="B581" t="s">
        <v>1951</v>
      </c>
      <c r="C581" t="s">
        <v>306</v>
      </c>
      <c r="D581" t="s">
        <v>66</v>
      </c>
      <c r="E581" t="str">
        <f t="shared" si="9"/>
        <v>Forward</v>
      </c>
      <c r="F581" t="s">
        <v>1952</v>
      </c>
      <c r="G581" t="s">
        <v>1953</v>
      </c>
      <c r="H581" t="s">
        <v>66</v>
      </c>
    </row>
    <row r="582" spans="1:8" x14ac:dyDescent="0.25">
      <c r="A582" t="s">
        <v>537</v>
      </c>
      <c r="E582" t="str">
        <f t="shared" si="9"/>
        <v>Goalkeeper</v>
      </c>
    </row>
    <row r="583" spans="1:8" x14ac:dyDescent="0.25">
      <c r="A583" t="s">
        <v>537</v>
      </c>
      <c r="B583" t="s">
        <v>1954</v>
      </c>
      <c r="C583" t="s">
        <v>1955</v>
      </c>
      <c r="D583" t="s">
        <v>108</v>
      </c>
      <c r="E583" t="str">
        <f t="shared" si="9"/>
        <v>Goalkeeper</v>
      </c>
      <c r="F583" t="s">
        <v>1956</v>
      </c>
      <c r="G583" t="s">
        <v>1957</v>
      </c>
      <c r="H583" t="s">
        <v>108</v>
      </c>
    </row>
    <row r="584" spans="1:8" x14ac:dyDescent="0.25">
      <c r="A584" t="s">
        <v>537</v>
      </c>
      <c r="B584" t="s">
        <v>1958</v>
      </c>
      <c r="C584" t="s">
        <v>1959</v>
      </c>
      <c r="D584" t="s">
        <v>108</v>
      </c>
      <c r="E584" t="str">
        <f t="shared" si="9"/>
        <v>Goalkeeper</v>
      </c>
    </row>
    <row r="585" spans="1:8" x14ac:dyDescent="0.25">
      <c r="A585" t="s">
        <v>544</v>
      </c>
      <c r="E585" t="str">
        <f t="shared" si="9"/>
        <v>Defender</v>
      </c>
    </row>
    <row r="586" spans="1:8" x14ac:dyDescent="0.25">
      <c r="A586" t="s">
        <v>544</v>
      </c>
      <c r="B586" t="s">
        <v>1960</v>
      </c>
      <c r="C586" t="s">
        <v>1961</v>
      </c>
      <c r="D586" t="s">
        <v>108</v>
      </c>
      <c r="E586" t="str">
        <f t="shared" si="9"/>
        <v>Defender</v>
      </c>
      <c r="F586" t="s">
        <v>1962</v>
      </c>
      <c r="G586" t="s">
        <v>1963</v>
      </c>
      <c r="H586" t="s">
        <v>108</v>
      </c>
    </row>
    <row r="587" spans="1:8" x14ac:dyDescent="0.25">
      <c r="A587" t="s">
        <v>544</v>
      </c>
      <c r="B587" t="s">
        <v>1964</v>
      </c>
      <c r="C587" t="s">
        <v>967</v>
      </c>
      <c r="D587" t="s">
        <v>108</v>
      </c>
      <c r="E587" t="str">
        <f t="shared" si="9"/>
        <v>Defender</v>
      </c>
      <c r="F587" t="s">
        <v>1965</v>
      </c>
      <c r="G587" t="s">
        <v>1966</v>
      </c>
      <c r="H587" t="s">
        <v>108</v>
      </c>
    </row>
    <row r="588" spans="1:8" x14ac:dyDescent="0.25">
      <c r="A588" t="s">
        <v>544</v>
      </c>
      <c r="B588" t="s">
        <v>1967</v>
      </c>
      <c r="C588" t="s">
        <v>1968</v>
      </c>
      <c r="D588" t="s">
        <v>108</v>
      </c>
      <c r="E588" t="str">
        <f t="shared" si="9"/>
        <v>Defender</v>
      </c>
      <c r="F588" t="s">
        <v>1969</v>
      </c>
      <c r="G588" t="s">
        <v>1970</v>
      </c>
      <c r="H588" t="s">
        <v>108</v>
      </c>
    </row>
    <row r="589" spans="1:8" x14ac:dyDescent="0.25">
      <c r="A589" t="s">
        <v>544</v>
      </c>
      <c r="B589" t="s">
        <v>1971</v>
      </c>
      <c r="C589" t="s">
        <v>1972</v>
      </c>
      <c r="D589" t="s">
        <v>108</v>
      </c>
      <c r="E589" t="str">
        <f t="shared" si="9"/>
        <v>Defender</v>
      </c>
      <c r="F589" t="s">
        <v>1973</v>
      </c>
      <c r="G589" t="s">
        <v>1974</v>
      </c>
      <c r="H589" t="s">
        <v>108</v>
      </c>
    </row>
    <row r="590" spans="1:8" x14ac:dyDescent="0.25">
      <c r="A590" t="s">
        <v>544</v>
      </c>
      <c r="B590" t="s">
        <v>1975</v>
      </c>
      <c r="C590" t="s">
        <v>1976</v>
      </c>
      <c r="D590" t="s">
        <v>108</v>
      </c>
      <c r="E590" t="str">
        <f t="shared" si="9"/>
        <v>Defender</v>
      </c>
      <c r="F590" t="s">
        <v>1977</v>
      </c>
      <c r="G590" t="s">
        <v>1978</v>
      </c>
      <c r="H590" t="s">
        <v>108</v>
      </c>
    </row>
    <row r="591" spans="1:8" x14ac:dyDescent="0.25">
      <c r="A591" t="s">
        <v>563</v>
      </c>
      <c r="E591" t="str">
        <f t="shared" si="9"/>
        <v>Midfielder</v>
      </c>
    </row>
    <row r="592" spans="1:8" x14ac:dyDescent="0.25">
      <c r="A592" t="s">
        <v>563</v>
      </c>
      <c r="B592" t="s">
        <v>1979</v>
      </c>
      <c r="C592" t="s">
        <v>1980</v>
      </c>
      <c r="D592" t="s">
        <v>108</v>
      </c>
      <c r="E592" t="str">
        <f t="shared" si="9"/>
        <v>Midfielder</v>
      </c>
      <c r="F592" t="s">
        <v>1981</v>
      </c>
      <c r="G592" t="s">
        <v>1982</v>
      </c>
      <c r="H592" t="s">
        <v>108</v>
      </c>
    </row>
    <row r="593" spans="1:8" x14ac:dyDescent="0.25">
      <c r="A593" t="s">
        <v>563</v>
      </c>
      <c r="B593" t="s">
        <v>1983</v>
      </c>
      <c r="C593" t="s">
        <v>956</v>
      </c>
      <c r="D593" t="s">
        <v>108</v>
      </c>
      <c r="E593" t="str">
        <f t="shared" si="9"/>
        <v>Midfielder</v>
      </c>
      <c r="F593" t="s">
        <v>1984</v>
      </c>
      <c r="G593" t="s">
        <v>1985</v>
      </c>
      <c r="H593" t="s">
        <v>108</v>
      </c>
    </row>
    <row r="594" spans="1:8" x14ac:dyDescent="0.25">
      <c r="A594" t="s">
        <v>563</v>
      </c>
      <c r="B594" t="s">
        <v>1986</v>
      </c>
      <c r="C594" t="s">
        <v>1987</v>
      </c>
      <c r="D594" t="s">
        <v>108</v>
      </c>
      <c r="E594" t="str">
        <f t="shared" si="9"/>
        <v>Midfielder</v>
      </c>
      <c r="F594" t="s">
        <v>1988</v>
      </c>
      <c r="G594" t="s">
        <v>1989</v>
      </c>
      <c r="H594" t="s">
        <v>108</v>
      </c>
    </row>
    <row r="595" spans="1:8" x14ac:dyDescent="0.25">
      <c r="A595" t="s">
        <v>578</v>
      </c>
      <c r="E595" t="str">
        <f t="shared" si="9"/>
        <v>Forward</v>
      </c>
    </row>
    <row r="596" spans="1:8" x14ac:dyDescent="0.25">
      <c r="A596" t="s">
        <v>578</v>
      </c>
      <c r="B596" t="s">
        <v>1990</v>
      </c>
      <c r="C596" t="s">
        <v>1991</v>
      </c>
      <c r="D596" t="s">
        <v>108</v>
      </c>
      <c r="E596" t="str">
        <f t="shared" si="9"/>
        <v>Forward</v>
      </c>
      <c r="F596" t="s">
        <v>1992</v>
      </c>
      <c r="G596" t="s">
        <v>1993</v>
      </c>
      <c r="H596" t="s">
        <v>108</v>
      </c>
    </row>
    <row r="597" spans="1:8" x14ac:dyDescent="0.25">
      <c r="A597" t="s">
        <v>578</v>
      </c>
      <c r="B597" t="s">
        <v>1994</v>
      </c>
      <c r="C597" t="s">
        <v>1995</v>
      </c>
      <c r="D597" t="s">
        <v>108</v>
      </c>
      <c r="E597" t="str">
        <f t="shared" si="9"/>
        <v>Forward</v>
      </c>
      <c r="F597" t="s">
        <v>1996</v>
      </c>
      <c r="G597" t="s">
        <v>1997</v>
      </c>
      <c r="H597" t="s">
        <v>108</v>
      </c>
    </row>
    <row r="598" spans="1:8" x14ac:dyDescent="0.25">
      <c r="A598" t="s">
        <v>578</v>
      </c>
      <c r="B598" t="s">
        <v>1998</v>
      </c>
      <c r="C598" t="s">
        <v>1999</v>
      </c>
      <c r="D598" t="s">
        <v>108</v>
      </c>
      <c r="E598" t="str">
        <f t="shared" si="9"/>
        <v>Forward</v>
      </c>
      <c r="F598" t="s">
        <v>2000</v>
      </c>
      <c r="G598" t="s">
        <v>2001</v>
      </c>
      <c r="H598" t="s">
        <v>108</v>
      </c>
    </row>
    <row r="599" spans="1:8" x14ac:dyDescent="0.25">
      <c r="A599" t="s">
        <v>578</v>
      </c>
      <c r="B599" t="s">
        <v>2002</v>
      </c>
      <c r="C599" t="s">
        <v>2003</v>
      </c>
      <c r="D599" t="s">
        <v>108</v>
      </c>
      <c r="E599" t="str">
        <f t="shared" si="9"/>
        <v>Forward</v>
      </c>
    </row>
    <row r="600" spans="1:8" x14ac:dyDescent="0.25">
      <c r="A600" t="s">
        <v>537</v>
      </c>
      <c r="E600" t="str">
        <f t="shared" si="9"/>
        <v>Goalkeeper</v>
      </c>
    </row>
    <row r="601" spans="1:8" x14ac:dyDescent="0.25">
      <c r="A601" t="s">
        <v>537</v>
      </c>
      <c r="B601" t="s">
        <v>2004</v>
      </c>
      <c r="C601" t="s">
        <v>2005</v>
      </c>
      <c r="D601" t="s">
        <v>75</v>
      </c>
      <c r="E601" t="str">
        <f t="shared" si="9"/>
        <v>Goalkeeper</v>
      </c>
      <c r="F601" t="s">
        <v>2006</v>
      </c>
      <c r="G601" t="s">
        <v>2007</v>
      </c>
      <c r="H601" t="s">
        <v>75</v>
      </c>
    </row>
    <row r="602" spans="1:8" x14ac:dyDescent="0.25">
      <c r="A602" t="s">
        <v>537</v>
      </c>
      <c r="B602" t="s">
        <v>2008</v>
      </c>
      <c r="C602" t="s">
        <v>2009</v>
      </c>
      <c r="D602" t="s">
        <v>75</v>
      </c>
      <c r="E602" t="str">
        <f t="shared" si="9"/>
        <v>Goalkeeper</v>
      </c>
    </row>
    <row r="603" spans="1:8" x14ac:dyDescent="0.25">
      <c r="A603" t="s">
        <v>544</v>
      </c>
      <c r="E603" t="str">
        <f t="shared" si="9"/>
        <v>Defender</v>
      </c>
    </row>
    <row r="604" spans="1:8" x14ac:dyDescent="0.25">
      <c r="A604" t="s">
        <v>544</v>
      </c>
      <c r="B604" t="s">
        <v>2010</v>
      </c>
      <c r="C604" t="s">
        <v>2011</v>
      </c>
      <c r="D604" t="s">
        <v>75</v>
      </c>
      <c r="E604" t="str">
        <f t="shared" si="9"/>
        <v>Defender</v>
      </c>
      <c r="F604" t="s">
        <v>2012</v>
      </c>
      <c r="G604" t="s">
        <v>2013</v>
      </c>
      <c r="H604" t="s">
        <v>75</v>
      </c>
    </row>
    <row r="605" spans="1:8" x14ac:dyDescent="0.25">
      <c r="A605" t="s">
        <v>544</v>
      </c>
      <c r="B605" t="s">
        <v>2014</v>
      </c>
      <c r="C605" t="s">
        <v>2015</v>
      </c>
      <c r="D605" t="s">
        <v>75</v>
      </c>
      <c r="E605" t="str">
        <f t="shared" si="9"/>
        <v>Defender</v>
      </c>
      <c r="F605" t="s">
        <v>2016</v>
      </c>
      <c r="G605" t="s">
        <v>2017</v>
      </c>
      <c r="H605" t="s">
        <v>75</v>
      </c>
    </row>
    <row r="606" spans="1:8" x14ac:dyDescent="0.25">
      <c r="A606" t="s">
        <v>544</v>
      </c>
      <c r="B606" t="s">
        <v>2018</v>
      </c>
      <c r="C606" t="s">
        <v>2019</v>
      </c>
      <c r="D606" t="s">
        <v>75</v>
      </c>
      <c r="E606" t="str">
        <f t="shared" si="9"/>
        <v>Defender</v>
      </c>
      <c r="F606" t="s">
        <v>2020</v>
      </c>
      <c r="G606" t="s">
        <v>2021</v>
      </c>
      <c r="H606" t="s">
        <v>75</v>
      </c>
    </row>
    <row r="607" spans="1:8" x14ac:dyDescent="0.25">
      <c r="A607" t="s">
        <v>544</v>
      </c>
      <c r="B607" t="s">
        <v>2022</v>
      </c>
      <c r="C607" t="s">
        <v>2023</v>
      </c>
      <c r="D607" t="s">
        <v>75</v>
      </c>
      <c r="E607" t="str">
        <f t="shared" si="9"/>
        <v>Defender</v>
      </c>
      <c r="F607" t="s">
        <v>2024</v>
      </c>
      <c r="G607" t="s">
        <v>2025</v>
      </c>
      <c r="H607" t="s">
        <v>75</v>
      </c>
    </row>
    <row r="608" spans="1:8" x14ac:dyDescent="0.25">
      <c r="A608" t="s">
        <v>563</v>
      </c>
      <c r="E608" t="str">
        <f t="shared" si="9"/>
        <v>Midfielder</v>
      </c>
    </row>
    <row r="609" spans="1:8" x14ac:dyDescent="0.25">
      <c r="A609" t="s">
        <v>563</v>
      </c>
      <c r="B609" t="s">
        <v>2026</v>
      </c>
      <c r="C609" t="s">
        <v>2027</v>
      </c>
      <c r="D609" t="s">
        <v>75</v>
      </c>
      <c r="E609" t="str">
        <f t="shared" si="9"/>
        <v>Midfielder</v>
      </c>
      <c r="F609" t="s">
        <v>2028</v>
      </c>
      <c r="G609" t="s">
        <v>2029</v>
      </c>
      <c r="H609" t="s">
        <v>75</v>
      </c>
    </row>
    <row r="610" spans="1:8" x14ac:dyDescent="0.25">
      <c r="A610" t="s">
        <v>563</v>
      </c>
      <c r="B610" t="s">
        <v>2030</v>
      </c>
      <c r="C610" t="s">
        <v>2031</v>
      </c>
      <c r="D610" t="s">
        <v>75</v>
      </c>
      <c r="E610" t="str">
        <f t="shared" si="9"/>
        <v>Midfielder</v>
      </c>
      <c r="F610" t="s">
        <v>2032</v>
      </c>
      <c r="G610" t="s">
        <v>2033</v>
      </c>
      <c r="H610" t="s">
        <v>75</v>
      </c>
    </row>
    <row r="611" spans="1:8" x14ac:dyDescent="0.25">
      <c r="A611" t="s">
        <v>563</v>
      </c>
      <c r="B611" t="s">
        <v>2034</v>
      </c>
      <c r="C611" t="s">
        <v>2035</v>
      </c>
      <c r="D611" t="s">
        <v>75</v>
      </c>
      <c r="E611" t="str">
        <f t="shared" si="9"/>
        <v>Midfielder</v>
      </c>
      <c r="F611" t="s">
        <v>2036</v>
      </c>
      <c r="G611" t="s">
        <v>2037</v>
      </c>
      <c r="H611" t="s">
        <v>75</v>
      </c>
    </row>
    <row r="612" spans="1:8" x14ac:dyDescent="0.25">
      <c r="A612" t="s">
        <v>563</v>
      </c>
      <c r="B612" t="s">
        <v>2038</v>
      </c>
      <c r="C612" t="s">
        <v>2039</v>
      </c>
      <c r="D612" t="s">
        <v>75</v>
      </c>
      <c r="E612" t="str">
        <f t="shared" si="9"/>
        <v>Midfielder</v>
      </c>
      <c r="F612" t="s">
        <v>2040</v>
      </c>
      <c r="G612" t="s">
        <v>2041</v>
      </c>
      <c r="H612" t="s">
        <v>75</v>
      </c>
    </row>
    <row r="613" spans="1:8" x14ac:dyDescent="0.25">
      <c r="A613" t="s">
        <v>578</v>
      </c>
      <c r="E613" t="str">
        <f t="shared" si="9"/>
        <v>Forward</v>
      </c>
    </row>
    <row r="614" spans="1:8" x14ac:dyDescent="0.25">
      <c r="A614" t="s">
        <v>578</v>
      </c>
      <c r="B614" t="s">
        <v>2042</v>
      </c>
      <c r="C614" t="s">
        <v>2043</v>
      </c>
      <c r="D614" t="s">
        <v>75</v>
      </c>
      <c r="E614" t="str">
        <f t="shared" si="9"/>
        <v>Forward</v>
      </c>
      <c r="F614" t="s">
        <v>2044</v>
      </c>
      <c r="G614" t="s">
        <v>2045</v>
      </c>
      <c r="H614" t="s">
        <v>75</v>
      </c>
    </row>
    <row r="615" spans="1:8" x14ac:dyDescent="0.25">
      <c r="A615" t="s">
        <v>578</v>
      </c>
      <c r="B615" t="s">
        <v>2046</v>
      </c>
      <c r="C615" t="s">
        <v>2047</v>
      </c>
      <c r="D615" t="s">
        <v>75</v>
      </c>
      <c r="E615" t="str">
        <f t="shared" si="9"/>
        <v>Forward</v>
      </c>
      <c r="F615" t="s">
        <v>2048</v>
      </c>
      <c r="G615" t="s">
        <v>2049</v>
      </c>
      <c r="H615" t="s">
        <v>75</v>
      </c>
    </row>
    <row r="616" spans="1:8" x14ac:dyDescent="0.25">
      <c r="A616" t="s">
        <v>578</v>
      </c>
      <c r="B616" t="s">
        <v>2050</v>
      </c>
      <c r="C616" t="s">
        <v>2051</v>
      </c>
      <c r="D616" t="s">
        <v>75</v>
      </c>
      <c r="E616" t="str">
        <f t="shared" si="9"/>
        <v>Forward</v>
      </c>
      <c r="F616" t="s">
        <v>2052</v>
      </c>
      <c r="G616" t="s">
        <v>2053</v>
      </c>
      <c r="H616" t="s">
        <v>75</v>
      </c>
    </row>
    <row r="617" spans="1:8" x14ac:dyDescent="0.25">
      <c r="A617" t="s">
        <v>578</v>
      </c>
      <c r="B617" t="s">
        <v>2054</v>
      </c>
      <c r="C617" t="s">
        <v>2055</v>
      </c>
      <c r="D617" t="s">
        <v>75</v>
      </c>
      <c r="E617" t="str">
        <f t="shared" si="9"/>
        <v>Forward</v>
      </c>
    </row>
    <row r="618" spans="1:8" x14ac:dyDescent="0.25">
      <c r="A618" t="s">
        <v>537</v>
      </c>
      <c r="E618" t="str">
        <f t="shared" si="9"/>
        <v>Goalkeeper</v>
      </c>
    </row>
    <row r="619" spans="1:8" x14ac:dyDescent="0.25">
      <c r="A619" t="s">
        <v>537</v>
      </c>
      <c r="B619" t="s">
        <v>465</v>
      </c>
      <c r="C619" t="s">
        <v>465</v>
      </c>
      <c r="D619" t="s">
        <v>101</v>
      </c>
      <c r="E619" t="str">
        <f t="shared" si="9"/>
        <v>Goalkeeper</v>
      </c>
      <c r="F619" t="s">
        <v>2056</v>
      </c>
      <c r="G619" t="s">
        <v>2056</v>
      </c>
      <c r="H619" t="s">
        <v>101</v>
      </c>
    </row>
    <row r="620" spans="1:8" x14ac:dyDescent="0.25">
      <c r="A620" t="s">
        <v>537</v>
      </c>
      <c r="B620" t="s">
        <v>2057</v>
      </c>
      <c r="C620" t="s">
        <v>2057</v>
      </c>
      <c r="D620" t="s">
        <v>101</v>
      </c>
      <c r="E620" t="str">
        <f t="shared" si="9"/>
        <v>Goalkeeper</v>
      </c>
    </row>
    <row r="621" spans="1:8" x14ac:dyDescent="0.25">
      <c r="A621" t="s">
        <v>544</v>
      </c>
      <c r="E621" t="str">
        <f t="shared" si="9"/>
        <v>Defender</v>
      </c>
    </row>
    <row r="622" spans="1:8" x14ac:dyDescent="0.25">
      <c r="A622" t="s">
        <v>544</v>
      </c>
      <c r="B622" t="s">
        <v>2058</v>
      </c>
      <c r="C622" t="s">
        <v>2058</v>
      </c>
      <c r="D622" t="s">
        <v>101</v>
      </c>
      <c r="E622" t="str">
        <f t="shared" si="9"/>
        <v>Defender</v>
      </c>
      <c r="F622" t="s">
        <v>2059</v>
      </c>
      <c r="G622" t="s">
        <v>2059</v>
      </c>
      <c r="H622" t="s">
        <v>101</v>
      </c>
    </row>
    <row r="623" spans="1:8" x14ac:dyDescent="0.25">
      <c r="A623" t="s">
        <v>544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2060</v>
      </c>
      <c r="G623" t="s">
        <v>2060</v>
      </c>
      <c r="H623" t="s">
        <v>101</v>
      </c>
    </row>
    <row r="624" spans="1:8" x14ac:dyDescent="0.25">
      <c r="A624" t="s">
        <v>544</v>
      </c>
      <c r="B624" t="s">
        <v>2061</v>
      </c>
      <c r="C624" t="s">
        <v>2061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544</v>
      </c>
      <c r="B625" t="s">
        <v>2062</v>
      </c>
      <c r="C625" t="s">
        <v>2062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563</v>
      </c>
      <c r="E626" t="str">
        <f t="shared" si="9"/>
        <v>Midfielder</v>
      </c>
    </row>
    <row r="627" spans="1:8" x14ac:dyDescent="0.25">
      <c r="A627" t="s">
        <v>563</v>
      </c>
      <c r="B627" t="s">
        <v>2063</v>
      </c>
      <c r="C627" t="s">
        <v>2063</v>
      </c>
      <c r="D627" t="s">
        <v>101</v>
      </c>
      <c r="E627" t="str">
        <f t="shared" si="9"/>
        <v>Midfielder</v>
      </c>
      <c r="F627" t="s">
        <v>2064</v>
      </c>
      <c r="G627" t="s">
        <v>2064</v>
      </c>
      <c r="H627" t="s">
        <v>101</v>
      </c>
    </row>
    <row r="628" spans="1:8" x14ac:dyDescent="0.25">
      <c r="A628" t="s">
        <v>563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2065</v>
      </c>
      <c r="G628" t="s">
        <v>2065</v>
      </c>
      <c r="H628" t="s">
        <v>101</v>
      </c>
    </row>
    <row r="629" spans="1:8" x14ac:dyDescent="0.25">
      <c r="A629" t="s">
        <v>563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2066</v>
      </c>
      <c r="G629" t="s">
        <v>2066</v>
      </c>
      <c r="H629" t="s">
        <v>101</v>
      </c>
    </row>
    <row r="630" spans="1:8" x14ac:dyDescent="0.25">
      <c r="A630" t="s">
        <v>563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578</v>
      </c>
      <c r="E631" t="str">
        <f t="shared" si="9"/>
        <v>Forward</v>
      </c>
    </row>
    <row r="632" spans="1:8" x14ac:dyDescent="0.25">
      <c r="A632" t="s">
        <v>578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578</v>
      </c>
      <c r="B633" t="s">
        <v>2067</v>
      </c>
      <c r="C633" t="s">
        <v>2067</v>
      </c>
      <c r="D633" t="s">
        <v>101</v>
      </c>
      <c r="E633" t="str">
        <f t="shared" si="9"/>
        <v>Forward</v>
      </c>
      <c r="F633" t="s">
        <v>2068</v>
      </c>
      <c r="G633" t="s">
        <v>2068</v>
      </c>
      <c r="H633" t="s">
        <v>101</v>
      </c>
    </row>
    <row r="634" spans="1:8" x14ac:dyDescent="0.25">
      <c r="A634" t="s">
        <v>578</v>
      </c>
      <c r="B634" t="s">
        <v>2069</v>
      </c>
      <c r="C634" t="s">
        <v>2069</v>
      </c>
      <c r="D634" t="s">
        <v>101</v>
      </c>
      <c r="E634" t="str">
        <f t="shared" si="9"/>
        <v>Forward</v>
      </c>
      <c r="F634" t="s">
        <v>2070</v>
      </c>
      <c r="G634" t="s">
        <v>2070</v>
      </c>
      <c r="H634" t="s">
        <v>101</v>
      </c>
    </row>
    <row r="635" spans="1:8" x14ac:dyDescent="0.25">
      <c r="A635" t="s">
        <v>578</v>
      </c>
      <c r="B635" t="s">
        <v>2071</v>
      </c>
      <c r="C635" t="s">
        <v>2071</v>
      </c>
      <c r="D635" t="s">
        <v>101</v>
      </c>
      <c r="E635" t="str">
        <f t="shared" si="9"/>
        <v>Forward</v>
      </c>
      <c r="F635" t="s">
        <v>2072</v>
      </c>
      <c r="G635" t="s">
        <v>2072</v>
      </c>
      <c r="H635" t="s">
        <v>101</v>
      </c>
    </row>
    <row r="636" spans="1:8" x14ac:dyDescent="0.25">
      <c r="A636" t="s">
        <v>537</v>
      </c>
      <c r="E636" t="str">
        <f t="shared" si="9"/>
        <v>Goalkeeper</v>
      </c>
    </row>
    <row r="637" spans="1:8" x14ac:dyDescent="0.25">
      <c r="A637" t="s">
        <v>537</v>
      </c>
      <c r="B637" t="s">
        <v>2073</v>
      </c>
      <c r="C637" t="s">
        <v>2074</v>
      </c>
      <c r="D637" t="s">
        <v>162</v>
      </c>
      <c r="E637" t="str">
        <f t="shared" si="9"/>
        <v>Goalkeeper</v>
      </c>
      <c r="F637" t="s">
        <v>2075</v>
      </c>
      <c r="G637" t="s">
        <v>2075</v>
      </c>
      <c r="H637" t="s">
        <v>162</v>
      </c>
    </row>
    <row r="638" spans="1:8" x14ac:dyDescent="0.25">
      <c r="A638" t="s">
        <v>537</v>
      </c>
      <c r="B638" t="s">
        <v>2076</v>
      </c>
      <c r="C638" t="s">
        <v>2076</v>
      </c>
      <c r="D638" t="s">
        <v>162</v>
      </c>
      <c r="E638" t="str">
        <f t="shared" si="9"/>
        <v>Goalkeeper</v>
      </c>
    </row>
    <row r="639" spans="1:8" x14ac:dyDescent="0.25">
      <c r="A639" t="s">
        <v>544</v>
      </c>
      <c r="E639" t="str">
        <f t="shared" si="9"/>
        <v>Defender</v>
      </c>
    </row>
    <row r="640" spans="1:8" x14ac:dyDescent="0.25">
      <c r="A640" t="s">
        <v>544</v>
      </c>
      <c r="B640" t="s">
        <v>2077</v>
      </c>
      <c r="C640" t="s">
        <v>2077</v>
      </c>
      <c r="D640" t="s">
        <v>162</v>
      </c>
      <c r="E640" t="str">
        <f t="shared" si="9"/>
        <v>Defender</v>
      </c>
      <c r="F640" t="s">
        <v>2078</v>
      </c>
      <c r="G640" t="s">
        <v>2078</v>
      </c>
      <c r="H640" t="s">
        <v>162</v>
      </c>
    </row>
    <row r="641" spans="1:8" x14ac:dyDescent="0.25">
      <c r="A641" t="s">
        <v>544</v>
      </c>
      <c r="B641" t="s">
        <v>2079</v>
      </c>
      <c r="C641" t="s">
        <v>2079</v>
      </c>
      <c r="D641" t="s">
        <v>162</v>
      </c>
      <c r="E641" t="str">
        <f t="shared" si="9"/>
        <v>Defender</v>
      </c>
      <c r="F641" t="s">
        <v>2080</v>
      </c>
      <c r="G641" t="s">
        <v>2080</v>
      </c>
      <c r="H641" t="s">
        <v>162</v>
      </c>
    </row>
    <row r="642" spans="1:8" x14ac:dyDescent="0.25">
      <c r="A642" t="s">
        <v>544</v>
      </c>
      <c r="B642" t="s">
        <v>2081</v>
      </c>
      <c r="C642" t="s">
        <v>2081</v>
      </c>
      <c r="D642" t="s">
        <v>162</v>
      </c>
      <c r="E642" t="str">
        <f t="shared" si="9"/>
        <v>Defender</v>
      </c>
      <c r="F642" t="s">
        <v>2082</v>
      </c>
      <c r="G642" t="s">
        <v>2082</v>
      </c>
      <c r="H642" t="s">
        <v>162</v>
      </c>
    </row>
    <row r="643" spans="1:8" x14ac:dyDescent="0.25">
      <c r="A643" t="s">
        <v>544</v>
      </c>
      <c r="B643" t="s">
        <v>2083</v>
      </c>
      <c r="C643" t="s">
        <v>2083</v>
      </c>
      <c r="D643" t="s">
        <v>162</v>
      </c>
      <c r="E643" t="str">
        <f t="shared" ref="E643:E706" si="10">A643</f>
        <v>Defender</v>
      </c>
      <c r="F643" t="s">
        <v>2084</v>
      </c>
      <c r="G643" t="s">
        <v>2084</v>
      </c>
      <c r="H643" t="s">
        <v>162</v>
      </c>
    </row>
    <row r="644" spans="1:8" x14ac:dyDescent="0.25">
      <c r="A644" t="s">
        <v>544</v>
      </c>
      <c r="B644" t="s">
        <v>2085</v>
      </c>
      <c r="C644" t="s">
        <v>2085</v>
      </c>
      <c r="D644" t="s">
        <v>162</v>
      </c>
      <c r="E644" t="str">
        <f t="shared" si="10"/>
        <v>Defender</v>
      </c>
    </row>
    <row r="645" spans="1:8" x14ac:dyDescent="0.25">
      <c r="A645" t="s">
        <v>563</v>
      </c>
      <c r="E645" t="str">
        <f t="shared" si="10"/>
        <v>Midfielder</v>
      </c>
    </row>
    <row r="646" spans="1:8" x14ac:dyDescent="0.25">
      <c r="A646" t="s">
        <v>563</v>
      </c>
      <c r="B646" t="s">
        <v>2086</v>
      </c>
      <c r="C646" t="s">
        <v>2086</v>
      </c>
      <c r="D646" t="s">
        <v>162</v>
      </c>
      <c r="E646" t="str">
        <f t="shared" si="10"/>
        <v>Midfielder</v>
      </c>
      <c r="F646" t="s">
        <v>2087</v>
      </c>
      <c r="G646" t="s">
        <v>2087</v>
      </c>
      <c r="H646" t="s">
        <v>162</v>
      </c>
    </row>
    <row r="647" spans="1:8" x14ac:dyDescent="0.25">
      <c r="A647" t="s">
        <v>563</v>
      </c>
      <c r="B647" t="s">
        <v>2088</v>
      </c>
      <c r="C647" t="s">
        <v>2088</v>
      </c>
      <c r="D647" t="s">
        <v>162</v>
      </c>
      <c r="E647" t="str">
        <f t="shared" si="10"/>
        <v>Midfielder</v>
      </c>
      <c r="F647" t="s">
        <v>2089</v>
      </c>
      <c r="G647" t="s">
        <v>2089</v>
      </c>
      <c r="H647" t="s">
        <v>162</v>
      </c>
    </row>
    <row r="648" spans="1:8" x14ac:dyDescent="0.25">
      <c r="A648" t="s">
        <v>563</v>
      </c>
      <c r="B648" t="s">
        <v>2090</v>
      </c>
      <c r="C648" t="s">
        <v>2090</v>
      </c>
      <c r="D648" t="s">
        <v>162</v>
      </c>
      <c r="E648" t="str">
        <f t="shared" si="10"/>
        <v>Midfielder</v>
      </c>
    </row>
    <row r="649" spans="1:8" x14ac:dyDescent="0.25">
      <c r="A649" t="s">
        <v>578</v>
      </c>
      <c r="E649" t="str">
        <f t="shared" si="10"/>
        <v>Forward</v>
      </c>
    </row>
    <row r="650" spans="1:8" x14ac:dyDescent="0.25">
      <c r="A650" t="s">
        <v>578</v>
      </c>
      <c r="B650" t="s">
        <v>2091</v>
      </c>
      <c r="C650" t="s">
        <v>2091</v>
      </c>
      <c r="D650" t="s">
        <v>162</v>
      </c>
      <c r="E650" t="str">
        <f t="shared" si="10"/>
        <v>Forward</v>
      </c>
      <c r="F650" t="s">
        <v>2092</v>
      </c>
      <c r="G650" t="s">
        <v>2092</v>
      </c>
      <c r="H650" t="s">
        <v>162</v>
      </c>
    </row>
    <row r="651" spans="1:8" x14ac:dyDescent="0.25">
      <c r="A651" t="s">
        <v>578</v>
      </c>
      <c r="B651" t="s">
        <v>2093</v>
      </c>
      <c r="C651" t="s">
        <v>2093</v>
      </c>
      <c r="D651" t="s">
        <v>162</v>
      </c>
      <c r="E651" t="str">
        <f t="shared" si="10"/>
        <v>Forward</v>
      </c>
      <c r="F651" t="s">
        <v>2094</v>
      </c>
      <c r="G651" t="s">
        <v>2094</v>
      </c>
      <c r="H651" t="s">
        <v>162</v>
      </c>
    </row>
    <row r="652" spans="1:8" x14ac:dyDescent="0.25">
      <c r="A652" t="s">
        <v>578</v>
      </c>
      <c r="B652" t="s">
        <v>2095</v>
      </c>
      <c r="C652" t="s">
        <v>2095</v>
      </c>
      <c r="D652" t="s">
        <v>162</v>
      </c>
      <c r="E652" t="str">
        <f t="shared" si="10"/>
        <v>Forward</v>
      </c>
      <c r="F652" t="s">
        <v>2096</v>
      </c>
      <c r="G652" t="s">
        <v>2096</v>
      </c>
      <c r="H652" t="s">
        <v>162</v>
      </c>
    </row>
    <row r="653" spans="1:8" x14ac:dyDescent="0.25">
      <c r="A653" t="s">
        <v>578</v>
      </c>
      <c r="B653" t="s">
        <v>2097</v>
      </c>
      <c r="C653" t="s">
        <v>2097</v>
      </c>
      <c r="D653" t="s">
        <v>162</v>
      </c>
      <c r="E653" t="str">
        <f t="shared" si="10"/>
        <v>Forward</v>
      </c>
      <c r="F653" t="s">
        <v>2098</v>
      </c>
      <c r="G653" t="s">
        <v>2098</v>
      </c>
      <c r="H653" t="s">
        <v>162</v>
      </c>
    </row>
    <row r="654" spans="1:8" x14ac:dyDescent="0.25">
      <c r="A654" t="s">
        <v>578</v>
      </c>
      <c r="B654" t="s">
        <v>2099</v>
      </c>
      <c r="C654" t="s">
        <v>2099</v>
      </c>
      <c r="D654" t="s">
        <v>162</v>
      </c>
      <c r="E654" t="str">
        <f t="shared" si="10"/>
        <v>Forward</v>
      </c>
    </row>
    <row r="655" spans="1:8" x14ac:dyDescent="0.25">
      <c r="A655" t="s">
        <v>537</v>
      </c>
      <c r="E655" t="str">
        <f t="shared" si="10"/>
        <v>Goalkeeper</v>
      </c>
    </row>
    <row r="656" spans="1:8" x14ac:dyDescent="0.25">
      <c r="A656" t="s">
        <v>537</v>
      </c>
      <c r="B656" t="s">
        <v>2100</v>
      </c>
      <c r="C656" t="s">
        <v>2100</v>
      </c>
      <c r="D656" t="s">
        <v>119</v>
      </c>
      <c r="E656" t="str">
        <f t="shared" si="10"/>
        <v>Goalkeeper</v>
      </c>
      <c r="F656" t="s">
        <v>2101</v>
      </c>
      <c r="G656" t="s">
        <v>2101</v>
      </c>
      <c r="H656" t="s">
        <v>119</v>
      </c>
    </row>
    <row r="657" spans="1:8" x14ac:dyDescent="0.25">
      <c r="A657" t="s">
        <v>537</v>
      </c>
      <c r="B657" t="s">
        <v>2102</v>
      </c>
      <c r="C657" t="s">
        <v>2102</v>
      </c>
      <c r="D657" t="s">
        <v>119</v>
      </c>
      <c r="E657" t="str">
        <f t="shared" si="10"/>
        <v>Goalkeeper</v>
      </c>
    </row>
    <row r="658" spans="1:8" x14ac:dyDescent="0.25">
      <c r="A658" t="s">
        <v>544</v>
      </c>
      <c r="E658" t="str">
        <f t="shared" si="10"/>
        <v>Defender</v>
      </c>
    </row>
    <row r="659" spans="1:8" x14ac:dyDescent="0.25">
      <c r="A659" t="s">
        <v>544</v>
      </c>
      <c r="B659" t="s">
        <v>2103</v>
      </c>
      <c r="C659" t="s">
        <v>2103</v>
      </c>
      <c r="D659" t="s">
        <v>119</v>
      </c>
      <c r="E659" t="str">
        <f t="shared" si="10"/>
        <v>Defender</v>
      </c>
      <c r="F659" t="s">
        <v>2104</v>
      </c>
      <c r="G659" t="s">
        <v>2104</v>
      </c>
      <c r="H659" t="s">
        <v>119</v>
      </c>
    </row>
    <row r="660" spans="1:8" x14ac:dyDescent="0.25">
      <c r="A660" t="s">
        <v>544</v>
      </c>
      <c r="B660" t="s">
        <v>2105</v>
      </c>
      <c r="C660" t="s">
        <v>2105</v>
      </c>
      <c r="D660" t="s">
        <v>119</v>
      </c>
      <c r="E660" t="str">
        <f t="shared" si="10"/>
        <v>Defender</v>
      </c>
      <c r="F660" t="s">
        <v>2106</v>
      </c>
      <c r="G660" t="s">
        <v>2106</v>
      </c>
      <c r="H660" t="s">
        <v>119</v>
      </c>
    </row>
    <row r="661" spans="1:8" x14ac:dyDescent="0.25">
      <c r="A661" t="s">
        <v>544</v>
      </c>
      <c r="B661" t="s">
        <v>2107</v>
      </c>
      <c r="C661" t="s">
        <v>2107</v>
      </c>
      <c r="D661" t="s">
        <v>119</v>
      </c>
      <c r="E661" t="str">
        <f t="shared" si="10"/>
        <v>Defender</v>
      </c>
      <c r="F661" t="s">
        <v>2108</v>
      </c>
      <c r="G661" t="s">
        <v>2108</v>
      </c>
      <c r="H661" t="s">
        <v>119</v>
      </c>
    </row>
    <row r="662" spans="1:8" x14ac:dyDescent="0.25">
      <c r="A662" t="s">
        <v>544</v>
      </c>
      <c r="B662" t="s">
        <v>2109</v>
      </c>
      <c r="C662" t="s">
        <v>2109</v>
      </c>
      <c r="D662" t="s">
        <v>119</v>
      </c>
      <c r="E662" t="str">
        <f t="shared" si="10"/>
        <v>Defender</v>
      </c>
      <c r="F662" t="s">
        <v>2110</v>
      </c>
      <c r="G662" t="s">
        <v>2110</v>
      </c>
      <c r="H662" t="s">
        <v>119</v>
      </c>
    </row>
    <row r="663" spans="1:8" x14ac:dyDescent="0.25">
      <c r="A663" t="s">
        <v>544</v>
      </c>
      <c r="B663" t="s">
        <v>2111</v>
      </c>
      <c r="C663" t="s">
        <v>2111</v>
      </c>
      <c r="D663" t="s">
        <v>119</v>
      </c>
      <c r="E663" t="str">
        <f t="shared" si="10"/>
        <v>Defender</v>
      </c>
    </row>
    <row r="664" spans="1:8" x14ac:dyDescent="0.25">
      <c r="A664" t="s">
        <v>563</v>
      </c>
      <c r="E664" t="str">
        <f t="shared" si="10"/>
        <v>Midfielder</v>
      </c>
    </row>
    <row r="665" spans="1:8" x14ac:dyDescent="0.25">
      <c r="A665" t="s">
        <v>563</v>
      </c>
      <c r="B665" t="s">
        <v>2112</v>
      </c>
      <c r="C665" t="s">
        <v>2112</v>
      </c>
      <c r="D665" t="s">
        <v>119</v>
      </c>
      <c r="E665" t="str">
        <f t="shared" si="10"/>
        <v>Midfielder</v>
      </c>
      <c r="F665" t="s">
        <v>2113</v>
      </c>
      <c r="G665" t="s">
        <v>2113</v>
      </c>
      <c r="H665" t="s">
        <v>119</v>
      </c>
    </row>
    <row r="666" spans="1:8" x14ac:dyDescent="0.25">
      <c r="A666" t="s">
        <v>563</v>
      </c>
      <c r="B666" t="s">
        <v>2114</v>
      </c>
      <c r="C666" t="s">
        <v>2114</v>
      </c>
      <c r="D666" t="s">
        <v>119</v>
      </c>
      <c r="E666" t="str">
        <f t="shared" si="10"/>
        <v>Midfielder</v>
      </c>
      <c r="F666" t="s">
        <v>2115</v>
      </c>
      <c r="G666" t="s">
        <v>2115</v>
      </c>
      <c r="H666" t="s">
        <v>119</v>
      </c>
    </row>
    <row r="667" spans="1:8" x14ac:dyDescent="0.25">
      <c r="A667" t="s">
        <v>563</v>
      </c>
      <c r="B667" t="s">
        <v>2116</v>
      </c>
      <c r="C667" t="s">
        <v>2116</v>
      </c>
      <c r="D667" t="s">
        <v>119</v>
      </c>
      <c r="E667" t="str">
        <f t="shared" si="10"/>
        <v>Midfielder</v>
      </c>
      <c r="F667" t="s">
        <v>2117</v>
      </c>
      <c r="G667" t="s">
        <v>2117</v>
      </c>
      <c r="H667" t="s">
        <v>119</v>
      </c>
    </row>
    <row r="668" spans="1:8" x14ac:dyDescent="0.25">
      <c r="A668" t="s">
        <v>563</v>
      </c>
      <c r="B668" t="s">
        <v>2118</v>
      </c>
      <c r="C668" t="s">
        <v>2118</v>
      </c>
      <c r="D668" t="s">
        <v>119</v>
      </c>
      <c r="E668" t="str">
        <f t="shared" si="10"/>
        <v>Midfielder</v>
      </c>
      <c r="F668" t="s">
        <v>2119</v>
      </c>
      <c r="G668" t="s">
        <v>2119</v>
      </c>
      <c r="H668" t="s">
        <v>119</v>
      </c>
    </row>
    <row r="669" spans="1:8" x14ac:dyDescent="0.25">
      <c r="A669" t="s">
        <v>563</v>
      </c>
      <c r="B669" t="s">
        <v>2120</v>
      </c>
      <c r="C669" t="s">
        <v>2120</v>
      </c>
      <c r="D669" t="s">
        <v>119</v>
      </c>
      <c r="E669" t="str">
        <f t="shared" si="10"/>
        <v>Midfielder</v>
      </c>
    </row>
    <row r="670" spans="1:8" x14ac:dyDescent="0.25">
      <c r="A670" t="s">
        <v>578</v>
      </c>
      <c r="E670" t="str">
        <f t="shared" si="10"/>
        <v>Forward</v>
      </c>
    </row>
    <row r="671" spans="1:8" x14ac:dyDescent="0.25">
      <c r="A671" t="s">
        <v>578</v>
      </c>
      <c r="B671" t="s">
        <v>2121</v>
      </c>
      <c r="C671" t="s">
        <v>2121</v>
      </c>
      <c r="D671" t="s">
        <v>119</v>
      </c>
      <c r="E671" t="str">
        <f t="shared" si="10"/>
        <v>Forward</v>
      </c>
      <c r="F671" t="s">
        <v>2122</v>
      </c>
      <c r="G671" t="s">
        <v>2122</v>
      </c>
      <c r="H671" t="s">
        <v>119</v>
      </c>
    </row>
    <row r="672" spans="1:8" x14ac:dyDescent="0.25">
      <c r="A672" t="s">
        <v>578</v>
      </c>
      <c r="B672" t="s">
        <v>2123</v>
      </c>
      <c r="C672" t="s">
        <v>2123</v>
      </c>
      <c r="D672" t="s">
        <v>119</v>
      </c>
      <c r="E672" t="str">
        <f t="shared" si="10"/>
        <v>Forward</v>
      </c>
      <c r="F672" t="s">
        <v>2124</v>
      </c>
      <c r="G672" t="s">
        <v>2124</v>
      </c>
      <c r="H672" t="s">
        <v>119</v>
      </c>
    </row>
    <row r="673" spans="1:8" x14ac:dyDescent="0.25">
      <c r="A673" t="s">
        <v>578</v>
      </c>
      <c r="B673" t="s">
        <v>2125</v>
      </c>
      <c r="C673" t="s">
        <v>2125</v>
      </c>
      <c r="D673" t="s">
        <v>119</v>
      </c>
      <c r="E673" t="str">
        <f t="shared" si="10"/>
        <v>Forward</v>
      </c>
    </row>
    <row r="674" spans="1:8" x14ac:dyDescent="0.25">
      <c r="A674" t="s">
        <v>537</v>
      </c>
      <c r="E674" t="str">
        <f t="shared" si="10"/>
        <v>Goalkeeper</v>
      </c>
    </row>
    <row r="675" spans="1:8" x14ac:dyDescent="0.25">
      <c r="A675" t="s">
        <v>537</v>
      </c>
      <c r="B675" t="s">
        <v>2126</v>
      </c>
      <c r="C675" t="s">
        <v>2127</v>
      </c>
      <c r="D675" t="s">
        <v>156</v>
      </c>
      <c r="E675" t="str">
        <f t="shared" si="10"/>
        <v>Goalkeeper</v>
      </c>
      <c r="F675" t="s">
        <v>2128</v>
      </c>
      <c r="G675" t="s">
        <v>2129</v>
      </c>
      <c r="H675" t="s">
        <v>156</v>
      </c>
    </row>
    <row r="676" spans="1:8" x14ac:dyDescent="0.25">
      <c r="A676" t="s">
        <v>537</v>
      </c>
      <c r="B676" t="s">
        <v>2130</v>
      </c>
      <c r="C676" t="s">
        <v>2131</v>
      </c>
      <c r="D676" t="s">
        <v>156</v>
      </c>
      <c r="E676" t="str">
        <f t="shared" si="10"/>
        <v>Goalkeeper</v>
      </c>
    </row>
    <row r="677" spans="1:8" x14ac:dyDescent="0.25">
      <c r="A677" t="s">
        <v>544</v>
      </c>
      <c r="E677" t="str">
        <f t="shared" si="10"/>
        <v>Defender</v>
      </c>
    </row>
    <row r="678" spans="1:8" x14ac:dyDescent="0.25">
      <c r="A678" t="s">
        <v>544</v>
      </c>
      <c r="B678" t="s">
        <v>2132</v>
      </c>
      <c r="C678" t="s">
        <v>2133</v>
      </c>
      <c r="D678" t="s">
        <v>156</v>
      </c>
      <c r="E678" t="str">
        <f t="shared" si="10"/>
        <v>Defender</v>
      </c>
      <c r="F678" t="s">
        <v>2134</v>
      </c>
      <c r="G678" t="s">
        <v>2135</v>
      </c>
      <c r="H678" t="s">
        <v>156</v>
      </c>
    </row>
    <row r="679" spans="1:8" x14ac:dyDescent="0.25">
      <c r="A679" t="s">
        <v>544</v>
      </c>
      <c r="B679" t="s">
        <v>2136</v>
      </c>
      <c r="C679" t="s">
        <v>2137</v>
      </c>
      <c r="D679" t="s">
        <v>156</v>
      </c>
      <c r="E679" t="str">
        <f t="shared" si="10"/>
        <v>Defender</v>
      </c>
      <c r="F679" t="s">
        <v>2138</v>
      </c>
      <c r="G679" t="s">
        <v>2139</v>
      </c>
      <c r="H679" t="s">
        <v>156</v>
      </c>
    </row>
    <row r="680" spans="1:8" x14ac:dyDescent="0.25">
      <c r="A680" t="s">
        <v>544</v>
      </c>
      <c r="B680" t="s">
        <v>2140</v>
      </c>
      <c r="C680" t="s">
        <v>2141</v>
      </c>
      <c r="D680" t="s">
        <v>156</v>
      </c>
      <c r="E680" t="str">
        <f t="shared" si="10"/>
        <v>Defender</v>
      </c>
      <c r="F680" t="s">
        <v>2142</v>
      </c>
      <c r="G680" t="s">
        <v>2143</v>
      </c>
      <c r="H680" t="s">
        <v>156</v>
      </c>
    </row>
    <row r="681" spans="1:8" x14ac:dyDescent="0.25">
      <c r="A681" t="s">
        <v>544</v>
      </c>
      <c r="B681" t="s">
        <v>2144</v>
      </c>
      <c r="C681" t="s">
        <v>2145</v>
      </c>
      <c r="D681" t="s">
        <v>156</v>
      </c>
      <c r="E681" t="str">
        <f t="shared" si="10"/>
        <v>Defender</v>
      </c>
      <c r="F681" t="s">
        <v>2146</v>
      </c>
      <c r="G681" t="s">
        <v>2147</v>
      </c>
      <c r="H681" t="s">
        <v>156</v>
      </c>
    </row>
    <row r="682" spans="1:8" x14ac:dyDescent="0.25">
      <c r="A682" t="s">
        <v>544</v>
      </c>
      <c r="B682" t="s">
        <v>2148</v>
      </c>
      <c r="C682" t="s">
        <v>2149</v>
      </c>
      <c r="D682" t="s">
        <v>156</v>
      </c>
      <c r="E682" t="str">
        <f t="shared" si="10"/>
        <v>Defender</v>
      </c>
      <c r="F682" t="s">
        <v>2150</v>
      </c>
      <c r="G682" t="s">
        <v>2151</v>
      </c>
      <c r="H682" t="s">
        <v>156</v>
      </c>
    </row>
    <row r="683" spans="1:8" x14ac:dyDescent="0.25">
      <c r="A683" t="s">
        <v>563</v>
      </c>
      <c r="E683" t="str">
        <f t="shared" si="10"/>
        <v>Midfielder</v>
      </c>
    </row>
    <row r="684" spans="1:8" x14ac:dyDescent="0.25">
      <c r="A684" t="s">
        <v>563</v>
      </c>
      <c r="B684" t="s">
        <v>2152</v>
      </c>
      <c r="C684" t="s">
        <v>310</v>
      </c>
      <c r="D684" t="s">
        <v>156</v>
      </c>
      <c r="E684" t="str">
        <f t="shared" si="10"/>
        <v>Midfielder</v>
      </c>
      <c r="F684" t="s">
        <v>2153</v>
      </c>
      <c r="G684" t="s">
        <v>2154</v>
      </c>
      <c r="H684" t="s">
        <v>156</v>
      </c>
    </row>
    <row r="685" spans="1:8" x14ac:dyDescent="0.25">
      <c r="A685" t="s">
        <v>563</v>
      </c>
      <c r="B685" t="s">
        <v>2155</v>
      </c>
      <c r="C685" t="s">
        <v>2156</v>
      </c>
      <c r="D685" t="s">
        <v>156</v>
      </c>
      <c r="E685" t="str">
        <f t="shared" si="10"/>
        <v>Midfielder</v>
      </c>
      <c r="F685" t="s">
        <v>2157</v>
      </c>
      <c r="G685" t="s">
        <v>2158</v>
      </c>
      <c r="H685" t="s">
        <v>156</v>
      </c>
    </row>
    <row r="686" spans="1:8" x14ac:dyDescent="0.25">
      <c r="A686" t="s">
        <v>563</v>
      </c>
      <c r="B686" t="s">
        <v>2159</v>
      </c>
      <c r="C686" t="s">
        <v>2160</v>
      </c>
      <c r="D686" t="s">
        <v>156</v>
      </c>
      <c r="E686" t="str">
        <f t="shared" si="10"/>
        <v>Midfielder</v>
      </c>
      <c r="F686" t="s">
        <v>2161</v>
      </c>
      <c r="G686" t="s">
        <v>2162</v>
      </c>
      <c r="H686" t="s">
        <v>156</v>
      </c>
    </row>
    <row r="687" spans="1:8" x14ac:dyDescent="0.25">
      <c r="A687" t="s">
        <v>578</v>
      </c>
      <c r="E687" t="str">
        <f t="shared" si="10"/>
        <v>Forward</v>
      </c>
    </row>
    <row r="688" spans="1:8" x14ac:dyDescent="0.25">
      <c r="A688" t="s">
        <v>578</v>
      </c>
      <c r="B688" t="s">
        <v>2163</v>
      </c>
      <c r="C688" t="s">
        <v>2164</v>
      </c>
      <c r="D688" t="s">
        <v>156</v>
      </c>
      <c r="E688" t="str">
        <f t="shared" si="10"/>
        <v>Forward</v>
      </c>
      <c r="F688" t="s">
        <v>2165</v>
      </c>
      <c r="G688" t="s">
        <v>2166</v>
      </c>
      <c r="H688" t="s">
        <v>156</v>
      </c>
    </row>
    <row r="689" spans="1:8" x14ac:dyDescent="0.25">
      <c r="A689" t="s">
        <v>578</v>
      </c>
      <c r="B689" t="s">
        <v>2167</v>
      </c>
      <c r="C689" t="s">
        <v>2168</v>
      </c>
      <c r="D689" t="s">
        <v>156</v>
      </c>
      <c r="E689" t="str">
        <f t="shared" si="10"/>
        <v>Forward</v>
      </c>
      <c r="F689" t="s">
        <v>2169</v>
      </c>
      <c r="G689" t="s">
        <v>2170</v>
      </c>
      <c r="H689" t="s">
        <v>156</v>
      </c>
    </row>
    <row r="690" spans="1:8" x14ac:dyDescent="0.25">
      <c r="A690" t="s">
        <v>578</v>
      </c>
      <c r="B690" t="s">
        <v>2171</v>
      </c>
      <c r="C690" t="s">
        <v>2172</v>
      </c>
      <c r="D690" t="s">
        <v>156</v>
      </c>
      <c r="E690" t="str">
        <f t="shared" si="10"/>
        <v>Forward</v>
      </c>
      <c r="F690" t="s">
        <v>2173</v>
      </c>
      <c r="G690" t="s">
        <v>2174</v>
      </c>
      <c r="H690" t="s">
        <v>156</v>
      </c>
    </row>
    <row r="691" spans="1:8" x14ac:dyDescent="0.25">
      <c r="A691" t="s">
        <v>578</v>
      </c>
      <c r="B691" t="s">
        <v>2175</v>
      </c>
      <c r="C691" t="s">
        <v>2176</v>
      </c>
      <c r="D691" t="s">
        <v>156</v>
      </c>
      <c r="E691" t="str">
        <f t="shared" si="10"/>
        <v>Forward</v>
      </c>
    </row>
    <row r="692" spans="1:8" x14ac:dyDescent="0.25">
      <c r="A692" t="s">
        <v>537</v>
      </c>
      <c r="E692" t="str">
        <f t="shared" si="10"/>
        <v>Goalkeeper</v>
      </c>
    </row>
    <row r="693" spans="1:8" x14ac:dyDescent="0.25">
      <c r="A693" t="s">
        <v>537</v>
      </c>
      <c r="B693" t="s">
        <v>2177</v>
      </c>
      <c r="C693" t="s">
        <v>2178</v>
      </c>
      <c r="D693" t="s">
        <v>126</v>
      </c>
      <c r="E693" t="str">
        <f t="shared" si="10"/>
        <v>Goalkeeper</v>
      </c>
      <c r="F693" t="s">
        <v>2179</v>
      </c>
      <c r="G693" t="s">
        <v>2180</v>
      </c>
      <c r="H693" t="s">
        <v>126</v>
      </c>
    </row>
    <row r="694" spans="1:8" x14ac:dyDescent="0.25">
      <c r="A694" t="s">
        <v>537</v>
      </c>
      <c r="B694" t="s">
        <v>2181</v>
      </c>
      <c r="C694" t="s">
        <v>2182</v>
      </c>
      <c r="D694" t="s">
        <v>126</v>
      </c>
      <c r="E694" t="str">
        <f t="shared" si="10"/>
        <v>Goalkeeper</v>
      </c>
    </row>
    <row r="695" spans="1:8" x14ac:dyDescent="0.25">
      <c r="A695" t="s">
        <v>544</v>
      </c>
      <c r="E695" t="str">
        <f t="shared" si="10"/>
        <v>Defender</v>
      </c>
    </row>
    <row r="696" spans="1:8" x14ac:dyDescent="0.25">
      <c r="A696" t="s">
        <v>544</v>
      </c>
      <c r="B696" t="s">
        <v>2183</v>
      </c>
      <c r="C696" t="s">
        <v>2184</v>
      </c>
      <c r="D696" t="s">
        <v>126</v>
      </c>
      <c r="E696" t="str">
        <f t="shared" si="10"/>
        <v>Defender</v>
      </c>
      <c r="F696" t="s">
        <v>2185</v>
      </c>
      <c r="G696" t="s">
        <v>2186</v>
      </c>
      <c r="H696" t="s">
        <v>126</v>
      </c>
    </row>
    <row r="697" spans="1:8" x14ac:dyDescent="0.25">
      <c r="A697" t="s">
        <v>544</v>
      </c>
      <c r="B697" t="s">
        <v>2187</v>
      </c>
      <c r="C697" t="s">
        <v>2188</v>
      </c>
      <c r="D697" t="s">
        <v>126</v>
      </c>
      <c r="E697" t="str">
        <f t="shared" si="10"/>
        <v>Defender</v>
      </c>
      <c r="F697" t="s">
        <v>2189</v>
      </c>
      <c r="G697" t="s">
        <v>2190</v>
      </c>
      <c r="H697" t="s">
        <v>126</v>
      </c>
    </row>
    <row r="698" spans="1:8" x14ac:dyDescent="0.25">
      <c r="A698" t="s">
        <v>544</v>
      </c>
      <c r="B698" t="s">
        <v>2191</v>
      </c>
      <c r="C698" t="s">
        <v>2192</v>
      </c>
      <c r="D698" t="s">
        <v>126</v>
      </c>
      <c r="E698" t="str">
        <f t="shared" si="10"/>
        <v>Defender</v>
      </c>
      <c r="F698" t="s">
        <v>2193</v>
      </c>
      <c r="G698" t="s">
        <v>2194</v>
      </c>
      <c r="H698" t="s">
        <v>126</v>
      </c>
    </row>
    <row r="699" spans="1:8" x14ac:dyDescent="0.25">
      <c r="A699" t="s">
        <v>544</v>
      </c>
      <c r="B699" t="s">
        <v>2195</v>
      </c>
      <c r="C699" t="s">
        <v>2196</v>
      </c>
      <c r="D699" t="s">
        <v>126</v>
      </c>
      <c r="E699" t="str">
        <f t="shared" si="10"/>
        <v>Defender</v>
      </c>
    </row>
    <row r="700" spans="1:8" x14ac:dyDescent="0.25">
      <c r="A700" t="s">
        <v>563</v>
      </c>
      <c r="E700" t="str">
        <f t="shared" si="10"/>
        <v>Midfielder</v>
      </c>
    </row>
    <row r="701" spans="1:8" x14ac:dyDescent="0.25">
      <c r="A701" t="s">
        <v>563</v>
      </c>
      <c r="B701" t="s">
        <v>2197</v>
      </c>
      <c r="C701" t="s">
        <v>2198</v>
      </c>
      <c r="D701" t="s">
        <v>126</v>
      </c>
      <c r="E701" t="str">
        <f t="shared" si="10"/>
        <v>Midfielder</v>
      </c>
      <c r="F701" t="s">
        <v>2199</v>
      </c>
      <c r="G701" t="s">
        <v>2200</v>
      </c>
      <c r="H701" t="s">
        <v>126</v>
      </c>
    </row>
    <row r="702" spans="1:8" x14ac:dyDescent="0.25">
      <c r="A702" t="s">
        <v>563</v>
      </c>
      <c r="B702" t="s">
        <v>2201</v>
      </c>
      <c r="C702" t="s">
        <v>2202</v>
      </c>
      <c r="D702" t="s">
        <v>126</v>
      </c>
      <c r="E702" t="str">
        <f t="shared" si="10"/>
        <v>Midfielder</v>
      </c>
      <c r="F702" t="s">
        <v>2203</v>
      </c>
      <c r="G702" t="s">
        <v>2204</v>
      </c>
      <c r="H702" t="s">
        <v>126</v>
      </c>
    </row>
    <row r="703" spans="1:8" x14ac:dyDescent="0.25">
      <c r="A703" t="s">
        <v>563</v>
      </c>
      <c r="B703" t="s">
        <v>2205</v>
      </c>
      <c r="C703" t="s">
        <v>2206</v>
      </c>
      <c r="D703" t="s">
        <v>126</v>
      </c>
      <c r="E703" t="str">
        <f t="shared" si="10"/>
        <v>Midfielder</v>
      </c>
      <c r="F703" t="s">
        <v>2207</v>
      </c>
      <c r="G703" t="s">
        <v>2208</v>
      </c>
      <c r="H703" t="s">
        <v>126</v>
      </c>
    </row>
    <row r="704" spans="1:8" x14ac:dyDescent="0.25">
      <c r="A704" t="s">
        <v>563</v>
      </c>
      <c r="B704" t="s">
        <v>2209</v>
      </c>
      <c r="C704" t="s">
        <v>2210</v>
      </c>
      <c r="D704" t="s">
        <v>126</v>
      </c>
      <c r="E704" t="str">
        <f t="shared" si="10"/>
        <v>Midfielder</v>
      </c>
      <c r="F704" t="s">
        <v>2211</v>
      </c>
      <c r="G704" t="s">
        <v>2212</v>
      </c>
      <c r="H704" t="s">
        <v>126</v>
      </c>
    </row>
    <row r="705" spans="1:8" x14ac:dyDescent="0.25">
      <c r="A705" t="s">
        <v>578</v>
      </c>
      <c r="E705" t="str">
        <f t="shared" si="10"/>
        <v>Forward</v>
      </c>
    </row>
    <row r="706" spans="1:8" x14ac:dyDescent="0.25">
      <c r="A706" t="s">
        <v>578</v>
      </c>
      <c r="B706" t="s">
        <v>2213</v>
      </c>
      <c r="C706" t="s">
        <v>2214</v>
      </c>
      <c r="D706" t="s">
        <v>126</v>
      </c>
      <c r="E706" t="str">
        <f t="shared" si="10"/>
        <v>Forward</v>
      </c>
      <c r="F706" t="s">
        <v>2215</v>
      </c>
      <c r="G706" t="s">
        <v>2216</v>
      </c>
      <c r="H706" t="s">
        <v>126</v>
      </c>
    </row>
    <row r="707" spans="1:8" x14ac:dyDescent="0.25">
      <c r="A707" t="s">
        <v>578</v>
      </c>
      <c r="B707" t="s">
        <v>2217</v>
      </c>
      <c r="C707" t="s">
        <v>2218</v>
      </c>
      <c r="D707" t="s">
        <v>126</v>
      </c>
      <c r="E707" t="str">
        <f t="shared" ref="E707:E770" si="11">A707</f>
        <v>Forward</v>
      </c>
      <c r="F707" t="s">
        <v>2219</v>
      </c>
      <c r="G707" t="s">
        <v>2220</v>
      </c>
      <c r="H707" t="s">
        <v>126</v>
      </c>
    </row>
    <row r="708" spans="1:8" x14ac:dyDescent="0.25">
      <c r="A708" t="s">
        <v>578</v>
      </c>
      <c r="B708" t="s">
        <v>2221</v>
      </c>
      <c r="C708" t="s">
        <v>446</v>
      </c>
      <c r="D708" t="s">
        <v>126</v>
      </c>
      <c r="E708" t="str">
        <f t="shared" si="11"/>
        <v>Forward</v>
      </c>
      <c r="F708" t="s">
        <v>2222</v>
      </c>
      <c r="G708" t="s">
        <v>2223</v>
      </c>
      <c r="H708" t="s">
        <v>126</v>
      </c>
    </row>
    <row r="709" spans="1:8" x14ac:dyDescent="0.25">
      <c r="A709" t="s">
        <v>578</v>
      </c>
      <c r="B709" t="s">
        <v>2224</v>
      </c>
      <c r="C709" t="s">
        <v>2225</v>
      </c>
      <c r="D709" t="s">
        <v>126</v>
      </c>
      <c r="E709" t="str">
        <f t="shared" si="11"/>
        <v>Forward</v>
      </c>
      <c r="F709" t="s">
        <v>2226</v>
      </c>
      <c r="G709" t="s">
        <v>2227</v>
      </c>
      <c r="H709" t="s">
        <v>126</v>
      </c>
    </row>
    <row r="710" spans="1:8" x14ac:dyDescent="0.25">
      <c r="A710" t="s">
        <v>537</v>
      </c>
      <c r="E710" t="str">
        <f t="shared" si="11"/>
        <v>Goalkeeper</v>
      </c>
    </row>
    <row r="711" spans="1:8" x14ac:dyDescent="0.25">
      <c r="A711" t="s">
        <v>537</v>
      </c>
      <c r="B711" t="s">
        <v>2228</v>
      </c>
      <c r="C711" t="s">
        <v>2229</v>
      </c>
      <c r="D711" t="s">
        <v>82</v>
      </c>
      <c r="E711" t="str">
        <f t="shared" si="11"/>
        <v>Goalkeeper</v>
      </c>
      <c r="F711" t="s">
        <v>2230</v>
      </c>
      <c r="G711" t="s">
        <v>2231</v>
      </c>
      <c r="H711" t="s">
        <v>82</v>
      </c>
    </row>
    <row r="712" spans="1:8" x14ac:dyDescent="0.25">
      <c r="A712" t="s">
        <v>537</v>
      </c>
      <c r="B712" t="s">
        <v>2232</v>
      </c>
      <c r="C712" t="s">
        <v>2233</v>
      </c>
      <c r="D712" t="s">
        <v>82</v>
      </c>
      <c r="E712" t="str">
        <f t="shared" si="11"/>
        <v>Goalkeeper</v>
      </c>
    </row>
    <row r="713" spans="1:8" x14ac:dyDescent="0.25">
      <c r="A713" t="s">
        <v>544</v>
      </c>
      <c r="E713" t="str">
        <f t="shared" si="11"/>
        <v>Defender</v>
      </c>
    </row>
    <row r="714" spans="1:8" x14ac:dyDescent="0.25">
      <c r="A714" t="s">
        <v>544</v>
      </c>
      <c r="B714" t="s">
        <v>2234</v>
      </c>
      <c r="C714" t="s">
        <v>2235</v>
      </c>
      <c r="D714" t="s">
        <v>82</v>
      </c>
      <c r="E714" t="str">
        <f t="shared" si="11"/>
        <v>Defender</v>
      </c>
      <c r="F714" t="s">
        <v>2236</v>
      </c>
      <c r="G714" t="s">
        <v>2237</v>
      </c>
      <c r="H714" t="s">
        <v>82</v>
      </c>
    </row>
    <row r="715" spans="1:8" x14ac:dyDescent="0.25">
      <c r="A715" t="s">
        <v>544</v>
      </c>
      <c r="B715" t="s">
        <v>2238</v>
      </c>
      <c r="C715" t="s">
        <v>2239</v>
      </c>
      <c r="D715" t="s">
        <v>82</v>
      </c>
      <c r="E715" t="str">
        <f t="shared" si="11"/>
        <v>Defender</v>
      </c>
      <c r="F715" t="s">
        <v>2240</v>
      </c>
      <c r="G715" t="s">
        <v>2241</v>
      </c>
      <c r="H715" t="s">
        <v>82</v>
      </c>
    </row>
    <row r="716" spans="1:8" x14ac:dyDescent="0.25">
      <c r="A716" t="s">
        <v>544</v>
      </c>
      <c r="B716" t="s">
        <v>2242</v>
      </c>
      <c r="C716" t="s">
        <v>2243</v>
      </c>
      <c r="D716" t="s">
        <v>82</v>
      </c>
      <c r="E716" t="str">
        <f t="shared" si="11"/>
        <v>Defender</v>
      </c>
      <c r="F716" t="s">
        <v>2244</v>
      </c>
      <c r="G716" t="s">
        <v>2245</v>
      </c>
      <c r="H716" t="s">
        <v>82</v>
      </c>
    </row>
    <row r="717" spans="1:8" x14ac:dyDescent="0.25">
      <c r="A717" t="s">
        <v>544</v>
      </c>
      <c r="B717" t="s">
        <v>2246</v>
      </c>
      <c r="C717" t="s">
        <v>2247</v>
      </c>
      <c r="D717" t="s">
        <v>82</v>
      </c>
      <c r="E717" t="str">
        <f t="shared" si="11"/>
        <v>Defender</v>
      </c>
      <c r="F717" t="s">
        <v>2248</v>
      </c>
      <c r="G717" t="s">
        <v>2249</v>
      </c>
      <c r="H717" t="s">
        <v>82</v>
      </c>
    </row>
    <row r="718" spans="1:8" x14ac:dyDescent="0.25">
      <c r="A718" t="s">
        <v>544</v>
      </c>
      <c r="B718" t="s">
        <v>2250</v>
      </c>
      <c r="C718" t="s">
        <v>2251</v>
      </c>
      <c r="D718" t="s">
        <v>82</v>
      </c>
      <c r="E718" t="str">
        <f t="shared" si="11"/>
        <v>Defender</v>
      </c>
      <c r="F718" t="s">
        <v>2252</v>
      </c>
      <c r="G718" t="s">
        <v>2253</v>
      </c>
      <c r="H718" t="s">
        <v>82</v>
      </c>
    </row>
    <row r="719" spans="1:8" x14ac:dyDescent="0.25">
      <c r="A719" t="s">
        <v>563</v>
      </c>
      <c r="E719" t="str">
        <f t="shared" si="11"/>
        <v>Midfielder</v>
      </c>
    </row>
    <row r="720" spans="1:8" x14ac:dyDescent="0.25">
      <c r="A720" t="s">
        <v>563</v>
      </c>
      <c r="B720" t="s">
        <v>2254</v>
      </c>
      <c r="C720" t="s">
        <v>2255</v>
      </c>
      <c r="D720" t="s">
        <v>82</v>
      </c>
      <c r="E720" t="str">
        <f t="shared" si="11"/>
        <v>Midfielder</v>
      </c>
      <c r="F720" t="s">
        <v>2256</v>
      </c>
      <c r="G720" t="s">
        <v>2257</v>
      </c>
      <c r="H720" t="s">
        <v>82</v>
      </c>
    </row>
    <row r="721" spans="1:8" x14ac:dyDescent="0.25">
      <c r="A721" t="s">
        <v>563</v>
      </c>
      <c r="B721" t="s">
        <v>2258</v>
      </c>
      <c r="C721" t="s">
        <v>2259</v>
      </c>
      <c r="D721" t="s">
        <v>82</v>
      </c>
      <c r="E721" t="str">
        <f t="shared" si="11"/>
        <v>Midfielder</v>
      </c>
      <c r="F721" t="s">
        <v>2260</v>
      </c>
      <c r="G721" t="s">
        <v>2261</v>
      </c>
      <c r="H721" t="s">
        <v>82</v>
      </c>
    </row>
    <row r="722" spans="1:8" x14ac:dyDescent="0.25">
      <c r="A722" t="s">
        <v>563</v>
      </c>
      <c r="B722" t="s">
        <v>2262</v>
      </c>
      <c r="C722" t="s">
        <v>2263</v>
      </c>
      <c r="D722" t="s">
        <v>82</v>
      </c>
      <c r="E722" t="str">
        <f t="shared" si="11"/>
        <v>Midfielder</v>
      </c>
      <c r="F722" t="s">
        <v>2264</v>
      </c>
      <c r="G722" t="s">
        <v>2265</v>
      </c>
      <c r="H722" t="s">
        <v>82</v>
      </c>
    </row>
    <row r="723" spans="1:8" x14ac:dyDescent="0.25">
      <c r="A723" t="s">
        <v>578</v>
      </c>
      <c r="E723" t="str">
        <f t="shared" si="11"/>
        <v>Forward</v>
      </c>
    </row>
    <row r="724" spans="1:8" x14ac:dyDescent="0.25">
      <c r="A724" t="s">
        <v>578</v>
      </c>
      <c r="B724" t="s">
        <v>2266</v>
      </c>
      <c r="C724" t="s">
        <v>2267</v>
      </c>
      <c r="D724" t="s">
        <v>82</v>
      </c>
      <c r="E724" t="str">
        <f t="shared" si="11"/>
        <v>Forward</v>
      </c>
      <c r="F724" t="s">
        <v>2268</v>
      </c>
      <c r="G724" t="s">
        <v>2269</v>
      </c>
      <c r="H724" t="s">
        <v>82</v>
      </c>
    </row>
    <row r="725" spans="1:8" x14ac:dyDescent="0.25">
      <c r="A725" t="s">
        <v>578</v>
      </c>
      <c r="B725" t="s">
        <v>2270</v>
      </c>
      <c r="C725" t="s">
        <v>2271</v>
      </c>
      <c r="D725" t="s">
        <v>82</v>
      </c>
      <c r="E725" t="str">
        <f t="shared" si="11"/>
        <v>Forward</v>
      </c>
      <c r="F725" t="s">
        <v>2272</v>
      </c>
      <c r="G725" t="s">
        <v>2273</v>
      </c>
      <c r="H725" t="s">
        <v>82</v>
      </c>
    </row>
    <row r="726" spans="1:8" x14ac:dyDescent="0.25">
      <c r="A726" t="s">
        <v>578</v>
      </c>
      <c r="B726" t="s">
        <v>2274</v>
      </c>
      <c r="C726" t="s">
        <v>2275</v>
      </c>
      <c r="D726" t="s">
        <v>82</v>
      </c>
      <c r="E726" t="str">
        <f t="shared" si="11"/>
        <v>Forward</v>
      </c>
      <c r="F726" t="s">
        <v>2276</v>
      </c>
      <c r="G726" t="s">
        <v>2277</v>
      </c>
      <c r="H726" t="s">
        <v>82</v>
      </c>
    </row>
    <row r="727" spans="1:8" x14ac:dyDescent="0.25">
      <c r="A727" t="s">
        <v>578</v>
      </c>
      <c r="B727" t="s">
        <v>2278</v>
      </c>
      <c r="C727" t="s">
        <v>527</v>
      </c>
      <c r="D727" t="s">
        <v>82</v>
      </c>
      <c r="E727" t="str">
        <f t="shared" si="11"/>
        <v>Forward</v>
      </c>
    </row>
    <row r="728" spans="1:8" x14ac:dyDescent="0.25">
      <c r="A728" t="s">
        <v>537</v>
      </c>
      <c r="E728" t="str">
        <f t="shared" si="11"/>
        <v>Goalkeeper</v>
      </c>
    </row>
    <row r="729" spans="1:8" x14ac:dyDescent="0.25">
      <c r="A729" t="s">
        <v>537</v>
      </c>
      <c r="B729" t="s">
        <v>2279</v>
      </c>
      <c r="C729" t="s">
        <v>529</v>
      </c>
      <c r="D729" t="s">
        <v>123</v>
      </c>
      <c r="E729" t="str">
        <f t="shared" si="11"/>
        <v>Goalkeeper</v>
      </c>
      <c r="F729" t="s">
        <v>2280</v>
      </c>
      <c r="G729" t="s">
        <v>352</v>
      </c>
      <c r="H729" t="s">
        <v>123</v>
      </c>
    </row>
    <row r="730" spans="1:8" x14ac:dyDescent="0.25">
      <c r="A730" t="s">
        <v>537</v>
      </c>
      <c r="B730" t="s">
        <v>2281</v>
      </c>
      <c r="C730" t="s">
        <v>2281</v>
      </c>
      <c r="D730" t="s">
        <v>123</v>
      </c>
      <c r="E730" t="str">
        <f t="shared" si="11"/>
        <v>Goalkeeper</v>
      </c>
    </row>
    <row r="731" spans="1:8" x14ac:dyDescent="0.25">
      <c r="A731" t="s">
        <v>544</v>
      </c>
      <c r="E731" t="str">
        <f t="shared" si="11"/>
        <v>Defender</v>
      </c>
    </row>
    <row r="732" spans="1:8" x14ac:dyDescent="0.25">
      <c r="A732" t="s">
        <v>544</v>
      </c>
      <c r="B732" t="s">
        <v>2282</v>
      </c>
      <c r="C732" t="s">
        <v>2283</v>
      </c>
      <c r="D732" t="s">
        <v>123</v>
      </c>
      <c r="E732" t="str">
        <f t="shared" si="11"/>
        <v>Defender</v>
      </c>
      <c r="F732" t="s">
        <v>2284</v>
      </c>
      <c r="G732" t="s">
        <v>378</v>
      </c>
      <c r="H732" t="s">
        <v>123</v>
      </c>
    </row>
    <row r="733" spans="1:8" x14ac:dyDescent="0.25">
      <c r="A733" t="s">
        <v>544</v>
      </c>
      <c r="B733" t="s">
        <v>2285</v>
      </c>
      <c r="C733" t="s">
        <v>398</v>
      </c>
      <c r="D733" t="s">
        <v>123</v>
      </c>
      <c r="E733" t="str">
        <f t="shared" si="11"/>
        <v>Defender</v>
      </c>
      <c r="F733" t="s">
        <v>2286</v>
      </c>
      <c r="G733" t="s">
        <v>469</v>
      </c>
      <c r="H733" t="s">
        <v>123</v>
      </c>
    </row>
    <row r="734" spans="1:8" x14ac:dyDescent="0.25">
      <c r="A734" t="s">
        <v>544</v>
      </c>
      <c r="B734" t="s">
        <v>2287</v>
      </c>
      <c r="C734" t="s">
        <v>2287</v>
      </c>
      <c r="D734" t="s">
        <v>123</v>
      </c>
      <c r="E734" t="str">
        <f t="shared" si="11"/>
        <v>Defender</v>
      </c>
      <c r="F734" t="s">
        <v>2288</v>
      </c>
      <c r="G734" t="s">
        <v>370</v>
      </c>
      <c r="H734" t="s">
        <v>123</v>
      </c>
    </row>
    <row r="735" spans="1:8" x14ac:dyDescent="0.25">
      <c r="A735" t="s">
        <v>544</v>
      </c>
      <c r="B735" t="s">
        <v>2289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563</v>
      </c>
      <c r="E736" t="str">
        <f t="shared" si="11"/>
        <v>Midfielder</v>
      </c>
    </row>
    <row r="737" spans="1:8" x14ac:dyDescent="0.25">
      <c r="A737" t="s">
        <v>563</v>
      </c>
      <c r="B737" t="s">
        <v>2290</v>
      </c>
      <c r="C737" t="s">
        <v>406</v>
      </c>
      <c r="D737" t="s">
        <v>123</v>
      </c>
      <c r="E737" t="str">
        <f t="shared" si="11"/>
        <v>Midfielder</v>
      </c>
      <c r="F737" t="s">
        <v>2291</v>
      </c>
      <c r="G737" t="s">
        <v>2292</v>
      </c>
      <c r="H737" t="s">
        <v>123</v>
      </c>
    </row>
    <row r="738" spans="1:8" x14ac:dyDescent="0.25">
      <c r="A738" t="s">
        <v>563</v>
      </c>
      <c r="B738" t="s">
        <v>2293</v>
      </c>
      <c r="C738" t="s">
        <v>2294</v>
      </c>
      <c r="D738" t="s">
        <v>123</v>
      </c>
      <c r="E738" t="str">
        <f t="shared" si="11"/>
        <v>Midfielder</v>
      </c>
      <c r="F738" t="s">
        <v>2295</v>
      </c>
      <c r="G738" t="s">
        <v>2296</v>
      </c>
      <c r="H738" t="s">
        <v>123</v>
      </c>
    </row>
    <row r="739" spans="1:8" x14ac:dyDescent="0.25">
      <c r="A739" t="s">
        <v>563</v>
      </c>
      <c r="B739" t="s">
        <v>2297</v>
      </c>
      <c r="C739" t="s">
        <v>481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563</v>
      </c>
      <c r="B740" t="s">
        <v>2298</v>
      </c>
      <c r="C740" t="s">
        <v>2298</v>
      </c>
      <c r="D740" t="s">
        <v>123</v>
      </c>
      <c r="E740" t="str">
        <f t="shared" si="11"/>
        <v>Midfielder</v>
      </c>
      <c r="F740" t="s">
        <v>2299</v>
      </c>
      <c r="G740" t="s">
        <v>2300</v>
      </c>
      <c r="H740" t="s">
        <v>123</v>
      </c>
    </row>
    <row r="741" spans="1:8" x14ac:dyDescent="0.25">
      <c r="A741" t="s">
        <v>563</v>
      </c>
      <c r="B741" t="s">
        <v>2301</v>
      </c>
      <c r="C741" t="s">
        <v>519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578</v>
      </c>
      <c r="E742" t="str">
        <f t="shared" si="11"/>
        <v>Forward</v>
      </c>
    </row>
    <row r="743" spans="1:8" x14ac:dyDescent="0.25">
      <c r="A743" t="s">
        <v>578</v>
      </c>
      <c r="B743" t="s">
        <v>2302</v>
      </c>
      <c r="C743" t="s">
        <v>491</v>
      </c>
      <c r="D743" t="s">
        <v>123</v>
      </c>
      <c r="E743" t="str">
        <f t="shared" si="11"/>
        <v>Forward</v>
      </c>
      <c r="F743" t="s">
        <v>2303</v>
      </c>
      <c r="G743" t="s">
        <v>281</v>
      </c>
      <c r="H743" t="s">
        <v>123</v>
      </c>
    </row>
    <row r="744" spans="1:8" x14ac:dyDescent="0.25">
      <c r="A744" t="s">
        <v>578</v>
      </c>
      <c r="B744" t="s">
        <v>2304</v>
      </c>
      <c r="C744" t="s">
        <v>346</v>
      </c>
      <c r="D744" t="s">
        <v>123</v>
      </c>
      <c r="E744" t="str">
        <f t="shared" si="11"/>
        <v>Forward</v>
      </c>
      <c r="F744" t="s">
        <v>2305</v>
      </c>
      <c r="G744" t="s">
        <v>2306</v>
      </c>
      <c r="H744" t="s">
        <v>123</v>
      </c>
    </row>
    <row r="745" spans="1:8" x14ac:dyDescent="0.25">
      <c r="A745" t="s">
        <v>578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2307</v>
      </c>
      <c r="G745" t="s">
        <v>2308</v>
      </c>
      <c r="H745" t="s">
        <v>123</v>
      </c>
    </row>
    <row r="746" spans="1:8" x14ac:dyDescent="0.25">
      <c r="A746" t="s">
        <v>537</v>
      </c>
      <c r="E746" t="str">
        <f t="shared" si="11"/>
        <v>Goalkeeper</v>
      </c>
    </row>
    <row r="747" spans="1:8" x14ac:dyDescent="0.25">
      <c r="A747" t="s">
        <v>537</v>
      </c>
      <c r="B747" t="s">
        <v>2309</v>
      </c>
      <c r="C747" t="s">
        <v>2310</v>
      </c>
      <c r="D747" t="s">
        <v>62</v>
      </c>
      <c r="E747" t="str">
        <f t="shared" si="11"/>
        <v>Goalkeeper</v>
      </c>
      <c r="F747" t="s">
        <v>2311</v>
      </c>
      <c r="G747" t="s">
        <v>2312</v>
      </c>
      <c r="H747" t="s">
        <v>62</v>
      </c>
    </row>
    <row r="748" spans="1:8" x14ac:dyDescent="0.25">
      <c r="A748" t="s">
        <v>537</v>
      </c>
      <c r="B748" t="s">
        <v>2313</v>
      </c>
      <c r="C748" t="s">
        <v>2314</v>
      </c>
      <c r="D748" t="s">
        <v>62</v>
      </c>
      <c r="E748" t="str">
        <f t="shared" si="11"/>
        <v>Goalkeeper</v>
      </c>
    </row>
    <row r="749" spans="1:8" x14ac:dyDescent="0.25">
      <c r="A749" t="s">
        <v>544</v>
      </c>
      <c r="E749" t="str">
        <f t="shared" si="11"/>
        <v>Defender</v>
      </c>
    </row>
    <row r="750" spans="1:8" x14ac:dyDescent="0.25">
      <c r="A750" t="s">
        <v>544</v>
      </c>
      <c r="B750" t="s">
        <v>2315</v>
      </c>
      <c r="C750" t="s">
        <v>2316</v>
      </c>
      <c r="D750" t="s">
        <v>62</v>
      </c>
      <c r="E750" t="str">
        <f t="shared" si="11"/>
        <v>Defender</v>
      </c>
      <c r="F750" t="s">
        <v>2317</v>
      </c>
      <c r="G750" t="s">
        <v>2318</v>
      </c>
      <c r="H750" t="s">
        <v>62</v>
      </c>
    </row>
    <row r="751" spans="1:8" x14ac:dyDescent="0.25">
      <c r="A751" t="s">
        <v>544</v>
      </c>
      <c r="B751" t="s">
        <v>2319</v>
      </c>
      <c r="C751" t="s">
        <v>2320</v>
      </c>
      <c r="D751" t="s">
        <v>62</v>
      </c>
      <c r="E751" t="str">
        <f t="shared" si="11"/>
        <v>Defender</v>
      </c>
      <c r="F751" t="s">
        <v>2321</v>
      </c>
      <c r="G751" t="s">
        <v>2322</v>
      </c>
      <c r="H751" t="s">
        <v>62</v>
      </c>
    </row>
    <row r="752" spans="1:8" x14ac:dyDescent="0.25">
      <c r="A752" t="s">
        <v>544</v>
      </c>
      <c r="B752" t="s">
        <v>2323</v>
      </c>
      <c r="C752" t="s">
        <v>2324</v>
      </c>
      <c r="D752" t="s">
        <v>62</v>
      </c>
      <c r="E752" t="str">
        <f t="shared" si="11"/>
        <v>Defender</v>
      </c>
      <c r="F752" t="s">
        <v>2325</v>
      </c>
      <c r="G752" t="s">
        <v>2326</v>
      </c>
      <c r="H752" t="s">
        <v>62</v>
      </c>
    </row>
    <row r="753" spans="1:8" x14ac:dyDescent="0.25">
      <c r="A753" t="s">
        <v>544</v>
      </c>
      <c r="B753" t="s">
        <v>2327</v>
      </c>
      <c r="C753" t="s">
        <v>2328</v>
      </c>
      <c r="D753" t="s">
        <v>62</v>
      </c>
      <c r="E753" t="str">
        <f t="shared" si="11"/>
        <v>Defender</v>
      </c>
      <c r="F753" t="s">
        <v>2329</v>
      </c>
      <c r="G753" t="s">
        <v>2330</v>
      </c>
      <c r="H753" t="s">
        <v>62</v>
      </c>
    </row>
    <row r="754" spans="1:8" x14ac:dyDescent="0.25">
      <c r="A754" t="s">
        <v>563</v>
      </c>
      <c r="E754" t="str">
        <f t="shared" si="11"/>
        <v>Midfielder</v>
      </c>
    </row>
    <row r="755" spans="1:8" x14ac:dyDescent="0.25">
      <c r="A755" t="s">
        <v>563</v>
      </c>
      <c r="B755" t="s">
        <v>2331</v>
      </c>
      <c r="C755" t="s">
        <v>2332</v>
      </c>
      <c r="D755" t="s">
        <v>62</v>
      </c>
      <c r="E755" t="str">
        <f t="shared" si="11"/>
        <v>Midfielder</v>
      </c>
      <c r="F755" t="s">
        <v>2333</v>
      </c>
      <c r="G755" t="s">
        <v>2334</v>
      </c>
      <c r="H755" t="s">
        <v>62</v>
      </c>
    </row>
    <row r="756" spans="1:8" x14ac:dyDescent="0.25">
      <c r="A756" t="s">
        <v>563</v>
      </c>
      <c r="B756" t="s">
        <v>2335</v>
      </c>
      <c r="C756" t="s">
        <v>2336</v>
      </c>
      <c r="D756" t="s">
        <v>62</v>
      </c>
      <c r="E756" t="str">
        <f t="shared" si="11"/>
        <v>Midfielder</v>
      </c>
      <c r="F756" t="s">
        <v>2337</v>
      </c>
      <c r="G756" t="s">
        <v>2338</v>
      </c>
      <c r="H756" t="s">
        <v>62</v>
      </c>
    </row>
    <row r="757" spans="1:8" x14ac:dyDescent="0.25">
      <c r="A757" t="s">
        <v>563</v>
      </c>
      <c r="B757" t="s">
        <v>2339</v>
      </c>
      <c r="C757" t="s">
        <v>2340</v>
      </c>
      <c r="D757" t="s">
        <v>62</v>
      </c>
      <c r="E757" t="str">
        <f t="shared" si="11"/>
        <v>Midfielder</v>
      </c>
      <c r="F757" t="s">
        <v>2341</v>
      </c>
      <c r="G757" t="s">
        <v>2342</v>
      </c>
      <c r="H757" t="s">
        <v>62</v>
      </c>
    </row>
    <row r="758" spans="1:8" x14ac:dyDescent="0.25">
      <c r="A758" t="s">
        <v>563</v>
      </c>
      <c r="B758" t="s">
        <v>2343</v>
      </c>
      <c r="C758" t="s">
        <v>2344</v>
      </c>
      <c r="D758" t="s">
        <v>62</v>
      </c>
      <c r="E758" t="str">
        <f t="shared" si="11"/>
        <v>Midfielder</v>
      </c>
      <c r="F758" t="s">
        <v>2345</v>
      </c>
      <c r="G758" t="s">
        <v>2346</v>
      </c>
      <c r="H758" t="s">
        <v>62</v>
      </c>
    </row>
    <row r="759" spans="1:8" x14ac:dyDescent="0.25">
      <c r="A759" t="s">
        <v>563</v>
      </c>
      <c r="B759" t="s">
        <v>2347</v>
      </c>
      <c r="C759" t="s">
        <v>2348</v>
      </c>
      <c r="D759" t="s">
        <v>62</v>
      </c>
      <c r="E759" t="str">
        <f t="shared" si="11"/>
        <v>Midfielder</v>
      </c>
    </row>
    <row r="760" spans="1:8" x14ac:dyDescent="0.25">
      <c r="A760" t="s">
        <v>578</v>
      </c>
      <c r="E760" t="str">
        <f t="shared" si="11"/>
        <v>Forward</v>
      </c>
    </row>
    <row r="761" spans="1:8" x14ac:dyDescent="0.25">
      <c r="A761" t="s">
        <v>578</v>
      </c>
      <c r="B761" t="s">
        <v>2349</v>
      </c>
      <c r="C761" t="s">
        <v>503</v>
      </c>
      <c r="D761" t="s">
        <v>62</v>
      </c>
      <c r="E761" t="str">
        <f t="shared" si="11"/>
        <v>Forward</v>
      </c>
      <c r="F761" t="s">
        <v>2350</v>
      </c>
      <c r="G761" t="s">
        <v>392</v>
      </c>
      <c r="H761" t="s">
        <v>62</v>
      </c>
    </row>
    <row r="762" spans="1:8" x14ac:dyDescent="0.25">
      <c r="A762" t="s">
        <v>578</v>
      </c>
      <c r="B762" t="s">
        <v>2351</v>
      </c>
      <c r="C762" t="s">
        <v>2352</v>
      </c>
      <c r="D762" t="s">
        <v>62</v>
      </c>
      <c r="E762" t="str">
        <f t="shared" si="11"/>
        <v>Forward</v>
      </c>
      <c r="F762" t="s">
        <v>2353</v>
      </c>
      <c r="G762" t="s">
        <v>2354</v>
      </c>
      <c r="H762" t="s">
        <v>62</v>
      </c>
    </row>
    <row r="763" spans="1:8" x14ac:dyDescent="0.25">
      <c r="A763" t="s">
        <v>578</v>
      </c>
      <c r="B763" t="s">
        <v>2355</v>
      </c>
      <c r="C763" t="s">
        <v>2356</v>
      </c>
      <c r="D763" t="s">
        <v>62</v>
      </c>
      <c r="E763" t="str">
        <f t="shared" si="11"/>
        <v>Forward</v>
      </c>
      <c r="F763" t="s">
        <v>2357</v>
      </c>
      <c r="G763" t="s">
        <v>2358</v>
      </c>
      <c r="H763" t="s">
        <v>62</v>
      </c>
    </row>
    <row r="764" spans="1:8" x14ac:dyDescent="0.25">
      <c r="A764" t="s">
        <v>537</v>
      </c>
      <c r="E764" t="str">
        <f t="shared" si="11"/>
        <v>Goalkeeper</v>
      </c>
    </row>
    <row r="765" spans="1:8" x14ac:dyDescent="0.25">
      <c r="A765" t="s">
        <v>537</v>
      </c>
      <c r="B765" t="s">
        <v>2359</v>
      </c>
      <c r="C765" t="s">
        <v>507</v>
      </c>
      <c r="D765" t="s">
        <v>165</v>
      </c>
      <c r="E765" t="str">
        <f t="shared" si="11"/>
        <v>Goalkeeper</v>
      </c>
      <c r="F765" t="s">
        <v>2360</v>
      </c>
      <c r="G765" t="s">
        <v>2361</v>
      </c>
      <c r="H765" t="s">
        <v>165</v>
      </c>
    </row>
    <row r="766" spans="1:8" x14ac:dyDescent="0.25">
      <c r="A766" t="s">
        <v>537</v>
      </c>
      <c r="B766" t="s">
        <v>2362</v>
      </c>
      <c r="C766" t="s">
        <v>2363</v>
      </c>
      <c r="D766" t="s">
        <v>165</v>
      </c>
      <c r="E766" t="str">
        <f t="shared" si="11"/>
        <v>Goalkeeper</v>
      </c>
    </row>
    <row r="767" spans="1:8" x14ac:dyDescent="0.25">
      <c r="A767" t="s">
        <v>544</v>
      </c>
      <c r="E767" t="str">
        <f t="shared" si="11"/>
        <v>Defender</v>
      </c>
    </row>
    <row r="768" spans="1:8" x14ac:dyDescent="0.25">
      <c r="A768" t="s">
        <v>544</v>
      </c>
      <c r="B768" t="s">
        <v>2364</v>
      </c>
      <c r="C768" t="s">
        <v>2365</v>
      </c>
      <c r="D768" t="s">
        <v>165</v>
      </c>
      <c r="E768" t="str">
        <f t="shared" si="11"/>
        <v>Defender</v>
      </c>
      <c r="F768" t="s">
        <v>2366</v>
      </c>
      <c r="G768" t="s">
        <v>2367</v>
      </c>
      <c r="H768" t="s">
        <v>165</v>
      </c>
    </row>
    <row r="769" spans="1:8" x14ac:dyDescent="0.25">
      <c r="A769" t="s">
        <v>544</v>
      </c>
      <c r="B769" t="s">
        <v>2368</v>
      </c>
      <c r="C769" t="s">
        <v>2369</v>
      </c>
      <c r="D769" t="s">
        <v>165</v>
      </c>
      <c r="E769" t="str">
        <f t="shared" si="11"/>
        <v>Defender</v>
      </c>
      <c r="F769" t="s">
        <v>2370</v>
      </c>
      <c r="G769" t="s">
        <v>2371</v>
      </c>
      <c r="H769" t="s">
        <v>165</v>
      </c>
    </row>
    <row r="770" spans="1:8" x14ac:dyDescent="0.25">
      <c r="A770" t="s">
        <v>544</v>
      </c>
      <c r="B770" t="s">
        <v>2372</v>
      </c>
      <c r="C770" t="s">
        <v>2373</v>
      </c>
      <c r="D770" t="s">
        <v>165</v>
      </c>
      <c r="E770" t="str">
        <f t="shared" si="11"/>
        <v>Defender</v>
      </c>
      <c r="F770" t="s">
        <v>2374</v>
      </c>
      <c r="G770" t="s">
        <v>2375</v>
      </c>
      <c r="H770" t="s">
        <v>165</v>
      </c>
    </row>
    <row r="771" spans="1:8" x14ac:dyDescent="0.25">
      <c r="A771" t="s">
        <v>544</v>
      </c>
      <c r="B771" t="s">
        <v>2376</v>
      </c>
      <c r="C771" t="s">
        <v>2377</v>
      </c>
      <c r="D771" t="s">
        <v>165</v>
      </c>
      <c r="E771" t="str">
        <f t="shared" ref="E771:E834" si="12">A771</f>
        <v>Defender</v>
      </c>
      <c r="F771" t="s">
        <v>2378</v>
      </c>
      <c r="G771" t="s">
        <v>2379</v>
      </c>
      <c r="H771" t="s">
        <v>165</v>
      </c>
    </row>
    <row r="772" spans="1:8" x14ac:dyDescent="0.25">
      <c r="A772" t="s">
        <v>563</v>
      </c>
      <c r="E772" t="str">
        <f t="shared" si="12"/>
        <v>Midfielder</v>
      </c>
    </row>
    <row r="773" spans="1:8" x14ac:dyDescent="0.25">
      <c r="A773" t="s">
        <v>563</v>
      </c>
      <c r="B773" t="s">
        <v>2380</v>
      </c>
      <c r="C773" t="s">
        <v>2381</v>
      </c>
      <c r="D773" t="s">
        <v>165</v>
      </c>
      <c r="E773" t="str">
        <f t="shared" si="12"/>
        <v>Midfielder</v>
      </c>
      <c r="F773" t="s">
        <v>2382</v>
      </c>
      <c r="G773" t="s">
        <v>2383</v>
      </c>
      <c r="H773" t="s">
        <v>165</v>
      </c>
    </row>
    <row r="774" spans="1:8" x14ac:dyDescent="0.25">
      <c r="A774" t="s">
        <v>563</v>
      </c>
      <c r="B774" t="s">
        <v>2384</v>
      </c>
      <c r="C774" t="s">
        <v>2385</v>
      </c>
      <c r="D774" t="s">
        <v>165</v>
      </c>
      <c r="E774" t="str">
        <f t="shared" si="12"/>
        <v>Midfielder</v>
      </c>
      <c r="F774" t="s">
        <v>2386</v>
      </c>
      <c r="G774" t="s">
        <v>2387</v>
      </c>
      <c r="H774" t="s">
        <v>165</v>
      </c>
    </row>
    <row r="775" spans="1:8" x14ac:dyDescent="0.25">
      <c r="A775" t="s">
        <v>563</v>
      </c>
      <c r="B775" t="s">
        <v>2388</v>
      </c>
      <c r="C775" t="s">
        <v>2389</v>
      </c>
      <c r="D775" t="s">
        <v>165</v>
      </c>
      <c r="E775" t="str">
        <f t="shared" si="12"/>
        <v>Midfielder</v>
      </c>
      <c r="F775" t="s">
        <v>2390</v>
      </c>
      <c r="G775" t="s">
        <v>2391</v>
      </c>
      <c r="H775" t="s">
        <v>165</v>
      </c>
    </row>
    <row r="776" spans="1:8" x14ac:dyDescent="0.25">
      <c r="A776" t="s">
        <v>563</v>
      </c>
      <c r="B776" t="s">
        <v>2392</v>
      </c>
      <c r="C776" t="s">
        <v>2393</v>
      </c>
      <c r="D776" t="s">
        <v>165</v>
      </c>
      <c r="E776" t="str">
        <f t="shared" si="12"/>
        <v>Midfielder</v>
      </c>
      <c r="F776" t="s">
        <v>2394</v>
      </c>
      <c r="G776" t="s">
        <v>2395</v>
      </c>
      <c r="H776" t="s">
        <v>165</v>
      </c>
    </row>
    <row r="777" spans="1:8" x14ac:dyDescent="0.25">
      <c r="A777" t="s">
        <v>563</v>
      </c>
      <c r="B777" t="s">
        <v>2396</v>
      </c>
      <c r="C777" t="s">
        <v>2397</v>
      </c>
      <c r="D777" t="s">
        <v>165</v>
      </c>
      <c r="E777" t="str">
        <f t="shared" si="12"/>
        <v>Midfielder</v>
      </c>
      <c r="F777" t="s">
        <v>2398</v>
      </c>
      <c r="G777" t="s">
        <v>2399</v>
      </c>
      <c r="H777" t="s">
        <v>165</v>
      </c>
    </row>
    <row r="778" spans="1:8" x14ac:dyDescent="0.25">
      <c r="A778" t="s">
        <v>578</v>
      </c>
      <c r="E778" t="str">
        <f t="shared" si="12"/>
        <v>Forward</v>
      </c>
    </row>
    <row r="779" spans="1:8" x14ac:dyDescent="0.25">
      <c r="A779" t="s">
        <v>578</v>
      </c>
      <c r="B779" t="s">
        <v>2400</v>
      </c>
      <c r="C779" t="s">
        <v>2401</v>
      </c>
      <c r="D779" t="s">
        <v>165</v>
      </c>
      <c r="E779" t="str">
        <f t="shared" si="12"/>
        <v>Forward</v>
      </c>
      <c r="F779" t="s">
        <v>2402</v>
      </c>
      <c r="G779" t="s">
        <v>2403</v>
      </c>
      <c r="H779" t="s">
        <v>165</v>
      </c>
    </row>
    <row r="780" spans="1:8" x14ac:dyDescent="0.25">
      <c r="A780" t="s">
        <v>578</v>
      </c>
      <c r="B780" t="s">
        <v>2404</v>
      </c>
      <c r="C780" t="s">
        <v>438</v>
      </c>
      <c r="D780" t="s">
        <v>165</v>
      </c>
      <c r="E780" t="str">
        <f t="shared" si="12"/>
        <v>Forward</v>
      </c>
      <c r="F780" t="s">
        <v>2405</v>
      </c>
      <c r="G780" t="s">
        <v>2406</v>
      </c>
      <c r="H780" t="s">
        <v>165</v>
      </c>
    </row>
    <row r="781" spans="1:8" x14ac:dyDescent="0.25">
      <c r="A781" t="s">
        <v>578</v>
      </c>
      <c r="B781" t="s">
        <v>2407</v>
      </c>
      <c r="C781" t="s">
        <v>2408</v>
      </c>
      <c r="D781" t="s">
        <v>165</v>
      </c>
      <c r="E781" t="str">
        <f t="shared" si="12"/>
        <v>Forward</v>
      </c>
    </row>
    <row r="782" spans="1:8" x14ac:dyDescent="0.25">
      <c r="A782" t="s">
        <v>537</v>
      </c>
      <c r="E782" t="str">
        <f t="shared" si="12"/>
        <v>Goalkeeper</v>
      </c>
    </row>
    <row r="783" spans="1:8" x14ac:dyDescent="0.25">
      <c r="A783" t="s">
        <v>537</v>
      </c>
      <c r="B783" t="s">
        <v>2409</v>
      </c>
      <c r="C783" t="s">
        <v>2410</v>
      </c>
      <c r="D783" t="s">
        <v>139</v>
      </c>
      <c r="E783" t="str">
        <f t="shared" si="12"/>
        <v>Goalkeeper</v>
      </c>
      <c r="F783" t="s">
        <v>2411</v>
      </c>
      <c r="G783" t="s">
        <v>2412</v>
      </c>
      <c r="H783" t="s">
        <v>139</v>
      </c>
    </row>
    <row r="784" spans="1:8" x14ac:dyDescent="0.25">
      <c r="A784" t="s">
        <v>537</v>
      </c>
      <c r="B784" t="s">
        <v>2413</v>
      </c>
      <c r="C784" t="s">
        <v>2414</v>
      </c>
      <c r="D784" t="s">
        <v>139</v>
      </c>
      <c r="E784" t="str">
        <f t="shared" si="12"/>
        <v>Goalkeeper</v>
      </c>
    </row>
    <row r="785" spans="1:8" x14ac:dyDescent="0.25">
      <c r="A785" t="s">
        <v>544</v>
      </c>
      <c r="E785" t="str">
        <f t="shared" si="12"/>
        <v>Defender</v>
      </c>
    </row>
    <row r="786" spans="1:8" x14ac:dyDescent="0.25">
      <c r="A786" t="s">
        <v>544</v>
      </c>
      <c r="B786" t="s">
        <v>2415</v>
      </c>
      <c r="C786" t="s">
        <v>2416</v>
      </c>
      <c r="D786" t="s">
        <v>139</v>
      </c>
      <c r="E786" t="str">
        <f t="shared" si="12"/>
        <v>Defender</v>
      </c>
      <c r="F786" t="s">
        <v>2417</v>
      </c>
      <c r="G786" t="s">
        <v>2418</v>
      </c>
      <c r="H786" t="s">
        <v>139</v>
      </c>
    </row>
    <row r="787" spans="1:8" x14ac:dyDescent="0.25">
      <c r="A787" t="s">
        <v>544</v>
      </c>
      <c r="B787" t="s">
        <v>2419</v>
      </c>
      <c r="C787" t="s">
        <v>2420</v>
      </c>
      <c r="D787" t="s">
        <v>139</v>
      </c>
      <c r="E787" t="str">
        <f t="shared" si="12"/>
        <v>Defender</v>
      </c>
      <c r="F787" t="s">
        <v>2421</v>
      </c>
      <c r="G787" t="s">
        <v>2422</v>
      </c>
      <c r="H787" t="s">
        <v>139</v>
      </c>
    </row>
    <row r="788" spans="1:8" x14ac:dyDescent="0.25">
      <c r="A788" t="s">
        <v>544</v>
      </c>
      <c r="B788" t="s">
        <v>2423</v>
      </c>
      <c r="C788" t="s">
        <v>2424</v>
      </c>
      <c r="D788" t="s">
        <v>139</v>
      </c>
      <c r="E788" t="str">
        <f t="shared" si="12"/>
        <v>Defender</v>
      </c>
      <c r="F788" t="s">
        <v>2425</v>
      </c>
      <c r="G788" t="s">
        <v>2426</v>
      </c>
      <c r="H788" t="s">
        <v>139</v>
      </c>
    </row>
    <row r="789" spans="1:8" x14ac:dyDescent="0.25">
      <c r="A789" t="s">
        <v>544</v>
      </c>
      <c r="B789" t="s">
        <v>2427</v>
      </c>
      <c r="C789" t="s">
        <v>2428</v>
      </c>
      <c r="D789" t="s">
        <v>139</v>
      </c>
      <c r="E789" t="str">
        <f t="shared" si="12"/>
        <v>Defender</v>
      </c>
      <c r="F789" t="s">
        <v>2429</v>
      </c>
      <c r="G789" t="s">
        <v>2430</v>
      </c>
      <c r="H789" t="s">
        <v>139</v>
      </c>
    </row>
    <row r="790" spans="1:8" x14ac:dyDescent="0.25">
      <c r="A790" t="s">
        <v>544</v>
      </c>
      <c r="B790" t="s">
        <v>2431</v>
      </c>
      <c r="C790" t="s">
        <v>2432</v>
      </c>
      <c r="D790" t="s">
        <v>139</v>
      </c>
      <c r="E790" t="str">
        <f t="shared" si="12"/>
        <v>Defender</v>
      </c>
    </row>
    <row r="791" spans="1:8" x14ac:dyDescent="0.25">
      <c r="A791" t="s">
        <v>563</v>
      </c>
      <c r="E791" t="str">
        <f t="shared" si="12"/>
        <v>Midfielder</v>
      </c>
    </row>
    <row r="792" spans="1:8" x14ac:dyDescent="0.25">
      <c r="A792" t="s">
        <v>563</v>
      </c>
      <c r="B792" t="s">
        <v>2433</v>
      </c>
      <c r="C792" t="s">
        <v>2434</v>
      </c>
      <c r="D792" t="s">
        <v>139</v>
      </c>
      <c r="E792" t="str">
        <f t="shared" si="12"/>
        <v>Midfielder</v>
      </c>
      <c r="F792" t="s">
        <v>2435</v>
      </c>
      <c r="G792" t="s">
        <v>2436</v>
      </c>
      <c r="H792" t="s">
        <v>139</v>
      </c>
    </row>
    <row r="793" spans="1:8" x14ac:dyDescent="0.25">
      <c r="A793" t="s">
        <v>563</v>
      </c>
      <c r="B793" t="s">
        <v>2437</v>
      </c>
      <c r="C793" t="s">
        <v>2438</v>
      </c>
      <c r="D793" t="s">
        <v>139</v>
      </c>
      <c r="E793" t="str">
        <f t="shared" si="12"/>
        <v>Midfielder</v>
      </c>
      <c r="F793" t="s">
        <v>2439</v>
      </c>
      <c r="G793" t="s">
        <v>2440</v>
      </c>
      <c r="H793" t="s">
        <v>139</v>
      </c>
    </row>
    <row r="794" spans="1:8" x14ac:dyDescent="0.25">
      <c r="A794" t="s">
        <v>563</v>
      </c>
      <c r="B794" t="s">
        <v>2441</v>
      </c>
      <c r="C794" t="s">
        <v>2442</v>
      </c>
      <c r="D794" t="s">
        <v>139</v>
      </c>
      <c r="E794" t="str">
        <f t="shared" si="12"/>
        <v>Midfielder</v>
      </c>
      <c r="F794" t="s">
        <v>2443</v>
      </c>
      <c r="G794" t="s">
        <v>2444</v>
      </c>
      <c r="H794" t="s">
        <v>139</v>
      </c>
    </row>
    <row r="795" spans="1:8" x14ac:dyDescent="0.25">
      <c r="A795" t="s">
        <v>563</v>
      </c>
      <c r="B795" t="s">
        <v>2445</v>
      </c>
      <c r="C795" t="s">
        <v>2446</v>
      </c>
      <c r="D795" t="s">
        <v>139</v>
      </c>
      <c r="E795" t="str">
        <f t="shared" si="12"/>
        <v>Midfielder</v>
      </c>
    </row>
    <row r="796" spans="1:8" x14ac:dyDescent="0.25">
      <c r="A796" t="s">
        <v>578</v>
      </c>
      <c r="E796" t="str">
        <f t="shared" si="12"/>
        <v>Forward</v>
      </c>
    </row>
    <row r="797" spans="1:8" x14ac:dyDescent="0.25">
      <c r="A797" t="s">
        <v>578</v>
      </c>
      <c r="B797" t="s">
        <v>2447</v>
      </c>
      <c r="C797" t="s">
        <v>2448</v>
      </c>
      <c r="D797" t="s">
        <v>139</v>
      </c>
      <c r="E797" t="str">
        <f t="shared" si="12"/>
        <v>Forward</v>
      </c>
      <c r="F797" t="s">
        <v>2449</v>
      </c>
      <c r="G797" t="s">
        <v>2450</v>
      </c>
      <c r="H797" t="s">
        <v>139</v>
      </c>
    </row>
    <row r="798" spans="1:8" x14ac:dyDescent="0.25">
      <c r="A798" t="s">
        <v>578</v>
      </c>
      <c r="B798" t="s">
        <v>2451</v>
      </c>
      <c r="C798" t="s">
        <v>2452</v>
      </c>
      <c r="D798" t="s">
        <v>139</v>
      </c>
      <c r="E798" t="str">
        <f t="shared" si="12"/>
        <v>Forward</v>
      </c>
      <c r="F798" t="s">
        <v>2453</v>
      </c>
      <c r="G798" t="s">
        <v>2454</v>
      </c>
      <c r="H798" t="s">
        <v>139</v>
      </c>
    </row>
    <row r="799" spans="1:8" x14ac:dyDescent="0.25">
      <c r="A799" t="s">
        <v>578</v>
      </c>
      <c r="B799" t="s">
        <v>2455</v>
      </c>
      <c r="C799" t="s">
        <v>2456</v>
      </c>
      <c r="D799" t="s">
        <v>139</v>
      </c>
      <c r="E799" t="str">
        <f t="shared" si="12"/>
        <v>Forward</v>
      </c>
      <c r="F799" t="s">
        <v>2457</v>
      </c>
      <c r="G799" t="s">
        <v>2458</v>
      </c>
      <c r="H799" t="s">
        <v>139</v>
      </c>
    </row>
    <row r="800" spans="1:8" x14ac:dyDescent="0.25">
      <c r="A800" t="s">
        <v>578</v>
      </c>
      <c r="B800" t="s">
        <v>2459</v>
      </c>
      <c r="C800" t="s">
        <v>2460</v>
      </c>
      <c r="D800" t="s">
        <v>139</v>
      </c>
      <c r="E800" t="str">
        <f t="shared" si="12"/>
        <v>Forward</v>
      </c>
    </row>
    <row r="801" spans="1:8" x14ac:dyDescent="0.25">
      <c r="A801" t="s">
        <v>537</v>
      </c>
      <c r="E801" t="str">
        <f t="shared" si="12"/>
        <v>Goalkeeper</v>
      </c>
    </row>
    <row r="802" spans="1:8" x14ac:dyDescent="0.25">
      <c r="A802" t="s">
        <v>537</v>
      </c>
      <c r="B802" t="s">
        <v>2461</v>
      </c>
      <c r="C802" t="s">
        <v>2462</v>
      </c>
      <c r="D802" t="s">
        <v>2463</v>
      </c>
      <c r="E802" t="str">
        <f t="shared" si="12"/>
        <v>Goalkeeper</v>
      </c>
      <c r="F802" t="s">
        <v>2464</v>
      </c>
      <c r="G802" t="s">
        <v>2465</v>
      </c>
      <c r="H802" t="s">
        <v>2463</v>
      </c>
    </row>
    <row r="803" spans="1:8" x14ac:dyDescent="0.25">
      <c r="A803" t="s">
        <v>537</v>
      </c>
      <c r="B803" t="s">
        <v>2466</v>
      </c>
      <c r="C803" t="s">
        <v>2467</v>
      </c>
      <c r="D803" t="s">
        <v>2463</v>
      </c>
      <c r="E803" t="str">
        <f t="shared" si="12"/>
        <v>Goalkeeper</v>
      </c>
    </row>
    <row r="804" spans="1:8" x14ac:dyDescent="0.25">
      <c r="A804" t="s">
        <v>544</v>
      </c>
      <c r="E804" t="str">
        <f t="shared" si="12"/>
        <v>Defender</v>
      </c>
    </row>
    <row r="805" spans="1:8" x14ac:dyDescent="0.25">
      <c r="A805" t="s">
        <v>544</v>
      </c>
      <c r="B805" t="s">
        <v>2468</v>
      </c>
      <c r="C805" t="s">
        <v>2469</v>
      </c>
      <c r="D805" t="s">
        <v>2463</v>
      </c>
      <c r="E805" t="str">
        <f t="shared" si="12"/>
        <v>Defender</v>
      </c>
      <c r="F805" t="s">
        <v>2470</v>
      </c>
      <c r="G805" t="s">
        <v>2471</v>
      </c>
      <c r="H805" t="s">
        <v>2463</v>
      </c>
    </row>
    <row r="806" spans="1:8" x14ac:dyDescent="0.25">
      <c r="A806" t="s">
        <v>544</v>
      </c>
      <c r="B806" t="s">
        <v>2472</v>
      </c>
      <c r="C806" t="s">
        <v>2473</v>
      </c>
      <c r="D806" t="s">
        <v>2463</v>
      </c>
      <c r="E806" t="str">
        <f t="shared" si="12"/>
        <v>Defender</v>
      </c>
      <c r="F806" t="s">
        <v>2474</v>
      </c>
      <c r="G806" t="s">
        <v>2475</v>
      </c>
      <c r="H806" t="s">
        <v>2463</v>
      </c>
    </row>
    <row r="807" spans="1:8" x14ac:dyDescent="0.25">
      <c r="A807" t="s">
        <v>544</v>
      </c>
      <c r="B807" t="s">
        <v>2476</v>
      </c>
      <c r="C807" t="s">
        <v>2477</v>
      </c>
      <c r="D807" t="s">
        <v>2463</v>
      </c>
      <c r="E807" t="str">
        <f t="shared" si="12"/>
        <v>Defender</v>
      </c>
      <c r="F807" t="s">
        <v>2478</v>
      </c>
      <c r="G807" t="s">
        <v>2479</v>
      </c>
      <c r="H807" t="s">
        <v>2463</v>
      </c>
    </row>
    <row r="808" spans="1:8" x14ac:dyDescent="0.25">
      <c r="A808" t="s">
        <v>544</v>
      </c>
      <c r="B808" t="s">
        <v>2480</v>
      </c>
      <c r="C808" t="s">
        <v>2481</v>
      </c>
      <c r="D808" t="s">
        <v>2463</v>
      </c>
      <c r="E808" t="str">
        <f t="shared" si="12"/>
        <v>Defender</v>
      </c>
      <c r="F808" t="s">
        <v>2482</v>
      </c>
      <c r="G808" t="s">
        <v>2483</v>
      </c>
      <c r="H808" t="s">
        <v>2463</v>
      </c>
    </row>
    <row r="809" spans="1:8" x14ac:dyDescent="0.25">
      <c r="A809" t="s">
        <v>544</v>
      </c>
      <c r="B809" t="s">
        <v>2484</v>
      </c>
      <c r="C809" t="s">
        <v>2485</v>
      </c>
      <c r="D809" t="s">
        <v>2463</v>
      </c>
      <c r="E809" t="str">
        <f t="shared" si="12"/>
        <v>Defender</v>
      </c>
      <c r="F809" t="s">
        <v>2486</v>
      </c>
      <c r="G809" t="s">
        <v>2487</v>
      </c>
      <c r="H809" t="s">
        <v>2463</v>
      </c>
    </row>
    <row r="810" spans="1:8" x14ac:dyDescent="0.25">
      <c r="A810" t="s">
        <v>563</v>
      </c>
      <c r="E810" t="str">
        <f t="shared" si="12"/>
        <v>Midfielder</v>
      </c>
    </row>
    <row r="811" spans="1:8" x14ac:dyDescent="0.25">
      <c r="A811" t="s">
        <v>563</v>
      </c>
      <c r="B811" t="s">
        <v>2488</v>
      </c>
      <c r="C811" t="s">
        <v>2489</v>
      </c>
      <c r="D811" t="s">
        <v>2463</v>
      </c>
      <c r="E811" t="str">
        <f t="shared" si="12"/>
        <v>Midfielder</v>
      </c>
      <c r="F811" t="s">
        <v>2490</v>
      </c>
      <c r="G811" t="s">
        <v>2491</v>
      </c>
      <c r="H811" t="s">
        <v>2463</v>
      </c>
    </row>
    <row r="812" spans="1:8" x14ac:dyDescent="0.25">
      <c r="A812" t="s">
        <v>563</v>
      </c>
      <c r="B812" t="s">
        <v>2492</v>
      </c>
      <c r="C812" t="s">
        <v>2493</v>
      </c>
      <c r="D812" t="s">
        <v>2463</v>
      </c>
      <c r="E812" t="str">
        <f t="shared" si="12"/>
        <v>Midfielder</v>
      </c>
      <c r="F812" t="s">
        <v>2494</v>
      </c>
      <c r="G812" t="s">
        <v>2495</v>
      </c>
      <c r="H812" t="s">
        <v>2463</v>
      </c>
    </row>
    <row r="813" spans="1:8" x14ac:dyDescent="0.25">
      <c r="A813" t="s">
        <v>563</v>
      </c>
      <c r="B813" t="s">
        <v>2496</v>
      </c>
      <c r="C813" t="s">
        <v>434</v>
      </c>
      <c r="D813" t="s">
        <v>2463</v>
      </c>
      <c r="E813" t="str">
        <f t="shared" si="12"/>
        <v>Midfielder</v>
      </c>
      <c r="F813" t="s">
        <v>2497</v>
      </c>
      <c r="G813" t="s">
        <v>2498</v>
      </c>
      <c r="H813" t="s">
        <v>2463</v>
      </c>
    </row>
    <row r="814" spans="1:8" x14ac:dyDescent="0.25">
      <c r="A814" t="s">
        <v>563</v>
      </c>
      <c r="B814" t="s">
        <v>2499</v>
      </c>
      <c r="C814" t="s">
        <v>2500</v>
      </c>
      <c r="D814" t="s">
        <v>2463</v>
      </c>
      <c r="E814" t="str">
        <f t="shared" si="12"/>
        <v>Midfielder</v>
      </c>
    </row>
    <row r="815" spans="1:8" x14ac:dyDescent="0.25">
      <c r="A815" t="s">
        <v>578</v>
      </c>
      <c r="E815" t="str">
        <f t="shared" si="12"/>
        <v>Forward</v>
      </c>
    </row>
    <row r="816" spans="1:8" x14ac:dyDescent="0.25">
      <c r="A816" t="s">
        <v>578</v>
      </c>
      <c r="B816" t="s">
        <v>2501</v>
      </c>
      <c r="C816" t="s">
        <v>2502</v>
      </c>
      <c r="D816" t="s">
        <v>2463</v>
      </c>
      <c r="E816" t="str">
        <f t="shared" si="12"/>
        <v>Forward</v>
      </c>
      <c r="F816" t="s">
        <v>2503</v>
      </c>
      <c r="G816" t="s">
        <v>2504</v>
      </c>
      <c r="H816" t="s">
        <v>2463</v>
      </c>
    </row>
    <row r="817" spans="1:8" x14ac:dyDescent="0.25">
      <c r="A817" t="s">
        <v>578</v>
      </c>
      <c r="B817" t="s">
        <v>2505</v>
      </c>
      <c r="C817" t="s">
        <v>2506</v>
      </c>
      <c r="D817" t="s">
        <v>2463</v>
      </c>
      <c r="E817" t="str">
        <f t="shared" si="12"/>
        <v>Forward</v>
      </c>
      <c r="F817" t="s">
        <v>2507</v>
      </c>
      <c r="G817" t="s">
        <v>2508</v>
      </c>
      <c r="H817" t="s">
        <v>2463</v>
      </c>
    </row>
    <row r="818" spans="1:8" x14ac:dyDescent="0.25">
      <c r="A818" t="s">
        <v>578</v>
      </c>
      <c r="B818" t="s">
        <v>2509</v>
      </c>
      <c r="C818" t="s">
        <v>2510</v>
      </c>
      <c r="D818" t="s">
        <v>2463</v>
      </c>
      <c r="E818" t="str">
        <f t="shared" si="12"/>
        <v>Forward</v>
      </c>
      <c r="F818" t="s">
        <v>2511</v>
      </c>
      <c r="G818" t="s">
        <v>2512</v>
      </c>
      <c r="H818" t="s">
        <v>2463</v>
      </c>
    </row>
    <row r="819" spans="1:8" x14ac:dyDescent="0.25">
      <c r="A819" t="s">
        <v>537</v>
      </c>
      <c r="E819" t="str">
        <f t="shared" si="12"/>
        <v>Goalkeeper</v>
      </c>
    </row>
    <row r="820" spans="1:8" x14ac:dyDescent="0.25">
      <c r="A820" t="s">
        <v>537</v>
      </c>
      <c r="B820" t="s">
        <v>2513</v>
      </c>
      <c r="C820" t="s">
        <v>2514</v>
      </c>
      <c r="D820" t="s">
        <v>2515</v>
      </c>
      <c r="E820" t="str">
        <f t="shared" si="12"/>
        <v>Goalkeeper</v>
      </c>
      <c r="F820" t="s">
        <v>2516</v>
      </c>
      <c r="G820" t="s">
        <v>2517</v>
      </c>
      <c r="H820" t="s">
        <v>2515</v>
      </c>
    </row>
    <row r="821" spans="1:8" x14ac:dyDescent="0.25">
      <c r="A821" t="s">
        <v>537</v>
      </c>
      <c r="B821" t="s">
        <v>2518</v>
      </c>
      <c r="C821" t="s">
        <v>513</v>
      </c>
      <c r="D821" t="s">
        <v>2515</v>
      </c>
      <c r="E821" t="str">
        <f t="shared" si="12"/>
        <v>Goalkeeper</v>
      </c>
    </row>
    <row r="822" spans="1:8" x14ac:dyDescent="0.25">
      <c r="A822" t="s">
        <v>544</v>
      </c>
      <c r="E822" t="str">
        <f t="shared" si="12"/>
        <v>Defender</v>
      </c>
    </row>
    <row r="823" spans="1:8" x14ac:dyDescent="0.25">
      <c r="A823" t="s">
        <v>544</v>
      </c>
      <c r="B823" t="s">
        <v>2519</v>
      </c>
      <c r="C823" t="s">
        <v>2520</v>
      </c>
      <c r="D823" t="s">
        <v>2515</v>
      </c>
      <c r="E823" t="str">
        <f t="shared" si="12"/>
        <v>Defender</v>
      </c>
      <c r="F823" t="s">
        <v>2521</v>
      </c>
      <c r="G823" t="s">
        <v>2522</v>
      </c>
      <c r="H823" t="s">
        <v>2515</v>
      </c>
    </row>
    <row r="824" spans="1:8" x14ac:dyDescent="0.25">
      <c r="A824" t="s">
        <v>544</v>
      </c>
      <c r="B824" t="s">
        <v>2523</v>
      </c>
      <c r="C824" t="s">
        <v>2524</v>
      </c>
      <c r="D824" t="s">
        <v>2515</v>
      </c>
      <c r="E824" t="str">
        <f t="shared" si="12"/>
        <v>Defender</v>
      </c>
      <c r="F824" t="s">
        <v>2525</v>
      </c>
      <c r="G824" t="s">
        <v>2526</v>
      </c>
      <c r="H824" t="s">
        <v>2515</v>
      </c>
    </row>
    <row r="825" spans="1:8" x14ac:dyDescent="0.25">
      <c r="A825" t="s">
        <v>544</v>
      </c>
      <c r="B825" t="s">
        <v>2527</v>
      </c>
      <c r="C825" t="s">
        <v>456</v>
      </c>
      <c r="D825" t="s">
        <v>2515</v>
      </c>
      <c r="E825" t="str">
        <f t="shared" si="12"/>
        <v>Defender</v>
      </c>
      <c r="F825" t="s">
        <v>2528</v>
      </c>
      <c r="G825" t="s">
        <v>2529</v>
      </c>
      <c r="H825" t="s">
        <v>2515</v>
      </c>
    </row>
    <row r="826" spans="1:8" x14ac:dyDescent="0.25">
      <c r="A826" t="s">
        <v>544</v>
      </c>
      <c r="B826" t="s">
        <v>2530</v>
      </c>
      <c r="C826" t="s">
        <v>2531</v>
      </c>
      <c r="D826" t="s">
        <v>2515</v>
      </c>
      <c r="E826" t="str">
        <f t="shared" si="12"/>
        <v>Defender</v>
      </c>
      <c r="F826" t="s">
        <v>2532</v>
      </c>
      <c r="G826" t="s">
        <v>2533</v>
      </c>
      <c r="H826" t="s">
        <v>2515</v>
      </c>
    </row>
    <row r="827" spans="1:8" x14ac:dyDescent="0.25">
      <c r="A827" t="s">
        <v>544</v>
      </c>
      <c r="B827" t="s">
        <v>2534</v>
      </c>
      <c r="C827" t="s">
        <v>2535</v>
      </c>
      <c r="D827" t="s">
        <v>2515</v>
      </c>
      <c r="E827" t="str">
        <f t="shared" si="12"/>
        <v>Defender</v>
      </c>
    </row>
    <row r="828" spans="1:8" x14ac:dyDescent="0.25">
      <c r="A828" t="s">
        <v>563</v>
      </c>
      <c r="E828" t="str">
        <f t="shared" si="12"/>
        <v>Midfielder</v>
      </c>
    </row>
    <row r="829" spans="1:8" x14ac:dyDescent="0.25">
      <c r="A829" t="s">
        <v>563</v>
      </c>
      <c r="B829" t="s">
        <v>2536</v>
      </c>
      <c r="C829" t="s">
        <v>2537</v>
      </c>
      <c r="D829" t="s">
        <v>2515</v>
      </c>
      <c r="E829" t="str">
        <f t="shared" si="12"/>
        <v>Midfielder</v>
      </c>
      <c r="F829" t="s">
        <v>2538</v>
      </c>
      <c r="G829" t="s">
        <v>2539</v>
      </c>
      <c r="H829" t="s">
        <v>2515</v>
      </c>
    </row>
    <row r="830" spans="1:8" x14ac:dyDescent="0.25">
      <c r="A830" t="s">
        <v>563</v>
      </c>
      <c r="B830" t="s">
        <v>2540</v>
      </c>
      <c r="C830" t="s">
        <v>2541</v>
      </c>
      <c r="D830" t="s">
        <v>2515</v>
      </c>
      <c r="E830" t="str">
        <f t="shared" si="12"/>
        <v>Midfielder</v>
      </c>
      <c r="F830" t="s">
        <v>2542</v>
      </c>
      <c r="G830" t="s">
        <v>2543</v>
      </c>
      <c r="H830" t="s">
        <v>2515</v>
      </c>
    </row>
    <row r="831" spans="1:8" x14ac:dyDescent="0.25">
      <c r="A831" t="s">
        <v>563</v>
      </c>
      <c r="B831" t="s">
        <v>2544</v>
      </c>
      <c r="C831" t="s">
        <v>2545</v>
      </c>
      <c r="D831" t="s">
        <v>2515</v>
      </c>
      <c r="E831" t="str">
        <f t="shared" si="12"/>
        <v>Midfielder</v>
      </c>
      <c r="F831" t="s">
        <v>2546</v>
      </c>
      <c r="G831" t="s">
        <v>2547</v>
      </c>
      <c r="H831" t="s">
        <v>2515</v>
      </c>
    </row>
    <row r="832" spans="1:8" x14ac:dyDescent="0.25">
      <c r="A832" t="s">
        <v>563</v>
      </c>
      <c r="B832" t="s">
        <v>2548</v>
      </c>
      <c r="C832" t="s">
        <v>386</v>
      </c>
      <c r="D832" t="s">
        <v>2515</v>
      </c>
      <c r="E832" t="str">
        <f t="shared" si="12"/>
        <v>Midfielder</v>
      </c>
      <c r="F832" t="s">
        <v>2549</v>
      </c>
      <c r="G832" t="s">
        <v>2550</v>
      </c>
      <c r="H832" t="s">
        <v>2515</v>
      </c>
    </row>
    <row r="833" spans="1:8" x14ac:dyDescent="0.25">
      <c r="A833" t="s">
        <v>563</v>
      </c>
      <c r="B833" t="s">
        <v>2551</v>
      </c>
      <c r="C833" t="s">
        <v>2552</v>
      </c>
      <c r="D833" t="s">
        <v>2515</v>
      </c>
      <c r="E833" t="str">
        <f t="shared" si="12"/>
        <v>Midfielder</v>
      </c>
    </row>
    <row r="834" spans="1:8" x14ac:dyDescent="0.25">
      <c r="A834" t="s">
        <v>578</v>
      </c>
      <c r="E834" t="str">
        <f t="shared" si="12"/>
        <v>Forward</v>
      </c>
    </row>
    <row r="835" spans="1:8" x14ac:dyDescent="0.25">
      <c r="A835" t="s">
        <v>578</v>
      </c>
      <c r="B835" t="s">
        <v>2553</v>
      </c>
      <c r="C835" t="s">
        <v>2554</v>
      </c>
      <c r="D835" t="s">
        <v>2515</v>
      </c>
      <c r="E835" t="str">
        <f t="shared" ref="E835:E874" si="13">A835</f>
        <v>Forward</v>
      </c>
      <c r="F835" t="s">
        <v>2555</v>
      </c>
      <c r="G835" t="s">
        <v>2556</v>
      </c>
      <c r="H835" t="s">
        <v>2515</v>
      </c>
    </row>
    <row r="836" spans="1:8" x14ac:dyDescent="0.25">
      <c r="A836" t="s">
        <v>578</v>
      </c>
      <c r="B836" t="s">
        <v>2557</v>
      </c>
      <c r="C836" t="s">
        <v>2558</v>
      </c>
      <c r="D836" t="s">
        <v>2515</v>
      </c>
      <c r="E836" t="str">
        <f t="shared" si="13"/>
        <v>Forward</v>
      </c>
      <c r="F836" t="s">
        <v>2559</v>
      </c>
      <c r="G836" t="s">
        <v>2560</v>
      </c>
      <c r="H836" t="s">
        <v>2515</v>
      </c>
    </row>
    <row r="837" spans="1:8" x14ac:dyDescent="0.25">
      <c r="A837" t="s">
        <v>578</v>
      </c>
      <c r="B837" t="s">
        <v>2561</v>
      </c>
      <c r="C837" t="s">
        <v>2562</v>
      </c>
      <c r="D837" t="s">
        <v>2515</v>
      </c>
      <c r="E837" t="str">
        <f t="shared" si="13"/>
        <v>Forward</v>
      </c>
    </row>
    <row r="838" spans="1:8" x14ac:dyDescent="0.25">
      <c r="A838" t="s">
        <v>537</v>
      </c>
      <c r="E838" t="str">
        <f t="shared" si="13"/>
        <v>Goalkeeper</v>
      </c>
    </row>
    <row r="839" spans="1:8" x14ac:dyDescent="0.25">
      <c r="A839" t="s">
        <v>537</v>
      </c>
      <c r="B839" t="s">
        <v>2563</v>
      </c>
      <c r="C839" t="s">
        <v>2564</v>
      </c>
      <c r="D839" t="s">
        <v>122</v>
      </c>
      <c r="E839" t="str">
        <f t="shared" si="13"/>
        <v>Goalkeeper</v>
      </c>
      <c r="F839" t="s">
        <v>2565</v>
      </c>
      <c r="G839" t="s">
        <v>2566</v>
      </c>
      <c r="H839" t="s">
        <v>122</v>
      </c>
    </row>
    <row r="840" spans="1:8" x14ac:dyDescent="0.25">
      <c r="A840" t="s">
        <v>537</v>
      </c>
      <c r="B840" t="s">
        <v>2567</v>
      </c>
      <c r="C840" t="s">
        <v>2568</v>
      </c>
      <c r="D840" t="s">
        <v>122</v>
      </c>
      <c r="E840" t="str">
        <f t="shared" si="13"/>
        <v>Goalkeeper</v>
      </c>
    </row>
    <row r="841" spans="1:8" x14ac:dyDescent="0.25">
      <c r="A841" t="s">
        <v>544</v>
      </c>
      <c r="E841" t="str">
        <f t="shared" si="13"/>
        <v>Defender</v>
      </c>
    </row>
    <row r="842" spans="1:8" x14ac:dyDescent="0.25">
      <c r="A842" t="s">
        <v>544</v>
      </c>
      <c r="B842" t="s">
        <v>2569</v>
      </c>
      <c r="C842" t="s">
        <v>2570</v>
      </c>
      <c r="D842" t="s">
        <v>122</v>
      </c>
      <c r="E842" t="str">
        <f t="shared" si="13"/>
        <v>Defender</v>
      </c>
      <c r="F842" t="s">
        <v>2571</v>
      </c>
      <c r="G842" t="s">
        <v>2572</v>
      </c>
      <c r="H842" t="s">
        <v>122</v>
      </c>
    </row>
    <row r="843" spans="1:8" x14ac:dyDescent="0.25">
      <c r="A843" t="s">
        <v>544</v>
      </c>
      <c r="B843" t="s">
        <v>2573</v>
      </c>
      <c r="C843" t="s">
        <v>2574</v>
      </c>
      <c r="D843" t="s">
        <v>122</v>
      </c>
      <c r="E843" t="str">
        <f t="shared" si="13"/>
        <v>Defender</v>
      </c>
      <c r="F843" t="s">
        <v>2575</v>
      </c>
      <c r="G843" t="s">
        <v>2576</v>
      </c>
      <c r="H843" t="s">
        <v>122</v>
      </c>
    </row>
    <row r="844" spans="1:8" x14ac:dyDescent="0.25">
      <c r="A844" t="s">
        <v>544</v>
      </c>
      <c r="B844" t="s">
        <v>2577</v>
      </c>
      <c r="C844" t="s">
        <v>2578</v>
      </c>
      <c r="D844" t="s">
        <v>122</v>
      </c>
      <c r="E844" t="str">
        <f t="shared" si="13"/>
        <v>Defender</v>
      </c>
      <c r="F844" t="s">
        <v>2579</v>
      </c>
      <c r="G844" t="s">
        <v>2580</v>
      </c>
      <c r="H844" t="s">
        <v>122</v>
      </c>
    </row>
    <row r="845" spans="1:8" x14ac:dyDescent="0.25">
      <c r="A845" t="s">
        <v>544</v>
      </c>
      <c r="B845" t="s">
        <v>2581</v>
      </c>
      <c r="C845" t="s">
        <v>2582</v>
      </c>
      <c r="D845" t="s">
        <v>122</v>
      </c>
      <c r="E845" t="str">
        <f t="shared" si="13"/>
        <v>Defender</v>
      </c>
      <c r="F845" t="s">
        <v>2583</v>
      </c>
      <c r="G845" t="s">
        <v>2584</v>
      </c>
      <c r="H845" t="s">
        <v>122</v>
      </c>
    </row>
    <row r="846" spans="1:8" x14ac:dyDescent="0.25">
      <c r="A846" t="s">
        <v>563</v>
      </c>
      <c r="E846" t="str">
        <f t="shared" si="13"/>
        <v>Midfielder</v>
      </c>
    </row>
    <row r="847" spans="1:8" x14ac:dyDescent="0.25">
      <c r="A847" t="s">
        <v>563</v>
      </c>
      <c r="B847" t="s">
        <v>2585</v>
      </c>
      <c r="C847" t="s">
        <v>2586</v>
      </c>
      <c r="D847" t="s">
        <v>122</v>
      </c>
      <c r="E847" t="str">
        <f t="shared" si="13"/>
        <v>Midfielder</v>
      </c>
      <c r="F847" t="s">
        <v>2587</v>
      </c>
      <c r="G847" t="s">
        <v>2588</v>
      </c>
      <c r="H847" t="s">
        <v>122</v>
      </c>
    </row>
    <row r="848" spans="1:8" x14ac:dyDescent="0.25">
      <c r="A848" t="s">
        <v>563</v>
      </c>
      <c r="B848" t="s">
        <v>2589</v>
      </c>
      <c r="C848" t="s">
        <v>2590</v>
      </c>
      <c r="D848" t="s">
        <v>122</v>
      </c>
      <c r="E848" t="str">
        <f t="shared" si="13"/>
        <v>Midfielder</v>
      </c>
      <c r="F848" t="s">
        <v>2591</v>
      </c>
      <c r="G848" t="s">
        <v>340</v>
      </c>
      <c r="H848" t="s">
        <v>122</v>
      </c>
    </row>
    <row r="849" spans="1:8" x14ac:dyDescent="0.25">
      <c r="A849" t="s">
        <v>563</v>
      </c>
      <c r="B849" t="s">
        <v>2592</v>
      </c>
      <c r="C849" t="s">
        <v>2593</v>
      </c>
      <c r="D849" t="s">
        <v>122</v>
      </c>
      <c r="E849" t="str">
        <f t="shared" si="13"/>
        <v>Midfielder</v>
      </c>
      <c r="F849" t="s">
        <v>2594</v>
      </c>
      <c r="G849" t="s">
        <v>2595</v>
      </c>
      <c r="H849" t="s">
        <v>122</v>
      </c>
    </row>
    <row r="850" spans="1:8" x14ac:dyDescent="0.25">
      <c r="A850" t="s">
        <v>563</v>
      </c>
      <c r="B850" t="s">
        <v>2596</v>
      </c>
      <c r="C850" t="s">
        <v>388</v>
      </c>
      <c r="D850" t="s">
        <v>122</v>
      </c>
      <c r="E850" t="str">
        <f t="shared" si="13"/>
        <v>Midfielder</v>
      </c>
      <c r="F850" t="s">
        <v>2597</v>
      </c>
      <c r="G850" t="s">
        <v>2598</v>
      </c>
      <c r="H850" t="s">
        <v>122</v>
      </c>
    </row>
    <row r="851" spans="1:8" x14ac:dyDescent="0.25">
      <c r="A851" t="s">
        <v>563</v>
      </c>
      <c r="B851" t="s">
        <v>2599</v>
      </c>
      <c r="C851" t="s">
        <v>2600</v>
      </c>
      <c r="D851" t="s">
        <v>122</v>
      </c>
      <c r="E851" t="str">
        <f t="shared" si="13"/>
        <v>Midfielder</v>
      </c>
      <c r="F851" t="s">
        <v>2601</v>
      </c>
      <c r="G851" t="s">
        <v>2602</v>
      </c>
      <c r="H851" t="s">
        <v>122</v>
      </c>
    </row>
    <row r="852" spans="1:8" x14ac:dyDescent="0.25">
      <c r="A852" t="s">
        <v>578</v>
      </c>
      <c r="E852" t="str">
        <f t="shared" si="13"/>
        <v>Forward</v>
      </c>
    </row>
    <row r="853" spans="1:8" x14ac:dyDescent="0.25">
      <c r="A853" t="s">
        <v>578</v>
      </c>
      <c r="B853" t="s">
        <v>2603</v>
      </c>
      <c r="C853" t="s">
        <v>414</v>
      </c>
      <c r="D853" t="s">
        <v>122</v>
      </c>
      <c r="E853" t="str">
        <f t="shared" si="13"/>
        <v>Forward</v>
      </c>
      <c r="F853" t="s">
        <v>2604</v>
      </c>
      <c r="G853" t="s">
        <v>2605</v>
      </c>
      <c r="H853" t="s">
        <v>122</v>
      </c>
    </row>
    <row r="854" spans="1:8" x14ac:dyDescent="0.25">
      <c r="A854" t="s">
        <v>578</v>
      </c>
      <c r="B854" t="s">
        <v>2606</v>
      </c>
      <c r="C854" t="s">
        <v>2607</v>
      </c>
      <c r="D854" t="s">
        <v>122</v>
      </c>
      <c r="E854" t="str">
        <f t="shared" si="13"/>
        <v>Forward</v>
      </c>
      <c r="F854" t="s">
        <v>2608</v>
      </c>
      <c r="G854" t="s">
        <v>2609</v>
      </c>
      <c r="H854" t="s">
        <v>122</v>
      </c>
    </row>
    <row r="855" spans="1:8" x14ac:dyDescent="0.25">
      <c r="A855" t="s">
        <v>578</v>
      </c>
      <c r="B855" t="s">
        <v>2610</v>
      </c>
      <c r="C855" t="s">
        <v>2611</v>
      </c>
      <c r="D855" t="s">
        <v>122</v>
      </c>
      <c r="E855" t="str">
        <f t="shared" si="13"/>
        <v>Forward</v>
      </c>
    </row>
    <row r="856" spans="1:8" x14ac:dyDescent="0.25">
      <c r="A856" t="s">
        <v>537</v>
      </c>
      <c r="E856" t="str">
        <f t="shared" si="13"/>
        <v>Goalkeeper</v>
      </c>
    </row>
    <row r="857" spans="1:8" x14ac:dyDescent="0.25">
      <c r="A857" t="s">
        <v>537</v>
      </c>
      <c r="B857" t="s">
        <v>2612</v>
      </c>
      <c r="C857" t="s">
        <v>2613</v>
      </c>
      <c r="D857" t="s">
        <v>97</v>
      </c>
      <c r="E857" t="str">
        <f t="shared" si="13"/>
        <v>Goalkeeper</v>
      </c>
      <c r="F857" t="s">
        <v>2614</v>
      </c>
      <c r="G857" t="s">
        <v>2615</v>
      </c>
      <c r="H857" t="s">
        <v>97</v>
      </c>
    </row>
    <row r="858" spans="1:8" x14ac:dyDescent="0.25">
      <c r="A858" t="s">
        <v>537</v>
      </c>
      <c r="B858" t="s">
        <v>2616</v>
      </c>
      <c r="C858" t="s">
        <v>2617</v>
      </c>
      <c r="D858" t="s">
        <v>97</v>
      </c>
      <c r="E858" t="str">
        <f t="shared" si="13"/>
        <v>Goalkeeper</v>
      </c>
    </row>
    <row r="859" spans="1:8" x14ac:dyDescent="0.25">
      <c r="A859" t="s">
        <v>544</v>
      </c>
      <c r="E859" t="str">
        <f t="shared" si="13"/>
        <v>Defender</v>
      </c>
    </row>
    <row r="860" spans="1:8" x14ac:dyDescent="0.25">
      <c r="A860" t="s">
        <v>544</v>
      </c>
      <c r="B860" t="s">
        <v>2618</v>
      </c>
      <c r="C860" t="s">
        <v>2619</v>
      </c>
      <c r="D860" t="s">
        <v>97</v>
      </c>
      <c r="E860" t="str">
        <f t="shared" si="13"/>
        <v>Defender</v>
      </c>
      <c r="F860" t="s">
        <v>2620</v>
      </c>
      <c r="G860" t="s">
        <v>2621</v>
      </c>
      <c r="H860" t="s">
        <v>97</v>
      </c>
    </row>
    <row r="861" spans="1:8" x14ac:dyDescent="0.25">
      <c r="A861" t="s">
        <v>544</v>
      </c>
      <c r="B861" t="s">
        <v>2622</v>
      </c>
      <c r="C861" t="s">
        <v>2623</v>
      </c>
      <c r="D861" t="s">
        <v>97</v>
      </c>
      <c r="E861" t="str">
        <f t="shared" si="13"/>
        <v>Defender</v>
      </c>
      <c r="F861" t="s">
        <v>2624</v>
      </c>
      <c r="G861" t="s">
        <v>2625</v>
      </c>
      <c r="H861" t="s">
        <v>97</v>
      </c>
    </row>
    <row r="862" spans="1:8" x14ac:dyDescent="0.25">
      <c r="A862" t="s">
        <v>544</v>
      </c>
      <c r="B862" t="s">
        <v>2626</v>
      </c>
      <c r="C862" t="s">
        <v>2627</v>
      </c>
      <c r="D862" t="s">
        <v>97</v>
      </c>
      <c r="E862" t="str">
        <f t="shared" si="13"/>
        <v>Defender</v>
      </c>
      <c r="F862" t="s">
        <v>2628</v>
      </c>
      <c r="G862" t="s">
        <v>2629</v>
      </c>
      <c r="H862" t="s">
        <v>97</v>
      </c>
    </row>
    <row r="863" spans="1:8" x14ac:dyDescent="0.25">
      <c r="A863" t="s">
        <v>544</v>
      </c>
      <c r="B863" t="s">
        <v>2630</v>
      </c>
      <c r="C863" t="s">
        <v>2631</v>
      </c>
      <c r="D863" t="s">
        <v>97</v>
      </c>
      <c r="E863" t="str">
        <f t="shared" si="13"/>
        <v>Defender</v>
      </c>
      <c r="F863" t="s">
        <v>2632</v>
      </c>
      <c r="G863" t="s">
        <v>2633</v>
      </c>
      <c r="H863" t="s">
        <v>97</v>
      </c>
    </row>
    <row r="864" spans="1:8" x14ac:dyDescent="0.25">
      <c r="A864" t="s">
        <v>544</v>
      </c>
      <c r="B864" t="s">
        <v>2634</v>
      </c>
      <c r="C864" t="s">
        <v>2635</v>
      </c>
      <c r="D864" t="s">
        <v>97</v>
      </c>
      <c r="E864" t="str">
        <f t="shared" si="13"/>
        <v>Defender</v>
      </c>
    </row>
    <row r="865" spans="1:8" x14ac:dyDescent="0.25">
      <c r="A865" t="s">
        <v>563</v>
      </c>
      <c r="E865" t="str">
        <f t="shared" si="13"/>
        <v>Midfielder</v>
      </c>
    </row>
    <row r="866" spans="1:8" x14ac:dyDescent="0.25">
      <c r="A866" t="s">
        <v>563</v>
      </c>
      <c r="B866" t="s">
        <v>2636</v>
      </c>
      <c r="C866" t="s">
        <v>2637</v>
      </c>
      <c r="D866" t="s">
        <v>97</v>
      </c>
      <c r="E866" t="str">
        <f t="shared" si="13"/>
        <v>Midfielder</v>
      </c>
      <c r="F866" t="s">
        <v>2638</v>
      </c>
      <c r="G866" t="s">
        <v>2639</v>
      </c>
      <c r="H866" t="s">
        <v>97</v>
      </c>
    </row>
    <row r="867" spans="1:8" x14ac:dyDescent="0.25">
      <c r="A867" t="s">
        <v>563</v>
      </c>
      <c r="B867" t="s">
        <v>2640</v>
      </c>
      <c r="C867" t="s">
        <v>2641</v>
      </c>
      <c r="D867" t="s">
        <v>97</v>
      </c>
      <c r="E867" t="str">
        <f t="shared" si="13"/>
        <v>Midfielder</v>
      </c>
      <c r="F867" t="s">
        <v>2642</v>
      </c>
      <c r="G867" t="s">
        <v>2643</v>
      </c>
      <c r="H867" t="s">
        <v>97</v>
      </c>
    </row>
    <row r="868" spans="1:8" x14ac:dyDescent="0.25">
      <c r="A868" t="s">
        <v>563</v>
      </c>
      <c r="B868" t="s">
        <v>2644</v>
      </c>
      <c r="C868" t="s">
        <v>2645</v>
      </c>
      <c r="D868" t="s">
        <v>97</v>
      </c>
      <c r="E868" t="str">
        <f t="shared" si="13"/>
        <v>Midfielder</v>
      </c>
      <c r="F868" t="s">
        <v>2646</v>
      </c>
      <c r="G868" t="s">
        <v>2647</v>
      </c>
      <c r="H868" t="s">
        <v>97</v>
      </c>
    </row>
    <row r="869" spans="1:8" x14ac:dyDescent="0.25">
      <c r="A869" t="s">
        <v>563</v>
      </c>
      <c r="B869" t="s">
        <v>2648</v>
      </c>
      <c r="C869" t="s">
        <v>2649</v>
      </c>
      <c r="D869" t="s">
        <v>97</v>
      </c>
      <c r="E869" t="str">
        <f t="shared" si="13"/>
        <v>Midfielder</v>
      </c>
      <c r="F869" t="s">
        <v>2650</v>
      </c>
      <c r="G869" t="s">
        <v>2651</v>
      </c>
      <c r="H869" t="s">
        <v>97</v>
      </c>
    </row>
    <row r="870" spans="1:8" x14ac:dyDescent="0.25">
      <c r="A870" t="s">
        <v>563</v>
      </c>
      <c r="B870" t="s">
        <v>2652</v>
      </c>
      <c r="C870" t="s">
        <v>2653</v>
      </c>
      <c r="D870" t="s">
        <v>97</v>
      </c>
      <c r="E870" t="str">
        <f t="shared" si="13"/>
        <v>Midfielder</v>
      </c>
      <c r="F870" t="s">
        <v>2654</v>
      </c>
      <c r="G870" t="s">
        <v>2655</v>
      </c>
      <c r="H870" t="s">
        <v>97</v>
      </c>
    </row>
    <row r="871" spans="1:8" x14ac:dyDescent="0.25">
      <c r="A871" t="s">
        <v>563</v>
      </c>
      <c r="B871" t="s">
        <v>2656</v>
      </c>
      <c r="C871" t="s">
        <v>2657</v>
      </c>
      <c r="D871" t="s">
        <v>97</v>
      </c>
      <c r="E871" t="str">
        <f t="shared" si="13"/>
        <v>Midfielder</v>
      </c>
    </row>
    <row r="872" spans="1:8" x14ac:dyDescent="0.25">
      <c r="A872" t="s">
        <v>578</v>
      </c>
      <c r="E872" t="str">
        <f t="shared" si="13"/>
        <v>Forward</v>
      </c>
    </row>
    <row r="873" spans="1:8" x14ac:dyDescent="0.25">
      <c r="A873" t="s">
        <v>578</v>
      </c>
      <c r="B873" t="s">
        <v>2658</v>
      </c>
      <c r="C873" t="s">
        <v>2659</v>
      </c>
      <c r="D873" t="s">
        <v>97</v>
      </c>
      <c r="E873" t="str">
        <f t="shared" si="13"/>
        <v>Forward</v>
      </c>
      <c r="F873" t="s">
        <v>2660</v>
      </c>
      <c r="G873" t="s">
        <v>2661</v>
      </c>
      <c r="H873" t="s">
        <v>97</v>
      </c>
    </row>
    <row r="874" spans="1:8" x14ac:dyDescent="0.25">
      <c r="A874" t="s">
        <v>578</v>
      </c>
      <c r="B874" t="s">
        <v>2662</v>
      </c>
      <c r="C874" t="s">
        <v>2663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42578125" style="3" customWidth="1"/>
    <col min="3" max="3" width="5" style="3" customWidth="1"/>
    <col min="4" max="4" width="10.5703125" style="3" bestFit="1" customWidth="1"/>
    <col min="5" max="5" width="1.28515625" style="3" customWidth="1"/>
    <col min="6" max="6" width="15.42578125" style="3" customWidth="1"/>
    <col min="7" max="7" width="5" style="3" customWidth="1"/>
    <col min="8" max="8" width="10.5703125" style="3" bestFit="1" customWidth="1"/>
    <col min="9" max="9" width="1.28515625" style="3" customWidth="1"/>
    <col min="10" max="10" width="15.42578125" style="3" customWidth="1"/>
    <col min="11" max="11" width="5" style="3" customWidth="1"/>
    <col min="12" max="12" width="10.5703125" style="3" bestFit="1" customWidth="1"/>
    <col min="13" max="13" width="1.28515625" style="3" customWidth="1"/>
    <col min="14" max="14" width="15.42578125" style="3" customWidth="1"/>
    <col min="15" max="15" width="5" style="3" customWidth="1"/>
    <col min="16" max="16" width="10.5703125" style="3" bestFit="1" customWidth="1"/>
    <col min="17" max="17" width="1.28515625" style="3" customWidth="1"/>
    <col min="18" max="18" width="15.42578125" style="3" customWidth="1"/>
    <col min="19" max="19" width="5" style="3" customWidth="1"/>
    <col min="20" max="20" width="10.5703125" style="3" bestFit="1" customWidth="1"/>
    <col min="21" max="21" width="1.28515625" style="3" customWidth="1"/>
    <col min="22" max="22" width="15.42578125" style="3" customWidth="1"/>
    <col min="23" max="23" width="5" style="3" customWidth="1"/>
    <col min="24" max="24" width="10.5703125" style="3" bestFit="1" customWidth="1"/>
    <col min="25" max="25" width="1.28515625" style="3" customWidth="1"/>
    <col min="26" max="26" width="15.42578125" style="3" customWidth="1"/>
    <col min="27" max="27" width="5" style="3" customWidth="1"/>
    <col min="28" max="28" width="10.5703125" style="3" bestFit="1" customWidth="1"/>
    <col min="29" max="29" width="1.28515625" style="3" customWidth="1"/>
    <col min="30" max="30" width="15.42578125" style="3" customWidth="1"/>
    <col min="31" max="31" width="5" style="3" customWidth="1"/>
    <col min="32" max="32" width="10.570312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68" t="s">
        <v>274</v>
      </c>
      <c r="C2" s="69"/>
      <c r="D2" s="70"/>
      <c r="F2" s="68" t="s">
        <v>277</v>
      </c>
      <c r="G2" s="69"/>
      <c r="H2" s="70"/>
      <c r="J2" s="68" t="s">
        <v>280</v>
      </c>
      <c r="K2" s="69"/>
      <c r="L2" s="70"/>
      <c r="N2" s="68" t="s">
        <v>283</v>
      </c>
      <c r="O2" s="69"/>
      <c r="P2" s="70"/>
    </row>
    <row r="3" spans="2:16" ht="13.5" customHeight="1" thickBot="1" x14ac:dyDescent="0.3">
      <c r="B3" s="5" t="s">
        <v>268</v>
      </c>
      <c r="C3" s="6" t="s">
        <v>2664</v>
      </c>
      <c r="D3" s="7" t="s">
        <v>2665</v>
      </c>
      <c r="F3" s="5" t="s">
        <v>268</v>
      </c>
      <c r="G3" s="6" t="s">
        <v>2664</v>
      </c>
      <c r="H3" s="7" t="s">
        <v>2665</v>
      </c>
      <c r="J3" s="5" t="s">
        <v>268</v>
      </c>
      <c r="K3" s="6" t="s">
        <v>2664</v>
      </c>
      <c r="L3" s="7" t="s">
        <v>2665</v>
      </c>
      <c r="N3" s="5" t="s">
        <v>268</v>
      </c>
      <c r="O3" s="6" t="s">
        <v>2664</v>
      </c>
      <c r="P3" s="7" t="s">
        <v>2665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479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477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475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473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497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499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501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503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519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517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515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513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521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523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525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527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2666</v>
      </c>
      <c r="G21" s="15" t="s">
        <v>272</v>
      </c>
      <c r="H21" s="15" t="s">
        <v>2666</v>
      </c>
      <c r="K21" s="15" t="s">
        <v>272</v>
      </c>
      <c r="L21" s="15" t="s">
        <v>2666</v>
      </c>
      <c r="O21" s="15" t="s">
        <v>272</v>
      </c>
      <c r="P21" s="15" t="s">
        <v>2666</v>
      </c>
    </row>
    <row r="22" spans="2:16" s="15" customFormat="1" ht="12" x14ac:dyDescent="0.2">
      <c r="B22" s="15" t="s">
        <v>2667</v>
      </c>
      <c r="C22" s="15">
        <f>COUNTIF(C4:C19,"GK")</f>
        <v>2</v>
      </c>
      <c r="D22" s="15">
        <v>2</v>
      </c>
      <c r="F22" s="15" t="s">
        <v>2667</v>
      </c>
      <c r="G22" s="15">
        <f>COUNTIF(G4:G19,"GK")</f>
        <v>2</v>
      </c>
      <c r="H22" s="15">
        <v>2</v>
      </c>
      <c r="J22" s="15" t="s">
        <v>2667</v>
      </c>
      <c r="K22" s="15">
        <f>COUNTIF(K4:K19,"GK")</f>
        <v>2</v>
      </c>
      <c r="L22" s="15">
        <v>2</v>
      </c>
      <c r="N22" s="15" t="s">
        <v>2667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2668</v>
      </c>
      <c r="C23" s="15">
        <f>COUNTIF(C4:C19,"DEF")</f>
        <v>5</v>
      </c>
      <c r="D23" s="15">
        <v>5</v>
      </c>
      <c r="F23" s="15" t="s">
        <v>2668</v>
      </c>
      <c r="G23" s="15">
        <f>COUNTIF(G4:G19,"DEF")</f>
        <v>5</v>
      </c>
      <c r="H23" s="15">
        <v>5</v>
      </c>
      <c r="J23" s="15" t="s">
        <v>2668</v>
      </c>
      <c r="K23" s="15">
        <f>COUNTIF(K4:K19,"DEF")</f>
        <v>5</v>
      </c>
      <c r="L23" s="15">
        <v>5</v>
      </c>
      <c r="N23" s="15" t="s">
        <v>2668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2669</v>
      </c>
      <c r="C24" s="15">
        <f>COUNTIF(C4:C19,"MID")</f>
        <v>4</v>
      </c>
      <c r="D24" s="16" t="s">
        <v>2670</v>
      </c>
      <c r="F24" s="15" t="s">
        <v>2669</v>
      </c>
      <c r="G24" s="15">
        <f>COUNTIF(G4:G19,"MID")</f>
        <v>4</v>
      </c>
      <c r="H24" s="16" t="s">
        <v>2670</v>
      </c>
      <c r="J24" s="15" t="s">
        <v>2669</v>
      </c>
      <c r="K24" s="15">
        <f>COUNTIF(K4:K19,"MID")</f>
        <v>5</v>
      </c>
      <c r="L24" s="16" t="s">
        <v>2670</v>
      </c>
      <c r="N24" s="15" t="s">
        <v>2669</v>
      </c>
      <c r="O24" s="15">
        <f>COUNTIF(O4:O19,"MID")</f>
        <v>4</v>
      </c>
      <c r="P24" s="16" t="s">
        <v>2670</v>
      </c>
    </row>
    <row r="25" spans="2:16" s="15" customFormat="1" ht="12" x14ac:dyDescent="0.2">
      <c r="B25" s="15" t="s">
        <v>2671</v>
      </c>
      <c r="C25" s="15">
        <f>COUNTIF(C4:C19,"FWD")</f>
        <v>5</v>
      </c>
      <c r="D25" s="16" t="s">
        <v>2670</v>
      </c>
      <c r="F25" s="15" t="s">
        <v>2671</v>
      </c>
      <c r="G25" s="15">
        <f>COUNTIF(G4:G19,"FWD")</f>
        <v>5</v>
      </c>
      <c r="H25" s="16" t="s">
        <v>2670</v>
      </c>
      <c r="J25" s="15" t="s">
        <v>2671</v>
      </c>
      <c r="K25" s="15">
        <f>COUNTIF(K4:K19,"FWD")</f>
        <v>4</v>
      </c>
      <c r="L25" s="16" t="s">
        <v>2670</v>
      </c>
      <c r="N25" s="15" t="s">
        <v>2671</v>
      </c>
      <c r="O25" s="15">
        <f>COUNTIF(O4:O19,"FWD")</f>
        <v>5</v>
      </c>
      <c r="P25" s="16" t="s">
        <v>2670</v>
      </c>
    </row>
    <row r="26" spans="2:16" ht="6.75" customHeight="1" thickBot="1" x14ac:dyDescent="0.3"/>
    <row r="27" spans="2:16" s="15" customFormat="1" ht="12.75" thickBot="1" x14ac:dyDescent="0.25">
      <c r="B27" s="65" t="s">
        <v>286</v>
      </c>
      <c r="C27" s="66"/>
      <c r="D27" s="67"/>
      <c r="E27" s="17"/>
      <c r="F27" s="65" t="s">
        <v>289</v>
      </c>
      <c r="G27" s="66"/>
      <c r="H27" s="67"/>
      <c r="I27" s="17"/>
      <c r="J27" s="65" t="s">
        <v>292</v>
      </c>
      <c r="K27" s="66"/>
      <c r="L27" s="67"/>
      <c r="M27" s="17"/>
      <c r="N27" s="65" t="s">
        <v>295</v>
      </c>
      <c r="O27" s="66"/>
      <c r="P27" s="67"/>
    </row>
    <row r="28" spans="2:16" ht="11.25" customHeight="1" thickBot="1" x14ac:dyDescent="0.3">
      <c r="B28" s="5" t="s">
        <v>268</v>
      </c>
      <c r="C28" s="6" t="s">
        <v>2664</v>
      </c>
      <c r="D28" s="7" t="s">
        <v>2665</v>
      </c>
      <c r="F28" s="5" t="s">
        <v>268</v>
      </c>
      <c r="G28" s="6" t="s">
        <v>2664</v>
      </c>
      <c r="H28" s="7" t="s">
        <v>2665</v>
      </c>
      <c r="J28" s="5" t="s">
        <v>268</v>
      </c>
      <c r="K28" s="6" t="s">
        <v>2664</v>
      </c>
      <c r="L28" s="7" t="s">
        <v>2665</v>
      </c>
      <c r="N28" s="5" t="s">
        <v>268</v>
      </c>
      <c r="O28" s="6" t="s">
        <v>2664</v>
      </c>
      <c r="P28" s="7" t="s">
        <v>2665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467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465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471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469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487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485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483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481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489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491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493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495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511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509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507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505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529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531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533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535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2666</v>
      </c>
      <c r="E46" s="15"/>
      <c r="F46" s="15"/>
      <c r="G46" s="15" t="s">
        <v>272</v>
      </c>
      <c r="H46" s="15" t="s">
        <v>2666</v>
      </c>
      <c r="I46" s="15"/>
      <c r="J46" s="15"/>
      <c r="K46" s="15" t="s">
        <v>272</v>
      </c>
      <c r="L46" s="15" t="s">
        <v>2666</v>
      </c>
      <c r="M46" s="15"/>
      <c r="N46" s="15"/>
      <c r="O46" s="15" t="s">
        <v>272</v>
      </c>
      <c r="P46" s="15" t="s">
        <v>2666</v>
      </c>
    </row>
    <row r="47" spans="2:16" x14ac:dyDescent="0.25">
      <c r="B47" s="15" t="s">
        <v>2667</v>
      </c>
      <c r="C47" s="15">
        <f>COUNTIF(C29:C44,"GK")</f>
        <v>2</v>
      </c>
      <c r="D47" s="15">
        <v>2</v>
      </c>
      <c r="E47" s="15"/>
      <c r="F47" s="15" t="s">
        <v>2667</v>
      </c>
      <c r="G47" s="15">
        <f>COUNTIF(G29:G44,"GK")</f>
        <v>2</v>
      </c>
      <c r="H47" s="15">
        <v>2</v>
      </c>
      <c r="I47" s="15"/>
      <c r="J47" s="15" t="s">
        <v>2667</v>
      </c>
      <c r="K47" s="15">
        <f>COUNTIF(K29:K44,"GK")</f>
        <v>2</v>
      </c>
      <c r="L47" s="15">
        <v>2</v>
      </c>
      <c r="M47" s="15"/>
      <c r="N47" s="15" t="s">
        <v>2667</v>
      </c>
      <c r="O47" s="15">
        <f>COUNTIF(O29:O44,"GK")</f>
        <v>2</v>
      </c>
      <c r="P47" s="15">
        <v>2</v>
      </c>
    </row>
    <row r="48" spans="2:16" x14ac:dyDescent="0.25">
      <c r="B48" s="15" t="s">
        <v>2668</v>
      </c>
      <c r="C48" s="15">
        <f>COUNTIF(C29:C44,"DEF")</f>
        <v>5</v>
      </c>
      <c r="D48" s="15">
        <v>5</v>
      </c>
      <c r="E48" s="15"/>
      <c r="F48" s="15" t="s">
        <v>2668</v>
      </c>
      <c r="G48" s="15">
        <f>COUNTIF(G29:G44,"DEF")</f>
        <v>5</v>
      </c>
      <c r="H48" s="15">
        <v>5</v>
      </c>
      <c r="I48" s="15"/>
      <c r="J48" s="15" t="s">
        <v>2668</v>
      </c>
      <c r="K48" s="15">
        <f>COUNTIF(K29:K44,"DEF")</f>
        <v>5</v>
      </c>
      <c r="L48" s="15">
        <v>5</v>
      </c>
      <c r="M48" s="15"/>
      <c r="N48" s="15" t="s">
        <v>2668</v>
      </c>
      <c r="O48" s="15">
        <f>COUNTIF(O29:O44,"DEF")</f>
        <v>5</v>
      </c>
      <c r="P48" s="15">
        <v>5</v>
      </c>
    </row>
    <row r="49" spans="2:16" x14ac:dyDescent="0.25">
      <c r="B49" s="15" t="s">
        <v>2669</v>
      </c>
      <c r="C49" s="15">
        <f>COUNTIF(C29:C44,"MID")</f>
        <v>4</v>
      </c>
      <c r="D49" s="16" t="s">
        <v>2670</v>
      </c>
      <c r="E49" s="15"/>
      <c r="F49" s="15" t="s">
        <v>2669</v>
      </c>
      <c r="G49" s="15">
        <f>COUNTIF(G29:G44,"MID")</f>
        <v>4</v>
      </c>
      <c r="H49" s="16" t="s">
        <v>2670</v>
      </c>
      <c r="I49" s="15"/>
      <c r="J49" s="15" t="s">
        <v>2669</v>
      </c>
      <c r="K49" s="15">
        <f>COUNTIF(K29:K44,"MID")</f>
        <v>4</v>
      </c>
      <c r="L49" s="16" t="s">
        <v>2670</v>
      </c>
      <c r="M49" s="15"/>
      <c r="N49" s="15" t="s">
        <v>2669</v>
      </c>
      <c r="O49" s="15">
        <f>COUNTIF(O29:O44,"MID")</f>
        <v>4</v>
      </c>
      <c r="P49" s="16" t="s">
        <v>2670</v>
      </c>
    </row>
    <row r="50" spans="2:16" x14ac:dyDescent="0.25">
      <c r="B50" s="15" t="s">
        <v>2671</v>
      </c>
      <c r="C50" s="15">
        <f>COUNTIF(C29:C44,"FWD")</f>
        <v>5</v>
      </c>
      <c r="D50" s="16" t="s">
        <v>2670</v>
      </c>
      <c r="E50" s="15"/>
      <c r="F50" s="15" t="s">
        <v>2671</v>
      </c>
      <c r="G50" s="15">
        <f>COUNTIF(G29:G44,"FWD")</f>
        <v>5</v>
      </c>
      <c r="H50" s="16" t="s">
        <v>2670</v>
      </c>
      <c r="I50" s="15"/>
      <c r="J50" s="15" t="s">
        <v>2671</v>
      </c>
      <c r="K50" s="15">
        <f>COUNTIF(K29:K44,"FWD")</f>
        <v>5</v>
      </c>
      <c r="L50" s="16" t="s">
        <v>2670</v>
      </c>
      <c r="M50" s="15"/>
      <c r="N50" s="15" t="s">
        <v>2671</v>
      </c>
      <c r="O50" s="15">
        <f>COUNTIF(O29:O44,"FWD")</f>
        <v>5</v>
      </c>
      <c r="P50" s="16" t="s">
        <v>2670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2"/>
  <sheetViews>
    <sheetView workbookViewId="0">
      <selection activeCell="Q11" sqref="Q11"/>
    </sheetView>
  </sheetViews>
  <sheetFormatPr defaultColWidth="9.140625" defaultRowHeight="15" customHeight="1" zeroHeight="1" x14ac:dyDescent="0.25"/>
  <cols>
    <col min="1" max="1" width="9.140625" style="54"/>
    <col min="2" max="2" width="17.28515625" style="54" bestFit="1" customWidth="1"/>
    <col min="3" max="3" width="11.42578125" style="54" bestFit="1" customWidth="1"/>
    <col min="4" max="4" width="11" style="1" hidden="1" customWidth="1"/>
    <col min="5" max="5" width="12" style="1" hidden="1" customWidth="1"/>
    <col min="6" max="6" width="6.7109375" style="1" hidden="1" customWidth="1"/>
    <col min="7" max="7" width="11" style="1" hidden="1" customWidth="1"/>
    <col min="8" max="8" width="12" style="1" hidden="1" customWidth="1"/>
    <col min="9" max="9" width="6.7109375" style="1" hidden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2690</v>
      </c>
      <c r="B1" s="81"/>
      <c r="C1" s="82"/>
      <c r="D1" s="83" t="s">
        <v>2673</v>
      </c>
      <c r="E1" s="84"/>
      <c r="F1" s="85"/>
      <c r="G1" s="77" t="s">
        <v>2674</v>
      </c>
      <c r="H1" s="78"/>
      <c r="I1" s="79"/>
      <c r="J1" s="77" t="s">
        <v>2675</v>
      </c>
      <c r="K1" s="78"/>
      <c r="L1" s="79"/>
      <c r="M1" s="77" t="s">
        <v>41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497</v>
      </c>
      <c r="C3" s="29" t="s">
        <v>78</v>
      </c>
      <c r="D3" s="30" t="str">
        <f>VLOOKUP($C3,Fixtures!A:I,2,FALSE)</f>
        <v>MOR</v>
      </c>
      <c r="E3" s="20" t="s">
        <v>2679</v>
      </c>
      <c r="F3" s="31">
        <f>VLOOKUP($B3,PickedPlayers!D:Q,7,FALSE)</f>
        <v>0</v>
      </c>
      <c r="G3" s="30" t="str">
        <f>VLOOKUP($C3,Fixtures!A:I,3,FALSE)</f>
        <v>HAI</v>
      </c>
      <c r="H3" s="20" t="s">
        <v>2680</v>
      </c>
      <c r="I3" s="31">
        <f>VLOOKUP($B3,PickedPlayers!D:Q,8,FALSE)</f>
        <v>0</v>
      </c>
      <c r="J3" s="30" t="str">
        <f>VLOOKUP($C3,Fixtures!A:I,4,FALSE)</f>
        <v>SCO</v>
      </c>
      <c r="K3" s="20" t="s">
        <v>2680</v>
      </c>
      <c r="L3" s="31">
        <f>VLOOKUP($B3,PickedPlayers!D:Q,9,FALSE)</f>
        <v>0</v>
      </c>
      <c r="M3" s="30" t="str">
        <f>VLOOKUP($C3,Fixtures!A:I,5,FALSE)</f>
        <v>JAP</v>
      </c>
      <c r="N3" s="20" t="s">
        <v>2680</v>
      </c>
      <c r="O3" s="31">
        <f>VLOOKUP($B3,PickedPlayers!D:Q,10,FALSE)</f>
        <v>0</v>
      </c>
      <c r="P3" s="30" t="str">
        <f>VLOOKUP($C3,Fixtures!A:I,6,FALSE)</f>
        <v>NOR</v>
      </c>
      <c r="Q3" s="20" t="s">
        <v>2680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521</v>
      </c>
      <c r="C4" s="29" t="s">
        <v>70</v>
      </c>
      <c r="D4" s="30" t="str">
        <f>VLOOKUP($C4,Fixtures!A:I,2,FALSE)</f>
        <v>BRA</v>
      </c>
      <c r="E4" s="20" t="s">
        <v>2681</v>
      </c>
      <c r="F4" s="31">
        <f>VLOOKUP($B4,PickedPlayers!D:Q,7,FALSE)</f>
        <v>0</v>
      </c>
      <c r="G4" s="30" t="str">
        <f>VLOOKUP($C4,Fixtures!A:I,3,FALSE)</f>
        <v>SCO</v>
      </c>
      <c r="H4" s="20" t="s">
        <v>2681</v>
      </c>
      <c r="I4" s="31">
        <f>VLOOKUP($B4,PickedPlayers!D:Q,8,FALSE)</f>
        <v>0</v>
      </c>
      <c r="J4" s="30" t="str">
        <f>VLOOKUP($C4,Fixtures!A:I,4,FALSE)</f>
        <v>HAI</v>
      </c>
      <c r="K4" s="20" t="s">
        <v>2681</v>
      </c>
      <c r="L4" s="31">
        <f>VLOOKUP($B4,PickedPlayers!D:Q,9,FALSE)</f>
        <v>0</v>
      </c>
      <c r="M4" s="30" t="str">
        <f>VLOOKUP($C4,Fixtures!A:I,5,FALSE)</f>
        <v>NED</v>
      </c>
      <c r="N4" s="20" t="s">
        <v>2681</v>
      </c>
      <c r="O4" s="31">
        <f>VLOOKUP($B4,PickedPlayers!D:Q,10,FALSE)</f>
        <v>0</v>
      </c>
      <c r="P4" s="30" t="str">
        <f>VLOOKUP($C4,Fixtures!A:I,6,FALSE)</f>
        <v>CAN</v>
      </c>
      <c r="Q4" s="20" t="s">
        <v>2681</v>
      </c>
      <c r="R4" s="31">
        <f>VLOOKUP($B4,PickedPlayers!D:Q,11,FALSE)</f>
        <v>0</v>
      </c>
      <c r="S4" s="30" t="str">
        <f>VLOOKUP($C4,Fixtures!A:I,7,FALSE)</f>
        <v>FRA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2681</v>
      </c>
      <c r="F5" s="31">
        <f>VLOOKUP($B5,PickedPlayers!D:Q,7,FALSE)</f>
        <v>0</v>
      </c>
      <c r="G5" s="30" t="str">
        <f>VLOOKUP($C5,Fixtures!A:I,3,FALSE)</f>
        <v>IRQ</v>
      </c>
      <c r="H5" s="20" t="s">
        <v>2681</v>
      </c>
      <c r="I5" s="31">
        <f>VLOOKUP($B5,PickedPlayers!D:Q,8,FALSE)</f>
        <v>0</v>
      </c>
      <c r="J5" s="30" t="str">
        <f>VLOOKUP($C5,Fixtures!A:I,4,FALSE)</f>
        <v>NOR</v>
      </c>
      <c r="K5" s="20" t="s">
        <v>2681</v>
      </c>
      <c r="L5" s="31">
        <f>VLOOKUP($B5,PickedPlayers!D:Q,9,FALSE)</f>
        <v>0</v>
      </c>
      <c r="M5" s="30" t="str">
        <f>VLOOKUP($C5,Fixtures!A:I,5,FALSE)</f>
        <v>SWE</v>
      </c>
      <c r="N5" s="20" t="s">
        <v>2681</v>
      </c>
      <c r="O5" s="31">
        <f>VLOOKUP($B5,PickedPlayers!D:Q,10,FALSE)</f>
        <v>0</v>
      </c>
      <c r="P5" s="30" t="str">
        <f>VLOOKUP($C5,Fixtures!A:I,6,FALSE)</f>
        <v>PAR</v>
      </c>
      <c r="Q5" s="20" t="s">
        <v>2681</v>
      </c>
      <c r="R5" s="31">
        <f>VLOOKUP($B5,PickedPlayers!D:Q,11,FALSE)</f>
        <v>0</v>
      </c>
      <c r="S5" s="30" t="str">
        <f>VLOOKUP($C5,Fixtures!A:I,7,FALSE)</f>
        <v>MOR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2681</v>
      </c>
      <c r="F6" s="31">
        <f>VLOOKUP($B6,PickedPlayers!D:Q,7,FALSE)</f>
        <v>0</v>
      </c>
      <c r="G6" s="30" t="str">
        <f>VLOOKUP($C6,Fixtures!A:I,3,FALSE)</f>
        <v>UZB</v>
      </c>
      <c r="H6" s="20" t="s">
        <v>2681</v>
      </c>
      <c r="I6" s="31">
        <f>VLOOKUP($B6,PickedPlayers!D:Q,8,FALSE)</f>
        <v>0</v>
      </c>
      <c r="J6" s="30" t="str">
        <f>VLOOKUP($C6,Fixtures!A:I,4,FALSE)</f>
        <v>COL</v>
      </c>
      <c r="K6" s="20" t="s">
        <v>2681</v>
      </c>
      <c r="L6" s="31">
        <f>VLOOKUP($B6,PickedPlayers!D:Q,9,FALSE)</f>
        <v>0</v>
      </c>
      <c r="M6" s="30" t="str">
        <f>VLOOKUP($C6,Fixtures!A:I,5,FALSE)</f>
        <v>CRO</v>
      </c>
      <c r="N6" s="20" t="s">
        <v>2681</v>
      </c>
      <c r="O6" s="31">
        <f>VLOOKUP($B6,PickedPlayers!D:Q,10,FALSE)</f>
        <v>0</v>
      </c>
      <c r="P6" s="30" t="str">
        <f>VLOOKUP($C6,Fixtures!A:I,6,FALSE)</f>
        <v>SPA</v>
      </c>
      <c r="Q6" s="20" t="s">
        <v>2681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2679</v>
      </c>
      <c r="F7" s="31">
        <f>VLOOKUP($B7,PickedPlayers!D:Q,7,FALSE)</f>
        <v>0</v>
      </c>
      <c r="G7" s="30" t="str">
        <f>VLOOKUP($C7,Fixtures!A:I,3,FALSE)</f>
        <v>SAU</v>
      </c>
      <c r="H7" s="20" t="s">
        <v>2682</v>
      </c>
      <c r="I7" s="31">
        <f>VLOOKUP($B7,PickedPlayers!D:Q,8,FALSE)</f>
        <v>0</v>
      </c>
      <c r="J7" s="30" t="str">
        <f>VLOOKUP($C7,Fixtures!A:I,4,FALSE)</f>
        <v>URU</v>
      </c>
      <c r="K7" s="20" t="s">
        <v>2682</v>
      </c>
      <c r="L7" s="31">
        <f>VLOOKUP($B7,PickedPlayers!D:Q,9,FALSE)</f>
        <v>0</v>
      </c>
      <c r="M7" s="30" t="str">
        <f>VLOOKUP($C7,Fixtures!A:I,5,FALSE)</f>
        <v>AUS</v>
      </c>
      <c r="N7" s="20" t="s">
        <v>2679</v>
      </c>
      <c r="O7" s="31">
        <f>VLOOKUP($B7,PickedPlayers!D:Q,10,FALSE)</f>
        <v>0</v>
      </c>
      <c r="P7" s="30" t="str">
        <f>VLOOKUP($C7,Fixtures!A:I,6,FALSE)</f>
        <v>POR</v>
      </c>
      <c r="Q7" s="20" t="s">
        <v>2681</v>
      </c>
      <c r="R7" s="31">
        <f>VLOOKUP($B7,PickedPlayers!D:Q,11,FALSE)</f>
        <v>0</v>
      </c>
      <c r="S7" s="30" t="str">
        <f>VLOOKUP($C7,Fixtures!A:I,7,FALSE)</f>
        <v>BEL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2681</v>
      </c>
      <c r="F8" s="31">
        <f>VLOOKUP($B8,PickedPlayers!D:Q,7,FALSE)</f>
        <v>0</v>
      </c>
      <c r="G8" s="30" t="str">
        <f>VLOOKUP($C8,Fixtures!A:I,3,FALSE)</f>
        <v>IVO</v>
      </c>
      <c r="H8" s="20" t="s">
        <v>2681</v>
      </c>
      <c r="I8" s="31">
        <f>VLOOKUP($B8,PickedPlayers!D:Q,8,FALSE)</f>
        <v>0</v>
      </c>
      <c r="J8" s="30" t="str">
        <f>VLOOKUP($C8,Fixtures!A:I,4,FALSE)</f>
        <v>ECU</v>
      </c>
      <c r="K8" s="20" t="s">
        <v>2681</v>
      </c>
      <c r="L8" s="31">
        <f>VLOOKUP($B8,PickedPlayers!D:Q,9,FALSE)</f>
        <v>0</v>
      </c>
      <c r="M8" s="30" t="str">
        <f>VLOOKUP($C8,Fixtures!A:I,5,FALSE)</f>
        <v>PAR</v>
      </c>
      <c r="N8" s="20" t="s">
        <v>2681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2683</v>
      </c>
      <c r="F9" s="31">
        <f>VLOOKUP($B9,PickedPlayers!D:Q,7,FALSE)</f>
        <v>0</v>
      </c>
      <c r="G9" s="30" t="str">
        <f>VLOOKUP($C9,Fixtures!A:I,3,FALSE)</f>
        <v>GHA</v>
      </c>
      <c r="H9" s="20" t="s">
        <v>2683</v>
      </c>
      <c r="I9" s="31">
        <f>VLOOKUP($B9,PickedPlayers!D:Q,8,FALSE)</f>
        <v>0</v>
      </c>
      <c r="J9" s="30" t="str">
        <f>VLOOKUP($C9,Fixtures!A:I,4,FALSE)</f>
        <v>PAN</v>
      </c>
      <c r="K9" s="20" t="s">
        <v>2683</v>
      </c>
      <c r="L9" s="31">
        <f>VLOOKUP($B9,PickedPlayers!D:Q,9,FALSE)</f>
        <v>0</v>
      </c>
      <c r="M9" s="30" t="str">
        <f>VLOOKUP($C9,Fixtures!A:I,5,FALSE)</f>
        <v>CON</v>
      </c>
      <c r="N9" s="20" t="s">
        <v>2687</v>
      </c>
      <c r="O9" s="31">
        <f>VLOOKUP($B9,PickedPlayers!D:Q,10,FALSE)</f>
        <v>0</v>
      </c>
      <c r="P9" s="30" t="str">
        <f>VLOOKUP($C9,Fixtures!A:I,6,FALSE)</f>
        <v>MEX</v>
      </c>
      <c r="Q9" s="20" t="s">
        <v>2681</v>
      </c>
      <c r="R9" s="31">
        <f>VLOOKUP($B9,PickedPlayers!D:Q,11,FALSE)</f>
        <v>0</v>
      </c>
      <c r="S9" s="30" t="str">
        <f>VLOOKUP($C9,Fixtures!A:I,7,FALSE)</f>
        <v>NOR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2681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2684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2684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2685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2685</v>
      </c>
      <c r="R10" s="31">
        <f>VLOOKUP($B10,PickedPlayers!D:Q,11,FALSE)</f>
        <v>0</v>
      </c>
      <c r="S10" s="30" t="str">
        <f>VLOOKUP($C10,Fixtures!A:I,7,FALSE)</f>
        <v>NOR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2685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USA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SPA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2681</v>
      </c>
      <c r="L12" s="31">
        <f>VLOOKUP($B12,PickedPlayers!D:Q,9,FALSE)</f>
        <v>0</v>
      </c>
      <c r="M12" s="58" t="s">
        <v>2859</v>
      </c>
      <c r="N12" s="59"/>
      <c r="O12" s="60"/>
      <c r="P12" s="58" t="s">
        <v>2859</v>
      </c>
      <c r="Q12" s="59"/>
      <c r="R12" s="60"/>
      <c r="S12" s="58" t="s">
        <v>2859</v>
      </c>
      <c r="T12" s="59"/>
      <c r="U12" s="60"/>
      <c r="V12" s="58" t="s">
        <v>2859</v>
      </c>
      <c r="W12" s="59"/>
      <c r="X12" s="60"/>
      <c r="Y12" s="58" t="s">
        <v>2859</v>
      </c>
      <c r="Z12" s="59"/>
      <c r="AA12" s="60"/>
    </row>
    <row r="13" spans="1:27" x14ac:dyDescent="0.25">
      <c r="A13" s="28" t="s">
        <v>2669</v>
      </c>
      <c r="B13" s="19" t="s">
        <v>519</v>
      </c>
      <c r="C13" s="29" t="s">
        <v>123</v>
      </c>
      <c r="D13" s="30" t="str">
        <f>VLOOKUP($C13,Fixtures!A:I,2,FALSE)</f>
        <v>CAP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2681</v>
      </c>
      <c r="R13" s="31">
        <f>VLOOKUP($B13,PickedPlayers!D:Q,11,FALSE)</f>
        <v>0</v>
      </c>
      <c r="S13" s="30" t="str">
        <f>VLOOKUP($C13,Fixtures!A:I,7,FALSE)</f>
        <v>BEL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1409</v>
      </c>
      <c r="C14" s="29" t="s">
        <v>74</v>
      </c>
      <c r="D14" s="30" t="s">
        <v>2797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275</v>
      </c>
      <c r="C15" s="29" t="s">
        <v>61</v>
      </c>
      <c r="D15" s="30" t="str">
        <f>VLOOKUP($C15,Fixtures!A:I,2,FALSE)</f>
        <v>SEN</v>
      </c>
      <c r="E15" s="20" t="s">
        <v>2684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2684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MOR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374</v>
      </c>
      <c r="C16" s="29" t="s">
        <v>39</v>
      </c>
      <c r="D16" s="30" t="str">
        <f>VLOOKUP($C16,Fixtures!A:I,2,FALSE)</f>
        <v>ALG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2681</v>
      </c>
      <c r="O16" s="31">
        <f>VLOOKUP($B16,PickedPlayers!D:Q,10,FALSE)</f>
        <v>0</v>
      </c>
      <c r="P16" s="30" t="str">
        <f>VLOOKUP($C16,Fixtures!A:I,6,FALSE)</f>
        <v>EGY</v>
      </c>
      <c r="Q16" s="20" t="s">
        <v>2686</v>
      </c>
      <c r="R16" s="31">
        <f>VLOOKUP($B16,PickedPlayers!D:Q,11,FALSE)</f>
        <v>0</v>
      </c>
      <c r="S16" s="30" t="str">
        <f>VLOOKUP($C16,Fixtures!A:I,7,FALSE)</f>
        <v>SWI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414</v>
      </c>
      <c r="C17" s="29" t="s">
        <v>122</v>
      </c>
      <c r="D17" s="30" t="str">
        <f>VLOOKUP($C17,Fixtures!A:I,2,FALSE)</f>
        <v>SAU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CAP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SPA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460</v>
      </c>
      <c r="C18" s="29" t="s">
        <v>113</v>
      </c>
      <c r="D18" s="30" t="str">
        <f>VLOOKUP($C18,Fixtures!A:I,2,FALSE)</f>
        <v>EGY</v>
      </c>
      <c r="E18" s="20" t="s">
        <v>2686</v>
      </c>
      <c r="F18" s="31">
        <f>VLOOKUP($B18,PickedPlayers!D:Q,7,FALSE)</f>
        <v>0</v>
      </c>
      <c r="G18" s="30" t="str">
        <f>VLOOKUP($C18,Fixtures!A:I,3,FALSE)</f>
        <v>IRA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NZL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SEN</v>
      </c>
      <c r="N18" s="20" t="s">
        <v>2681</v>
      </c>
      <c r="O18" s="31">
        <f>VLOOKUP($B18,PickedPlayers!D:Q,10,FALSE)</f>
        <v>0</v>
      </c>
      <c r="P18" s="30" t="str">
        <f>VLOOKUP($C18,Fixtures!A:I,6,FALSE)</f>
        <v>USA</v>
      </c>
      <c r="Q18" s="20" t="s">
        <v>2681</v>
      </c>
      <c r="R18" s="31">
        <f>VLOOKUP($B18,PickedPlayers!D:Q,11,FALSE)</f>
        <v>0</v>
      </c>
      <c r="S18" s="30" t="str">
        <f>VLOOKUP($C18,Fixtures!A:I,7,FALSE)</f>
        <v>SPA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479</v>
      </c>
      <c r="C19" s="34" t="s">
        <v>61</v>
      </c>
      <c r="D19" s="30" t="str">
        <f>VLOOKUP($C19,Fixtures!A:I,2,FALSE)</f>
        <v>SEN</v>
      </c>
      <c r="E19" s="35" t="s">
        <v>2682</v>
      </c>
      <c r="F19" s="31">
        <f>VLOOKUP($B19,PickedPlayers!D:Q,7,FALSE)</f>
        <v>0</v>
      </c>
      <c r="G19" s="30" t="str">
        <f>VLOOKUP($C19,Fixtures!A:I,3,FALSE)</f>
        <v>IRQ</v>
      </c>
      <c r="H19" s="35" t="s">
        <v>2681</v>
      </c>
      <c r="I19" s="31">
        <f>VLOOKUP($B19,PickedPlayers!D:Q,8,FALSE)</f>
        <v>0</v>
      </c>
      <c r="J19" s="30" t="str">
        <f>VLOOKUP($C19,Fixtures!A:I,4,FALSE)</f>
        <v>NOR</v>
      </c>
      <c r="K19" s="35" t="s">
        <v>2681</v>
      </c>
      <c r="L19" s="31">
        <f>VLOOKUP($B19,PickedPlayers!D:Q,9,FALSE)</f>
        <v>0</v>
      </c>
      <c r="M19" s="30" t="str">
        <f>VLOOKUP($C19,Fixtures!A:I,5,FALSE)</f>
        <v>SWE</v>
      </c>
      <c r="N19" s="35" t="s">
        <v>2686</v>
      </c>
      <c r="O19" s="31">
        <f>VLOOKUP($B19,PickedPlayers!D:Q,10,FALSE)</f>
        <v>0</v>
      </c>
      <c r="P19" s="30" t="str">
        <f>VLOOKUP($C19,Fixtures!A:I,6,FALSE)</f>
        <v>PAR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MOR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350" priority="107" operator="containsText" text="Sub">
      <formula>NOT(ISERROR(SEARCH("Sub",E3)))</formula>
    </cfRule>
    <cfRule type="containsText" dxfId="349" priority="106" operator="containsText" text="Off">
      <formula>NOT(ISERROR(SEARCH("Off",E3)))</formula>
    </cfRule>
    <cfRule type="containsText" dxfId="348" priority="105" operator="containsText" text="Vice Captain">
      <formula>NOT(ISERROR(SEARCH("Vice Captain",E3)))</formula>
    </cfRule>
    <cfRule type="containsText" dxfId="347" priority="109" operator="containsText" text="Picked">
      <formula>NOT(ISERROR(SEARCH("Picked",E3)))</formula>
    </cfRule>
    <cfRule type="containsText" dxfId="346" priority="108" operator="containsText" text="Captain">
      <formula>NOT(ISERROR(SEARCH("Captain",E3)))</formula>
    </cfRule>
  </conditionalFormatting>
  <conditionalFormatting sqref="H3:H19">
    <cfRule type="containsText" dxfId="345" priority="67" operator="containsText" text="Picked">
      <formula>NOT(ISERROR(SEARCH("Picked",H3)))</formula>
    </cfRule>
    <cfRule type="containsText" dxfId="344" priority="66" operator="containsText" text="Captain">
      <formula>NOT(ISERROR(SEARCH("Captain",H3)))</formula>
    </cfRule>
    <cfRule type="containsText" dxfId="343" priority="65" operator="containsText" text="Sub">
      <formula>NOT(ISERROR(SEARCH("Sub",H3)))</formula>
    </cfRule>
    <cfRule type="containsText" dxfId="342" priority="64" operator="containsText" text="Off">
      <formula>NOT(ISERROR(SEARCH("Off",H3)))</formula>
    </cfRule>
    <cfRule type="containsText" dxfId="341" priority="63" operator="containsText" text="Vice Captain">
      <formula>NOT(ISERROR(SEARCH("Vice Captain",H3)))</formula>
    </cfRule>
  </conditionalFormatting>
  <conditionalFormatting sqref="K3:K19">
    <cfRule type="containsText" dxfId="340" priority="31" operator="containsText" text="Captain">
      <formula>NOT(ISERROR(SEARCH("Captain",K3)))</formula>
    </cfRule>
    <cfRule type="containsText" dxfId="339" priority="30" operator="containsText" text="Sub">
      <formula>NOT(ISERROR(SEARCH("Sub",K3)))</formula>
    </cfRule>
    <cfRule type="containsText" dxfId="338" priority="29" operator="containsText" text="Off">
      <formula>NOT(ISERROR(SEARCH("Off",K3)))</formula>
    </cfRule>
    <cfRule type="containsText" dxfId="337" priority="28" operator="containsText" text="Vice Captain">
      <formula>NOT(ISERROR(SEARCH("Vice Captain",K3)))</formula>
    </cfRule>
    <cfRule type="containsText" dxfId="336" priority="32" operator="containsText" text="Picked">
      <formula>NOT(ISERROR(SEARCH("Picked",K3)))</formula>
    </cfRule>
  </conditionalFormatting>
  <conditionalFormatting sqref="M3:M19 P3:P19 S3:S19 V3:V19 Y3:Y19">
    <cfRule type="containsText" dxfId="335" priority="27" operator="containsText" text="Out">
      <formula>NOT(ISERROR(SEARCH("Out",M3)))</formula>
    </cfRule>
    <cfRule type="containsText" dxfId="334" priority="26" operator="containsText" text="tbc">
      <formula>NOT(ISERROR(SEARCH("tbc",M3)))</formula>
    </cfRule>
  </conditionalFormatting>
  <conditionalFormatting sqref="N3:N19">
    <cfRule type="containsText" dxfId="333" priority="1" operator="containsText" text="Vice Captain">
      <formula>NOT(ISERROR(SEARCH("Vice Captain",N3)))</formula>
    </cfRule>
    <cfRule type="containsText" dxfId="332" priority="2" operator="containsText" text="Off">
      <formula>NOT(ISERROR(SEARCH("Off",N3)))</formula>
    </cfRule>
    <cfRule type="containsText" dxfId="331" priority="3" operator="containsText" text="Sub">
      <formula>NOT(ISERROR(SEARCH("Sub",N3)))</formula>
    </cfRule>
    <cfRule type="containsText" dxfId="330" priority="4" operator="containsText" text="Captain">
      <formula>NOT(ISERROR(SEARCH("Captain",N3)))</formula>
    </cfRule>
    <cfRule type="containsText" dxfId="329" priority="5" operator="containsText" text="Picked">
      <formula>NOT(ISERROR(SEARCH("Picked",N3)))</formula>
    </cfRule>
  </conditionalFormatting>
  <conditionalFormatting sqref="Q3:Q19">
    <cfRule type="containsText" dxfId="328" priority="23" operator="containsText" text="Sub">
      <formula>NOT(ISERROR(SEARCH("Sub",Q3)))</formula>
    </cfRule>
    <cfRule type="containsText" dxfId="327" priority="24" operator="containsText" text="Captain">
      <formula>NOT(ISERROR(SEARCH("Captain",Q3)))</formula>
    </cfRule>
    <cfRule type="containsText" dxfId="326" priority="25" operator="containsText" text="Picked">
      <formula>NOT(ISERROR(SEARCH("Picked",Q3)))</formula>
    </cfRule>
    <cfRule type="containsText" dxfId="325" priority="21" operator="containsText" text="Vice Captain">
      <formula>NOT(ISERROR(SEARCH("Vice Captain",Q3)))</formula>
    </cfRule>
    <cfRule type="containsText" dxfId="324" priority="22" operator="containsText" text="Off">
      <formula>NOT(ISERROR(SEARCH("Off",Q3)))</formula>
    </cfRule>
  </conditionalFormatting>
  <conditionalFormatting sqref="T3:T19">
    <cfRule type="containsText" dxfId="323" priority="19" operator="containsText" text="Captain">
      <formula>NOT(ISERROR(SEARCH("Captain",T3)))</formula>
    </cfRule>
    <cfRule type="containsText" dxfId="322" priority="18" operator="containsText" text="Sub">
      <formula>NOT(ISERROR(SEARCH("Sub",T3)))</formula>
    </cfRule>
    <cfRule type="containsText" dxfId="321" priority="16" operator="containsText" text="Vice Captain">
      <formula>NOT(ISERROR(SEARCH("Vice Captain",T3)))</formula>
    </cfRule>
    <cfRule type="containsText" dxfId="320" priority="20" operator="containsText" text="Picked">
      <formula>NOT(ISERROR(SEARCH("Picked",T3)))</formula>
    </cfRule>
    <cfRule type="containsText" dxfId="319" priority="17" operator="containsText" text="Off">
      <formula>NOT(ISERROR(SEARCH("Off",T3)))</formula>
    </cfRule>
  </conditionalFormatting>
  <conditionalFormatting sqref="W3:W19">
    <cfRule type="containsText" dxfId="318" priority="15" operator="containsText" text="Picked">
      <formula>NOT(ISERROR(SEARCH("Picked",W3)))</formula>
    </cfRule>
    <cfRule type="containsText" dxfId="317" priority="14" operator="containsText" text="Captain">
      <formula>NOT(ISERROR(SEARCH("Captain",W3)))</formula>
    </cfRule>
    <cfRule type="containsText" dxfId="316" priority="13" operator="containsText" text="Sub">
      <formula>NOT(ISERROR(SEARCH("Sub",W3)))</formula>
    </cfRule>
    <cfRule type="containsText" dxfId="315" priority="12" operator="containsText" text="Off">
      <formula>NOT(ISERROR(SEARCH("Off",W3)))</formula>
    </cfRule>
    <cfRule type="containsText" dxfId="314" priority="11" operator="containsText" text="Vice Captain">
      <formula>NOT(ISERROR(SEARCH("Vice Captain",W3)))</formula>
    </cfRule>
  </conditionalFormatting>
  <conditionalFormatting sqref="Z3:Z19">
    <cfRule type="containsText" dxfId="313" priority="6" operator="containsText" text="Vice Captain">
      <formula>NOT(ISERROR(SEARCH("Vice Captain",Z3)))</formula>
    </cfRule>
    <cfRule type="containsText" dxfId="312" priority="10" operator="containsText" text="Picked">
      <formula>NOT(ISERROR(SEARCH("Picked",Z3)))</formula>
    </cfRule>
    <cfRule type="containsText" dxfId="311" priority="9" operator="containsText" text="Captain">
      <formula>NOT(ISERROR(SEARCH("Captain",Z3)))</formula>
    </cfRule>
    <cfRule type="containsText" dxfId="310" priority="8" operator="containsText" text="Sub">
      <formula>NOT(ISERROR(SEARCH("Sub",Z3)))</formula>
    </cfRule>
    <cfRule type="containsText" dxfId="30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E5:E19 H5:H19 K5:K19 Q5:Q19 N5:N19 Z5:Z19 W5:W19 T5:T19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2"/>
  <sheetViews>
    <sheetView workbookViewId="0">
      <selection activeCell="P20" sqref="P20:R21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570312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2672</v>
      </c>
      <c r="B1" s="81"/>
      <c r="C1" s="82"/>
      <c r="D1" s="83" t="s">
        <v>2673</v>
      </c>
      <c r="E1" s="84"/>
      <c r="F1" s="85"/>
      <c r="G1" s="77" t="s">
        <v>2674</v>
      </c>
      <c r="H1" s="78"/>
      <c r="I1" s="79"/>
      <c r="J1" s="77" t="s">
        <v>2675</v>
      </c>
      <c r="K1" s="78"/>
      <c r="L1" s="79"/>
      <c r="M1" s="77" t="s">
        <v>41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2681</v>
      </c>
      <c r="F3" s="31">
        <f>VLOOKUP($B3,PickedPlayers!D:Q,7,FALSE)</f>
        <v>0</v>
      </c>
      <c r="G3" s="30" t="str">
        <f>VLOOKUP($C3,Fixtures!A:I,3,FALSE)</f>
        <v>GHA</v>
      </c>
      <c r="H3" s="20" t="s">
        <v>2681</v>
      </c>
      <c r="I3" s="31">
        <f>VLOOKUP($B3,PickedPlayers!D:Q,8,FALSE)</f>
        <v>0</v>
      </c>
      <c r="J3" s="30" t="str">
        <f>VLOOKUP($C3,Fixtures!A:I,4,FALSE)</f>
        <v>PAN</v>
      </c>
      <c r="K3" s="20" t="s">
        <v>2681</v>
      </c>
      <c r="L3" s="31">
        <f>VLOOKUP($B3,PickedPlayers!D:Q,9,FALSE)</f>
        <v>0</v>
      </c>
      <c r="M3" s="30" t="str">
        <f>VLOOKUP($C3,Fixtures!A:I,5,FALSE)</f>
        <v>CON</v>
      </c>
      <c r="N3" s="20" t="s">
        <v>2681</v>
      </c>
      <c r="O3" s="31">
        <f>VLOOKUP($B3,PickedPlayers!D:Q,10,FALSE)</f>
        <v>0</v>
      </c>
      <c r="P3" s="30" t="str">
        <f>VLOOKUP($C3,Fixtures!A:I,6,FALSE)</f>
        <v>MEX</v>
      </c>
      <c r="Q3" s="20" t="s">
        <v>2681</v>
      </c>
      <c r="R3" s="31">
        <f>VLOOKUP($B3,PickedPlayers!D:Q,11,FALSE)</f>
        <v>0</v>
      </c>
      <c r="S3" s="30" t="str">
        <f>VLOOKUP($C3,Fixtures!A:I,7,FALSE)</f>
        <v>NOR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517</v>
      </c>
      <c r="C4" s="29" t="s">
        <v>79</v>
      </c>
      <c r="D4" s="30" t="str">
        <f>VLOOKUP($C4,Fixtures!A:I,2,FALSE)</f>
        <v>NED</v>
      </c>
      <c r="E4" s="20" t="s">
        <v>2680</v>
      </c>
      <c r="F4" s="31">
        <f>VLOOKUP($B4,PickedPlayers!D:Q,7,FALSE)</f>
        <v>0</v>
      </c>
      <c r="G4" s="30" t="str">
        <f>VLOOKUP($C4,Fixtures!A:I,3,FALSE)</f>
        <v>TUN</v>
      </c>
      <c r="H4" s="20" t="s">
        <v>2680</v>
      </c>
      <c r="I4" s="31">
        <f>VLOOKUP($B4,PickedPlayers!D:Q,8,FALSE)</f>
        <v>0</v>
      </c>
      <c r="J4" s="30" t="str">
        <f>VLOOKUP($C4,Fixtures!A:I,4,FALSE)</f>
        <v>SWE</v>
      </c>
      <c r="K4" s="20" t="s">
        <v>2680</v>
      </c>
      <c r="L4" s="31">
        <f>VLOOKUP($B4,PickedPlayers!D:Q,9,FALSE)</f>
        <v>0</v>
      </c>
      <c r="M4" s="30" t="str">
        <f>VLOOKUP($C4,Fixtures!A:I,5,FALSE)</f>
        <v>BRA</v>
      </c>
      <c r="N4" s="20" t="s">
        <v>2680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2681</v>
      </c>
      <c r="F5" s="31">
        <f>VLOOKUP($B5,PickedPlayers!D:Q,7,FALSE)</f>
        <v>0</v>
      </c>
      <c r="G5" s="30" t="str">
        <f>VLOOKUP($C5,Fixtures!A:I,3,FALSE)</f>
        <v>IRQ</v>
      </c>
      <c r="H5" s="20" t="s">
        <v>2681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2681</v>
      </c>
      <c r="O5" s="31">
        <f>VLOOKUP($B5,PickedPlayers!D:Q,10,FALSE)</f>
        <v>0</v>
      </c>
      <c r="P5" s="30" t="str">
        <f>VLOOKUP($C5,Fixtures!A:I,6,FALSE)</f>
        <v>PAR</v>
      </c>
      <c r="Q5" s="20" t="s">
        <v>2681</v>
      </c>
      <c r="R5" s="31">
        <f>VLOOKUP($B5,PickedPlayers!D:Q,11,FALSE)</f>
        <v>0</v>
      </c>
      <c r="S5" s="30" t="str">
        <f>VLOOKUP($C5,Fixtures!A:I,7,FALSE)</f>
        <v>MOR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456</v>
      </c>
      <c r="C6" s="29" t="s">
        <v>2515</v>
      </c>
      <c r="D6" s="30" t="str">
        <f>VLOOKUP($C6,Fixtures!A:I,2,FALSE)</f>
        <v>PAR</v>
      </c>
      <c r="E6" s="20" t="s">
        <v>2687</v>
      </c>
      <c r="F6" s="31">
        <f>VLOOKUP($B6,PickedPlayers!D:Q,7,FALSE)</f>
        <v>0</v>
      </c>
      <c r="G6" s="30" t="str">
        <f>VLOOKUP($C6,Fixtures!A:I,3,FALSE)</f>
        <v>AUS</v>
      </c>
      <c r="H6" s="20" t="s">
        <v>2681</v>
      </c>
      <c r="I6" s="31">
        <f>VLOOKUP($B6,PickedPlayers!D:Q,8,FALSE)</f>
        <v>0</v>
      </c>
      <c r="J6" s="30" t="str">
        <f>VLOOKUP($C6,Fixtures!A:I,4,FALSE)</f>
        <v>TUR</v>
      </c>
      <c r="K6" s="20" t="s">
        <v>2681</v>
      </c>
      <c r="L6" s="31">
        <f>VLOOKUP($B6,PickedPlayers!D:Q,9,FALSE)</f>
        <v>0</v>
      </c>
      <c r="M6" s="30" t="str">
        <f>VLOOKUP($C6,Fixtures!A:I,5,FALSE)</f>
        <v>BOS</v>
      </c>
      <c r="N6" s="20" t="s">
        <v>2684</v>
      </c>
      <c r="O6" s="31">
        <f>VLOOKUP($B6,PickedPlayers!D:Q,10,FALSE)</f>
        <v>0</v>
      </c>
      <c r="P6" s="30" t="str">
        <f>VLOOKUP($C6,Fixtures!A:I,6,FALSE)</f>
        <v>BEL</v>
      </c>
      <c r="Q6" s="20" t="s">
        <v>2681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2683</v>
      </c>
      <c r="F7" s="31">
        <f>VLOOKUP($B7,PickedPlayers!D:Q,7,FALSE)</f>
        <v>0</v>
      </c>
      <c r="G7" s="30" t="str">
        <f>VLOOKUP($C7,Fixtures!A:I,3,FALSE)</f>
        <v>PAN</v>
      </c>
      <c r="H7" s="20" t="s">
        <v>2679</v>
      </c>
      <c r="I7" s="31">
        <f>VLOOKUP($B7,PickedPlayers!D:Q,8,FALSE)</f>
        <v>0</v>
      </c>
      <c r="J7" s="30" t="str">
        <f>VLOOKUP($C7,Fixtures!A:I,4,FALSE)</f>
        <v>GHA</v>
      </c>
      <c r="K7" s="20" t="s">
        <v>2679</v>
      </c>
      <c r="L7" s="31">
        <f>VLOOKUP($B7,PickedPlayers!D:Q,9,FALSE)</f>
        <v>0</v>
      </c>
      <c r="M7" s="30" t="str">
        <f>VLOOKUP($C7,Fixtures!A:I,5,FALSE)</f>
        <v>POR</v>
      </c>
      <c r="N7" s="20" t="s">
        <v>2682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477</v>
      </c>
      <c r="C8" s="29" t="s">
        <v>39</v>
      </c>
      <c r="D8" s="30" t="str">
        <f>VLOOKUP($C8,Fixtures!A:I,2,FALSE)</f>
        <v>ALG</v>
      </c>
      <c r="E8" s="20" t="s">
        <v>2681</v>
      </c>
      <c r="F8" s="31">
        <f>VLOOKUP($B8,PickedPlayers!D:Q,7,FALSE)</f>
        <v>0</v>
      </c>
      <c r="G8" s="30" t="str">
        <f>VLOOKUP($C8,Fixtures!A:I,3,FALSE)</f>
        <v>AUT</v>
      </c>
      <c r="H8" s="20" t="s">
        <v>2681</v>
      </c>
      <c r="I8" s="31">
        <f>VLOOKUP($B8,PickedPlayers!D:Q,8,FALSE)</f>
        <v>0</v>
      </c>
      <c r="J8" s="30" t="str">
        <f>VLOOKUP($C8,Fixtures!A:I,4,FALSE)</f>
        <v>JOR</v>
      </c>
      <c r="K8" s="20" t="s">
        <v>2684</v>
      </c>
      <c r="L8" s="31">
        <f>VLOOKUP($B8,PickedPlayers!D:Q,9,FALSE)</f>
        <v>0</v>
      </c>
      <c r="M8" s="30" t="str">
        <f>VLOOKUP($C8,Fixtures!A:I,5,FALSE)</f>
        <v>CAP</v>
      </c>
      <c r="N8" s="20" t="s">
        <v>2681</v>
      </c>
      <c r="O8" s="31">
        <f>VLOOKUP($B8,PickedPlayers!D:Q,10,FALSE)</f>
        <v>0</v>
      </c>
      <c r="P8" s="30" t="str">
        <f>VLOOKUP($C8,Fixtures!A:I,6,FALSE)</f>
        <v>EGY</v>
      </c>
      <c r="Q8" s="20" t="s">
        <v>2681</v>
      </c>
      <c r="R8" s="31">
        <f>VLOOKUP($B8,PickedPlayers!D:Q,11,FALSE)</f>
        <v>0</v>
      </c>
      <c r="S8" s="30" t="str">
        <f>VLOOKUP($C8,Fixtures!A:I,7,FALSE)</f>
        <v>SWI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523</v>
      </c>
      <c r="C9" s="29" t="s">
        <v>100</v>
      </c>
      <c r="D9" s="30" t="str">
        <f>VLOOKUP($C9,Fixtures!A:I,2,FALSE)</f>
        <v>UZB</v>
      </c>
      <c r="E9" s="20" t="s">
        <v>2681</v>
      </c>
      <c r="F9" s="31">
        <f>VLOOKUP($B9,PickedPlayers!D:Q,7,FALSE)</f>
        <v>0</v>
      </c>
      <c r="G9" s="30" t="str">
        <f>VLOOKUP($C9,Fixtures!A:I,3,FALSE)</f>
        <v>CON</v>
      </c>
      <c r="H9" s="20" t="s">
        <v>2681</v>
      </c>
      <c r="I9" s="31">
        <f>VLOOKUP($B9,PickedPlayers!D:Q,8,FALSE)</f>
        <v>0</v>
      </c>
      <c r="J9" s="30" t="str">
        <f>VLOOKUP($C9,Fixtures!A:I,4,FALSE)</f>
        <v>POR</v>
      </c>
      <c r="K9" s="20" t="s">
        <v>2681</v>
      </c>
      <c r="L9" s="31">
        <f>VLOOKUP($B9,PickedPlayers!D:Q,9,FALSE)</f>
        <v>0</v>
      </c>
      <c r="M9" s="30" t="str">
        <f>VLOOKUP($C9,Fixtures!A:I,5,FALSE)</f>
        <v>GHA</v>
      </c>
      <c r="N9" s="20" t="s">
        <v>2681</v>
      </c>
      <c r="O9" s="31">
        <f>VLOOKUP($B9,PickedPlayers!D:Q,10,FALSE)</f>
        <v>0</v>
      </c>
      <c r="P9" s="30" t="str">
        <f>VLOOKUP($C9,Fixtures!A:I,6,FALSE)</f>
        <v>SWI</v>
      </c>
      <c r="Q9" s="20" t="s">
        <v>2681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2684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2681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386</v>
      </c>
      <c r="C11" s="29" t="s">
        <v>2515</v>
      </c>
      <c r="D11" s="30" t="str">
        <f>VLOOKUP($C11,Fixtures!A:I,2,FALSE)</f>
        <v>PAR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2679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BEL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BRA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ENG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434</v>
      </c>
      <c r="C13" s="29" t="s">
        <v>2688</v>
      </c>
      <c r="D13" s="30" t="str">
        <f>VLOOKUP($C13,Fixtures!A:I,2,FALSE)</f>
        <v>AUS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2681</v>
      </c>
      <c r="L13" s="31">
        <f>VLOOKUP($B13,PickedPlayers!D:Q,9,FALSE)</f>
        <v>0</v>
      </c>
      <c r="M13" s="58" t="s">
        <v>2859</v>
      </c>
      <c r="N13" s="59"/>
      <c r="O13" s="60"/>
      <c r="P13" s="58" t="s">
        <v>2859</v>
      </c>
      <c r="Q13" s="59"/>
      <c r="R13" s="60"/>
      <c r="S13" s="58" t="s">
        <v>2859</v>
      </c>
      <c r="T13" s="59"/>
      <c r="U13" s="60"/>
      <c r="V13" s="58" t="s">
        <v>2859</v>
      </c>
      <c r="W13" s="59"/>
      <c r="X13" s="60"/>
      <c r="Y13" s="58" t="s">
        <v>2859</v>
      </c>
      <c r="Z13" s="59"/>
      <c r="AA13" s="60"/>
    </row>
    <row r="14" spans="1:27" x14ac:dyDescent="0.25">
      <c r="A14" s="28" t="s">
        <v>2669</v>
      </c>
      <c r="B14" s="19" t="s">
        <v>2389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ARG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278</v>
      </c>
      <c r="C15" s="29" t="s">
        <v>109</v>
      </c>
      <c r="D15" s="30" t="str">
        <f>VLOOKUP($C15,Fixtures!A:I,2,FALSE)</f>
        <v>CRO</v>
      </c>
      <c r="E15" s="20" t="s">
        <v>2685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2681</v>
      </c>
      <c r="L15" s="31">
        <f>VLOOKUP($B15,PickedPlayers!D:Q,9,FALSE)</f>
        <v>0</v>
      </c>
      <c r="M15" s="30" t="str">
        <f>VLOOKUP($C15,Fixtures!A:I,5,FALSE)</f>
        <v>CON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MEX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NOR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324</v>
      </c>
      <c r="C16" s="29" t="s">
        <v>113</v>
      </c>
      <c r="D16" s="30" t="str">
        <f>VLOOKUP($C16,Fixtures!A:I,2,FALSE)</f>
        <v>EGY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IRA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NZL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SEN</v>
      </c>
      <c r="N16" s="20" t="s">
        <v>2686</v>
      </c>
      <c r="O16" s="31">
        <f>VLOOKUP($B16,PickedPlayers!D:Q,10,FALSE)</f>
        <v>0</v>
      </c>
      <c r="P16" s="30" t="str">
        <f>VLOOKUP($C16,Fixtures!A:I,6,FALSE)</f>
        <v>USA</v>
      </c>
      <c r="Q16" s="20" t="s">
        <v>2681</v>
      </c>
      <c r="R16" s="31">
        <f>VLOOKUP($B16,PickedPlayers!D:Q,11,FALSE)</f>
        <v>0</v>
      </c>
      <c r="S16" s="30" t="str">
        <f>VLOOKUP($C16,Fixtures!A:I,7,FALSE)</f>
        <v>SPA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346</v>
      </c>
      <c r="C17" s="29" t="s">
        <v>123</v>
      </c>
      <c r="D17" s="30" t="str">
        <f>VLOOKUP($C17,Fixtures!A:I,2,FALSE)</f>
        <v>CAP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SAU</v>
      </c>
      <c r="H17" s="20" t="s">
        <v>2681</v>
      </c>
      <c r="I17" s="31">
        <f>VLOOKUP($B17,PickedPlayers!D:Q,8,FALSE)</f>
        <v>0</v>
      </c>
      <c r="J17" s="30" t="str">
        <f>VLOOKUP($C17,Fixtures!A:I,4,FALSE)</f>
        <v>URU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AUS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POR</v>
      </c>
      <c r="Q17" s="20" t="s">
        <v>2682</v>
      </c>
      <c r="R17" s="31">
        <f>VLOOKUP($B17,PickedPlayers!D:Q,11,FALSE)</f>
        <v>0</v>
      </c>
      <c r="S17" s="30" t="str">
        <f>VLOOKUP($C17,Fixtures!A:I,7,FALSE)</f>
        <v>BEL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400</v>
      </c>
      <c r="C18" s="29" t="s">
        <v>78</v>
      </c>
      <c r="D18" s="30" t="str">
        <f>VLOOKUP($C18,Fixtures!A:I,2,FALSE)</f>
        <v>MOR</v>
      </c>
      <c r="E18" s="20" t="s">
        <v>2682</v>
      </c>
      <c r="F18" s="31">
        <f>VLOOKUP($B18,PickedPlayers!D:Q,7,FALSE)</f>
        <v>0</v>
      </c>
      <c r="G18" s="30" t="str">
        <f>VLOOKUP($C18,Fixtures!A:I,3,FALSE)</f>
        <v>HAI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SCO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JAP</v>
      </c>
      <c r="N18" s="20" t="s">
        <v>2681</v>
      </c>
      <c r="O18" s="31">
        <f>VLOOKUP($B18,PickedPlayers!D:Q,10,FALSE)</f>
        <v>0</v>
      </c>
      <c r="P18" s="30" t="str">
        <f>VLOOKUP($C18,Fixtures!A:I,6,FALSE)</f>
        <v>NOR</v>
      </c>
      <c r="Q18" s="20" t="s">
        <v>2684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499</v>
      </c>
      <c r="C19" s="34" t="s">
        <v>109</v>
      </c>
      <c r="D19" s="30" t="str">
        <f>VLOOKUP($C19,Fixtures!A:I,2,FALSE)</f>
        <v>CRO</v>
      </c>
      <c r="E19" s="35" t="s">
        <v>2686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2686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2685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2681</v>
      </c>
      <c r="O19" s="31">
        <f>VLOOKUP($B19,PickedPlayers!D:Q,10,FALSE)</f>
        <v>0</v>
      </c>
      <c r="P19" s="30" t="str">
        <f>VLOOKUP($C19,Fixtures!A:I,6,FALSE)</f>
        <v>MEX</v>
      </c>
      <c r="Q19" s="35" t="s">
        <v>2679</v>
      </c>
      <c r="R19" s="31">
        <f>VLOOKUP($B19,PickedPlayers!D:Q,11,FALSE)</f>
        <v>0</v>
      </c>
      <c r="S19" s="30" t="str">
        <f>VLOOKUP($C19,Fixtures!A:I,7,FALSE)</f>
        <v>NOR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308" priority="67" operator="containsText" text="Sub">
      <formula>NOT(ISERROR(SEARCH("Sub",E3)))</formula>
    </cfRule>
    <cfRule type="containsText" dxfId="307" priority="66" operator="containsText" text="Off">
      <formula>NOT(ISERROR(SEARCH("Off",E3)))</formula>
    </cfRule>
    <cfRule type="containsText" dxfId="306" priority="65" operator="containsText" text="Vice Captain">
      <formula>NOT(ISERROR(SEARCH("Vice Captain",E3)))</formula>
    </cfRule>
    <cfRule type="containsText" dxfId="305" priority="69" operator="containsText" text="Picked">
      <formula>NOT(ISERROR(SEARCH("Picked",E3)))</formula>
    </cfRule>
    <cfRule type="containsText" dxfId="304" priority="68" operator="containsText" text="Captain">
      <formula>NOT(ISERROR(SEARCH("Captain",E3)))</formula>
    </cfRule>
  </conditionalFormatting>
  <conditionalFormatting sqref="H3:H19">
    <cfRule type="containsText" dxfId="303" priority="64" operator="containsText" text="Picked">
      <formula>NOT(ISERROR(SEARCH("Picked",H3)))</formula>
    </cfRule>
    <cfRule type="containsText" dxfId="302" priority="63" operator="containsText" text="Captain">
      <formula>NOT(ISERROR(SEARCH("Captain",H3)))</formula>
    </cfRule>
    <cfRule type="containsText" dxfId="301" priority="62" operator="containsText" text="Sub">
      <formula>NOT(ISERROR(SEARCH("Sub",H3)))</formula>
    </cfRule>
    <cfRule type="containsText" dxfId="300" priority="61" operator="containsText" text="Off">
      <formula>NOT(ISERROR(SEARCH("Off",H3)))</formula>
    </cfRule>
    <cfRule type="containsText" dxfId="299" priority="60" operator="containsText" text="Vice Captain">
      <formula>NOT(ISERROR(SEARCH("Vice Captain",H3)))</formula>
    </cfRule>
  </conditionalFormatting>
  <conditionalFormatting sqref="K3:K19">
    <cfRule type="containsText" dxfId="298" priority="58" operator="containsText" text="Captain">
      <formula>NOT(ISERROR(SEARCH("Captain",K3)))</formula>
    </cfRule>
    <cfRule type="containsText" dxfId="297" priority="57" operator="containsText" text="Sub">
      <formula>NOT(ISERROR(SEARCH("Sub",K3)))</formula>
    </cfRule>
    <cfRule type="containsText" dxfId="296" priority="56" operator="containsText" text="Off">
      <formula>NOT(ISERROR(SEARCH("Off",K3)))</formula>
    </cfRule>
    <cfRule type="containsText" dxfId="295" priority="55" operator="containsText" text="Vice Captain">
      <formula>NOT(ISERROR(SEARCH("Vice Captain",K3)))</formula>
    </cfRule>
    <cfRule type="containsText" dxfId="294" priority="59" operator="containsText" text="Picked">
      <formula>NOT(ISERROR(SEARCH("Picked",K3)))</formula>
    </cfRule>
  </conditionalFormatting>
  <conditionalFormatting sqref="M3:M19 P3:P19 S3:S19 V3:V19 Y3:Y19">
    <cfRule type="containsText" dxfId="293" priority="27" operator="containsText" text="Out">
      <formula>NOT(ISERROR(SEARCH("Out",M3)))</formula>
    </cfRule>
    <cfRule type="containsText" dxfId="292" priority="26" operator="containsText" text="tbc">
      <formula>NOT(ISERROR(SEARCH("tbc",M3)))</formula>
    </cfRule>
  </conditionalFormatting>
  <conditionalFormatting sqref="N3:N19">
    <cfRule type="containsText" dxfId="291" priority="1" operator="containsText" text="Vice Captain">
      <formula>NOT(ISERROR(SEARCH("Vice Captain",N3)))</formula>
    </cfRule>
    <cfRule type="containsText" dxfId="290" priority="2" operator="containsText" text="Off">
      <formula>NOT(ISERROR(SEARCH("Off",N3)))</formula>
    </cfRule>
    <cfRule type="containsText" dxfId="289" priority="3" operator="containsText" text="Sub">
      <formula>NOT(ISERROR(SEARCH("Sub",N3)))</formula>
    </cfRule>
    <cfRule type="containsText" dxfId="288" priority="4" operator="containsText" text="Captain">
      <formula>NOT(ISERROR(SEARCH("Captain",N3)))</formula>
    </cfRule>
    <cfRule type="containsText" dxfId="287" priority="5" operator="containsText" text="Picked">
      <formula>NOT(ISERROR(SEARCH("Picked",N3)))</formula>
    </cfRule>
  </conditionalFormatting>
  <conditionalFormatting sqref="Q3:Q19">
    <cfRule type="containsText" dxfId="286" priority="23" operator="containsText" text="Sub">
      <formula>NOT(ISERROR(SEARCH("Sub",Q3)))</formula>
    </cfRule>
    <cfRule type="containsText" dxfId="285" priority="24" operator="containsText" text="Captain">
      <formula>NOT(ISERROR(SEARCH("Captain",Q3)))</formula>
    </cfRule>
    <cfRule type="containsText" dxfId="284" priority="25" operator="containsText" text="Picked">
      <formula>NOT(ISERROR(SEARCH("Picked",Q3)))</formula>
    </cfRule>
    <cfRule type="containsText" dxfId="283" priority="21" operator="containsText" text="Vice Captain">
      <formula>NOT(ISERROR(SEARCH("Vice Captain",Q3)))</formula>
    </cfRule>
    <cfRule type="containsText" dxfId="282" priority="22" operator="containsText" text="Off">
      <formula>NOT(ISERROR(SEARCH("Off",Q3)))</formula>
    </cfRule>
  </conditionalFormatting>
  <conditionalFormatting sqref="T3:T19">
    <cfRule type="containsText" dxfId="281" priority="19" operator="containsText" text="Captain">
      <formula>NOT(ISERROR(SEARCH("Captain",T3)))</formula>
    </cfRule>
    <cfRule type="containsText" dxfId="280" priority="18" operator="containsText" text="Sub">
      <formula>NOT(ISERROR(SEARCH("Sub",T3)))</formula>
    </cfRule>
    <cfRule type="containsText" dxfId="279" priority="16" operator="containsText" text="Vice Captain">
      <formula>NOT(ISERROR(SEARCH("Vice Captain",T3)))</formula>
    </cfRule>
    <cfRule type="containsText" dxfId="278" priority="20" operator="containsText" text="Picked">
      <formula>NOT(ISERROR(SEARCH("Picked",T3)))</formula>
    </cfRule>
    <cfRule type="containsText" dxfId="277" priority="17" operator="containsText" text="Off">
      <formula>NOT(ISERROR(SEARCH("Off",T3)))</formula>
    </cfRule>
  </conditionalFormatting>
  <conditionalFormatting sqref="W3:W19">
    <cfRule type="containsText" dxfId="276" priority="15" operator="containsText" text="Picked">
      <formula>NOT(ISERROR(SEARCH("Picked",W3)))</formula>
    </cfRule>
    <cfRule type="containsText" dxfId="275" priority="14" operator="containsText" text="Captain">
      <formula>NOT(ISERROR(SEARCH("Captain",W3)))</formula>
    </cfRule>
    <cfRule type="containsText" dxfId="274" priority="13" operator="containsText" text="Sub">
      <formula>NOT(ISERROR(SEARCH("Sub",W3)))</formula>
    </cfRule>
    <cfRule type="containsText" dxfId="273" priority="12" operator="containsText" text="Off">
      <formula>NOT(ISERROR(SEARCH("Off",W3)))</formula>
    </cfRule>
    <cfRule type="containsText" dxfId="272" priority="11" operator="containsText" text="Vice Captain">
      <formula>NOT(ISERROR(SEARCH("Vice Captain",W3)))</formula>
    </cfRule>
  </conditionalFormatting>
  <conditionalFormatting sqref="Z3:Z19">
    <cfRule type="containsText" dxfId="271" priority="6" operator="containsText" text="Vice Captain">
      <formula>NOT(ISERROR(SEARCH("Vice Captain",Z3)))</formula>
    </cfRule>
    <cfRule type="containsText" dxfId="270" priority="10" operator="containsText" text="Picked">
      <formula>NOT(ISERROR(SEARCH("Picked",Z3)))</formula>
    </cfRule>
    <cfRule type="containsText" dxfId="269" priority="9" operator="containsText" text="Captain">
      <formula>NOT(ISERROR(SEARCH("Captain",Z3)))</formula>
    </cfRule>
    <cfRule type="containsText" dxfId="268" priority="8" operator="containsText" text="Sub">
      <formula>NOT(ISERROR(SEARCH("Sub",Z3)))</formula>
    </cfRule>
    <cfRule type="containsText" dxfId="26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E5:E19 H5:H19 K5:K19 Z5:Z19 T5:T19 Q5:Q19 N5:N19 W5:W19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2"/>
  <sheetViews>
    <sheetView tabSelected="1" workbookViewId="0">
      <selection sqref="A1:C1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2672</v>
      </c>
      <c r="B1" s="81"/>
      <c r="C1" s="82"/>
      <c r="D1" s="83" t="s">
        <v>2673</v>
      </c>
      <c r="E1" s="84"/>
      <c r="F1" s="85"/>
      <c r="G1" s="77" t="s">
        <v>2674</v>
      </c>
      <c r="H1" s="78"/>
      <c r="I1" s="79"/>
      <c r="J1" s="77" t="s">
        <v>2675</v>
      </c>
      <c r="K1" s="78"/>
      <c r="L1" s="79"/>
      <c r="M1" s="77" t="s">
        <v>41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2681</v>
      </c>
      <c r="F3" s="31">
        <f>VLOOKUP($B3,PickedPlayers!D:Q,7,FALSE)</f>
        <v>0</v>
      </c>
      <c r="G3" s="30" t="str">
        <f>VLOOKUP($C3,Fixtures!A:I,3,FALSE)</f>
        <v>SAU</v>
      </c>
      <c r="H3" s="20" t="s">
        <v>2681</v>
      </c>
      <c r="I3" s="31">
        <f>VLOOKUP($B3,PickedPlayers!D:Q,8,FALSE)</f>
        <v>0</v>
      </c>
      <c r="J3" s="30" t="str">
        <f>VLOOKUP($C3,Fixtures!A:I,4,FALSE)</f>
        <v>URU</v>
      </c>
      <c r="K3" s="20" t="s">
        <v>2681</v>
      </c>
      <c r="L3" s="31">
        <f>VLOOKUP($B3,PickedPlayers!D:Q,9,FALSE)</f>
        <v>0</v>
      </c>
      <c r="M3" s="30" t="str">
        <f>VLOOKUP($C3,Fixtures!A:I,5,FALSE)</f>
        <v>AUS</v>
      </c>
      <c r="N3" s="20" t="s">
        <v>2681</v>
      </c>
      <c r="O3" s="31">
        <f>VLOOKUP($B3,PickedPlayers!D:Q,10,FALSE)</f>
        <v>0</v>
      </c>
      <c r="P3" s="30" t="str">
        <f>VLOOKUP($C3,Fixtures!A:I,6,FALSE)</f>
        <v>POR</v>
      </c>
      <c r="Q3" s="20" t="s">
        <v>2681</v>
      </c>
      <c r="R3" s="31">
        <f>VLOOKUP($B3,PickedPlayers!D:Q,11,FALSE)</f>
        <v>0</v>
      </c>
      <c r="S3" s="30" t="str">
        <f>VLOOKUP($C3,Fixtures!A:I,7,FALSE)</f>
        <v>BEL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525</v>
      </c>
      <c r="C4" s="29" t="s">
        <v>104</v>
      </c>
      <c r="D4" s="30" t="str">
        <f>VLOOKUP($C4,Fixtures!A:I,2,FALSE)</f>
        <v>ENG</v>
      </c>
      <c r="E4" s="20" t="s">
        <v>2680</v>
      </c>
      <c r="F4" s="31">
        <f>VLOOKUP($B4,PickedPlayers!D:Q,7,FALSE)</f>
        <v>0</v>
      </c>
      <c r="G4" s="30" t="str">
        <f>VLOOKUP($C4,Fixtures!A:I,3,FALSE)</f>
        <v>PAN</v>
      </c>
      <c r="H4" s="20" t="s">
        <v>2680</v>
      </c>
      <c r="I4" s="31">
        <f>VLOOKUP($B4,PickedPlayers!D:Q,8,FALSE)</f>
        <v>0</v>
      </c>
      <c r="J4" s="30" t="str">
        <f>VLOOKUP($C4,Fixtures!A:I,4,FALSE)</f>
        <v>GHA</v>
      </c>
      <c r="K4" s="20" t="s">
        <v>2680</v>
      </c>
      <c r="L4" s="31">
        <f>VLOOKUP($B4,PickedPlayers!D:Q,9,FALSE)</f>
        <v>0</v>
      </c>
      <c r="M4" s="30" t="str">
        <f>VLOOKUP($C4,Fixtures!A:I,5,FALSE)</f>
        <v>POR</v>
      </c>
      <c r="N4" s="20" t="s">
        <v>2680</v>
      </c>
      <c r="O4" s="31">
        <f>VLOOKUP($B4,PickedPlayers!D:Q,10,FALSE)</f>
        <v>0</v>
      </c>
      <c r="P4" s="30" t="str">
        <f>VLOOKUP($C4,Fixtures!A:I,6,FALSE)</f>
        <v>out</v>
      </c>
      <c r="Q4" s="20" t="s">
        <v>2680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2681</v>
      </c>
      <c r="F5" s="31">
        <f>VLOOKUP($B5,PickedPlayers!D:Q,7,FALSE)</f>
        <v>0</v>
      </c>
      <c r="G5" s="30" t="str">
        <f>VLOOKUP($C5,Fixtures!A:I,3,FALSE)</f>
        <v>SCO</v>
      </c>
      <c r="H5" s="20" t="s">
        <v>2681</v>
      </c>
      <c r="I5" s="31">
        <f>VLOOKUP($B5,PickedPlayers!D:Q,8,FALSE)</f>
        <v>0</v>
      </c>
      <c r="J5" s="30" t="str">
        <f>VLOOKUP($C5,Fixtures!A:I,4,FALSE)</f>
        <v>HAI</v>
      </c>
      <c r="K5" s="20" t="s">
        <v>2685</v>
      </c>
      <c r="L5" s="31">
        <f>VLOOKUP($B5,PickedPlayers!D:Q,9,FALSE)</f>
        <v>0</v>
      </c>
      <c r="M5" s="30" t="str">
        <f>VLOOKUP($C5,Fixtures!A:I,5,FALSE)</f>
        <v>NED</v>
      </c>
      <c r="N5" s="20" t="s">
        <v>2681</v>
      </c>
      <c r="O5" s="31">
        <f>VLOOKUP($B5,PickedPlayers!D:Q,10,FALSE)</f>
        <v>0</v>
      </c>
      <c r="P5" s="30" t="str">
        <f>VLOOKUP($C5,Fixtures!A:I,6,FALSE)</f>
        <v>CAN</v>
      </c>
      <c r="Q5" s="20" t="s">
        <v>2684</v>
      </c>
      <c r="R5" s="31">
        <f>VLOOKUP($B5,PickedPlayers!D:Q,11,FALSE)</f>
        <v>0</v>
      </c>
      <c r="S5" s="30" t="str">
        <f>VLOOKUP($C5,Fixtures!A:I,7,FALSE)</f>
        <v>FRA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2681</v>
      </c>
      <c r="F6" s="31">
        <f>VLOOKUP($B6,PickedPlayers!D:Q,7,FALSE)</f>
        <v>0</v>
      </c>
      <c r="G6" s="30" t="str">
        <f>VLOOKUP($C6,Fixtures!A:I,3,FALSE)</f>
        <v>SAU</v>
      </c>
      <c r="H6" s="20" t="s">
        <v>2681</v>
      </c>
      <c r="I6" s="31">
        <f>VLOOKUP($B6,PickedPlayers!D:Q,8,FALSE)</f>
        <v>0</v>
      </c>
      <c r="J6" s="30" t="str">
        <f>VLOOKUP($C6,Fixtures!A:I,4,FALSE)</f>
        <v>URU</v>
      </c>
      <c r="K6" s="20" t="s">
        <v>2681</v>
      </c>
      <c r="L6" s="31">
        <f>VLOOKUP($B6,PickedPlayers!D:Q,9,FALSE)</f>
        <v>0</v>
      </c>
      <c r="M6" s="30" t="str">
        <f>VLOOKUP($C6,Fixtures!A:I,5,FALSE)</f>
        <v>AUS</v>
      </c>
      <c r="N6" s="20" t="s">
        <v>2681</v>
      </c>
      <c r="O6" s="31">
        <f>VLOOKUP($B6,PickedPlayers!D:Q,10,FALSE)</f>
        <v>0</v>
      </c>
      <c r="P6" s="30" t="str">
        <f>VLOOKUP($C6,Fixtures!A:I,6,FALSE)</f>
        <v>POR</v>
      </c>
      <c r="Q6" s="20" t="s">
        <v>2681</v>
      </c>
      <c r="R6" s="31">
        <f>VLOOKUP($B6,PickedPlayers!D:Q,11,FALSE)</f>
        <v>0</v>
      </c>
      <c r="S6" s="30" t="str">
        <f>VLOOKUP($C6,Fixtures!A:I,7,FALSE)</f>
        <v>BEL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2687</v>
      </c>
      <c r="F7" s="31">
        <f>VLOOKUP($B7,PickedPlayers!D:Q,7,FALSE)</f>
        <v>0</v>
      </c>
      <c r="G7" s="30" t="str">
        <f>VLOOKUP($C7,Fixtures!A:I,3,FALSE)</f>
        <v>PAN</v>
      </c>
      <c r="H7" s="20" t="s">
        <v>2681</v>
      </c>
      <c r="I7" s="31">
        <f>VLOOKUP($B7,PickedPlayers!D:Q,8,FALSE)</f>
        <v>0</v>
      </c>
      <c r="J7" s="30" t="str">
        <f>VLOOKUP($C7,Fixtures!A:I,4,FALSE)</f>
        <v>GHA</v>
      </c>
      <c r="K7" s="20" t="s">
        <v>2681</v>
      </c>
      <c r="L7" s="31">
        <f>VLOOKUP($B7,PickedPlayers!D:Q,9,FALSE)</f>
        <v>0</v>
      </c>
      <c r="M7" s="30" t="str">
        <f>VLOOKUP($C7,Fixtures!A:I,5,FALSE)</f>
        <v>POR</v>
      </c>
      <c r="N7" s="20" t="s">
        <v>2686</v>
      </c>
      <c r="O7" s="31">
        <f>VLOOKUP($B7,PickedPlayers!D:Q,10,FALSE)</f>
        <v>0</v>
      </c>
      <c r="P7" s="30" t="str">
        <f>VLOOKUP($C7,Fixtures!A:I,6,FALSE)</f>
        <v>out</v>
      </c>
      <c r="Q7" s="20" t="s">
        <v>2686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2682</v>
      </c>
      <c r="F8" s="31">
        <f>VLOOKUP($B8,PickedPlayers!D:Q,7,FALSE)</f>
        <v>0</v>
      </c>
      <c r="G8" s="30" t="str">
        <f>VLOOKUP($C8,Fixtures!A:I,3,FALSE)</f>
        <v>GHA</v>
      </c>
      <c r="H8" s="20" t="s">
        <v>2681</v>
      </c>
      <c r="I8" s="31">
        <f>VLOOKUP($B8,PickedPlayers!D:Q,8,FALSE)</f>
        <v>0</v>
      </c>
      <c r="J8" s="30" t="str">
        <f>VLOOKUP($C8,Fixtures!A:I,4,FALSE)</f>
        <v>PAN</v>
      </c>
      <c r="K8" s="20" t="s">
        <v>2679</v>
      </c>
      <c r="L8" s="31">
        <f>VLOOKUP($B8,PickedPlayers!D:Q,9,FALSE)</f>
        <v>0</v>
      </c>
      <c r="M8" s="30" t="str">
        <f>VLOOKUP($C8,Fixtures!A:I,5,FALSE)</f>
        <v>CON</v>
      </c>
      <c r="N8" s="20" t="s">
        <v>2683</v>
      </c>
      <c r="O8" s="31">
        <f>VLOOKUP($B8,PickedPlayers!D:Q,10,FALSE)</f>
        <v>0</v>
      </c>
      <c r="P8" s="30" t="str">
        <f>VLOOKUP($C8,Fixtures!A:I,6,FALSE)</f>
        <v>MEX</v>
      </c>
      <c r="Q8" s="20" t="s">
        <v>2681</v>
      </c>
      <c r="R8" s="31">
        <f>VLOOKUP($B8,PickedPlayers!D:Q,11,FALSE)</f>
        <v>0</v>
      </c>
      <c r="S8" s="30" t="str">
        <f>VLOOKUP($C8,Fixtures!A:I,7,FALSE)</f>
        <v>NOR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2681</v>
      </c>
      <c r="F9" s="31">
        <f>VLOOKUP($B9,PickedPlayers!D:Q,7,FALSE)</f>
        <v>0</v>
      </c>
      <c r="G9" s="30" t="str">
        <f>VLOOKUP($C9,Fixtures!A:I,3,FALSE)</f>
        <v>SWE</v>
      </c>
      <c r="H9" s="20" t="s">
        <v>2687</v>
      </c>
      <c r="I9" s="31">
        <f>VLOOKUP($B9,PickedPlayers!D:Q,8,FALSE)</f>
        <v>0</v>
      </c>
      <c r="J9" s="30" t="str">
        <f>VLOOKUP($C9,Fixtures!A:I,4,FALSE)</f>
        <v>TUN</v>
      </c>
      <c r="K9" s="20" t="s">
        <v>2682</v>
      </c>
      <c r="L9" s="31">
        <f>VLOOKUP($B9,PickedPlayers!D:Q,9,FALSE)</f>
        <v>0</v>
      </c>
      <c r="M9" s="30" t="str">
        <f>VLOOKUP($C9,Fixtures!A:I,5,FALSE)</f>
        <v>MOR</v>
      </c>
      <c r="N9" s="20" t="s">
        <v>2681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2684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2685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2685</v>
      </c>
      <c r="O10" s="31">
        <f>VLOOKUP($B10,PickedPlayers!D:Q,10,FALSE)</f>
        <v>0</v>
      </c>
      <c r="P10" s="30" t="str">
        <f>VLOOKUP($C10,Fixtures!A:I,6,FALSE)</f>
        <v>PAR</v>
      </c>
      <c r="Q10" s="20" t="s">
        <v>2685</v>
      </c>
      <c r="R10" s="31">
        <f>VLOOKUP($B10,PickedPlayers!D:Q,11,FALSE)</f>
        <v>0</v>
      </c>
      <c r="S10" s="30" t="str">
        <f>VLOOKUP($C10,Fixtures!A:I,7,FALSE)</f>
        <v>MOR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2685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2682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2683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SPA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475</v>
      </c>
      <c r="C13" s="29" t="s">
        <v>69</v>
      </c>
      <c r="D13" s="30" t="str">
        <f>VLOOKUP($C13,Fixtures!A:I,2,FALSE)</f>
        <v>JAP</v>
      </c>
      <c r="E13" s="20" t="s">
        <v>2686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out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501</v>
      </c>
      <c r="C14" s="29" t="s">
        <v>66</v>
      </c>
      <c r="D14" s="30" t="str">
        <f>VLOOKUP($C14,Fixtures!A:I,2,FALSE)</f>
        <v>IRQ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2686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2681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BRA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ENG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2681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2684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2684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2684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BEL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2681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2681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2681</v>
      </c>
      <c r="O16" s="31">
        <f>VLOOKUP($B16,PickedPlayers!D:Q,10,FALSE)</f>
        <v>0</v>
      </c>
      <c r="P16" s="30" t="str">
        <f>VLOOKUP($C16,Fixtures!A:I,6,FALSE)</f>
        <v>out</v>
      </c>
      <c r="Q16" s="20" t="s">
        <v>2683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440</v>
      </c>
      <c r="C17" s="29" t="s">
        <v>2689</v>
      </c>
      <c r="D17" s="30" t="str">
        <f>VLOOKUP($C17,Fixtures!A:I,2,FALSE)</f>
        <v>CZE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2681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2681</v>
      </c>
      <c r="L17" s="31">
        <f>VLOOKUP($B17,PickedPlayers!D:Q,9,FALSE)</f>
        <v>0</v>
      </c>
      <c r="M17" s="58" t="s">
        <v>2859</v>
      </c>
      <c r="N17" s="59"/>
      <c r="O17" s="60"/>
      <c r="P17" s="58" t="s">
        <v>2859</v>
      </c>
      <c r="Q17" s="59"/>
      <c r="R17" s="60"/>
      <c r="S17" s="58" t="s">
        <v>2859</v>
      </c>
      <c r="T17" s="59"/>
      <c r="U17" s="60"/>
      <c r="V17" s="58" t="s">
        <v>2859</v>
      </c>
      <c r="W17" s="59"/>
      <c r="X17" s="60"/>
      <c r="Y17" s="58" t="s">
        <v>2859</v>
      </c>
      <c r="Z17" s="59"/>
      <c r="AA17" s="60"/>
    </row>
    <row r="18" spans="1:27" x14ac:dyDescent="0.25">
      <c r="A18" s="28" t="s">
        <v>2671</v>
      </c>
      <c r="B18" s="55" t="s">
        <v>1849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2681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515</v>
      </c>
      <c r="C19" s="34" t="s">
        <v>109</v>
      </c>
      <c r="D19" s="30" t="str">
        <f>VLOOKUP($C19,Fixtures!A:I,2,FALSE)</f>
        <v>CRO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2683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2686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MEX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NOR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266" priority="67" operator="containsText" text="Sub">
      <formula>NOT(ISERROR(SEARCH("Sub",E3)))</formula>
    </cfRule>
    <cfRule type="containsText" dxfId="265" priority="66" operator="containsText" text="Off">
      <formula>NOT(ISERROR(SEARCH("Off",E3)))</formula>
    </cfRule>
    <cfRule type="containsText" dxfId="264" priority="65" operator="containsText" text="Vice Captain">
      <formula>NOT(ISERROR(SEARCH("Vice Captain",E3)))</formula>
    </cfRule>
    <cfRule type="containsText" dxfId="263" priority="69" operator="containsText" text="Picked">
      <formula>NOT(ISERROR(SEARCH("Picked",E3)))</formula>
    </cfRule>
    <cfRule type="containsText" dxfId="262" priority="68" operator="containsText" text="Captain">
      <formula>NOT(ISERROR(SEARCH("Captain",E3)))</formula>
    </cfRule>
  </conditionalFormatting>
  <conditionalFormatting sqref="H3:H19">
    <cfRule type="containsText" dxfId="261" priority="62" operator="containsText" text="Picked">
      <formula>NOT(ISERROR(SEARCH("Picked",H3)))</formula>
    </cfRule>
    <cfRule type="containsText" dxfId="260" priority="61" operator="containsText" text="Captain">
      <formula>NOT(ISERROR(SEARCH("Captain",H3)))</formula>
    </cfRule>
    <cfRule type="containsText" dxfId="259" priority="60" operator="containsText" text="Sub">
      <formula>NOT(ISERROR(SEARCH("Sub",H3)))</formula>
    </cfRule>
    <cfRule type="containsText" dxfId="258" priority="59" operator="containsText" text="Off">
      <formula>NOT(ISERROR(SEARCH("Off",H3)))</formula>
    </cfRule>
    <cfRule type="containsText" dxfId="257" priority="58" operator="containsText" text="Vice Captain">
      <formula>NOT(ISERROR(SEARCH("Vice Captain",H3)))</formula>
    </cfRule>
  </conditionalFormatting>
  <conditionalFormatting sqref="K3:K19">
    <cfRule type="containsText" dxfId="256" priority="56" operator="containsText" text="Captain">
      <formula>NOT(ISERROR(SEARCH("Captain",K3)))</formula>
    </cfRule>
    <cfRule type="containsText" dxfId="255" priority="55" operator="containsText" text="Sub">
      <formula>NOT(ISERROR(SEARCH("Sub",K3)))</formula>
    </cfRule>
    <cfRule type="containsText" dxfId="254" priority="54" operator="containsText" text="Off">
      <formula>NOT(ISERROR(SEARCH("Off",K3)))</formula>
    </cfRule>
    <cfRule type="containsText" dxfId="253" priority="53" operator="containsText" text="Vice Captain">
      <formula>NOT(ISERROR(SEARCH("Vice Captain",K3)))</formula>
    </cfRule>
    <cfRule type="containsText" dxfId="252" priority="57" operator="containsText" text="Picked">
      <formula>NOT(ISERROR(SEARCH("Picked",K3)))</formula>
    </cfRule>
  </conditionalFormatting>
  <conditionalFormatting sqref="M3:M19 P3:P19 S3:S19 V3:V19 Y3:Y19">
    <cfRule type="containsText" dxfId="251" priority="27" operator="containsText" text="Out">
      <formula>NOT(ISERROR(SEARCH("Out",M3)))</formula>
    </cfRule>
    <cfRule type="containsText" dxfId="250" priority="26" operator="containsText" text="tbc">
      <formula>NOT(ISERROR(SEARCH("tbc",M3)))</formula>
    </cfRule>
  </conditionalFormatting>
  <conditionalFormatting sqref="N3:N19">
    <cfRule type="containsText" dxfId="249" priority="1" operator="containsText" text="Vice Captain">
      <formula>NOT(ISERROR(SEARCH("Vice Captain",N3)))</formula>
    </cfRule>
    <cfRule type="containsText" dxfId="248" priority="2" operator="containsText" text="Off">
      <formula>NOT(ISERROR(SEARCH("Off",N3)))</formula>
    </cfRule>
    <cfRule type="containsText" dxfId="247" priority="3" operator="containsText" text="Sub">
      <formula>NOT(ISERROR(SEARCH("Sub",N3)))</formula>
    </cfRule>
    <cfRule type="containsText" dxfId="246" priority="4" operator="containsText" text="Captain">
      <formula>NOT(ISERROR(SEARCH("Captain",N3)))</formula>
    </cfRule>
    <cfRule type="containsText" dxfId="245" priority="5" operator="containsText" text="Picked">
      <formula>NOT(ISERROR(SEARCH("Picked",N3)))</formula>
    </cfRule>
  </conditionalFormatting>
  <conditionalFormatting sqref="Q3:Q19">
    <cfRule type="containsText" dxfId="244" priority="23" operator="containsText" text="Sub">
      <formula>NOT(ISERROR(SEARCH("Sub",Q3)))</formula>
    </cfRule>
    <cfRule type="containsText" dxfId="243" priority="24" operator="containsText" text="Captain">
      <formula>NOT(ISERROR(SEARCH("Captain",Q3)))</formula>
    </cfRule>
    <cfRule type="containsText" dxfId="242" priority="25" operator="containsText" text="Picked">
      <formula>NOT(ISERROR(SEARCH("Picked",Q3)))</formula>
    </cfRule>
    <cfRule type="containsText" dxfId="241" priority="21" operator="containsText" text="Vice Captain">
      <formula>NOT(ISERROR(SEARCH("Vice Captain",Q3)))</formula>
    </cfRule>
    <cfRule type="containsText" dxfId="240" priority="22" operator="containsText" text="Off">
      <formula>NOT(ISERROR(SEARCH("Off",Q3)))</formula>
    </cfRule>
  </conditionalFormatting>
  <conditionalFormatting sqref="T3:T19">
    <cfRule type="containsText" dxfId="239" priority="19" operator="containsText" text="Captain">
      <formula>NOT(ISERROR(SEARCH("Captain",T3)))</formula>
    </cfRule>
    <cfRule type="containsText" dxfId="238" priority="18" operator="containsText" text="Sub">
      <formula>NOT(ISERROR(SEARCH("Sub",T3)))</formula>
    </cfRule>
    <cfRule type="containsText" dxfId="237" priority="16" operator="containsText" text="Vice Captain">
      <formula>NOT(ISERROR(SEARCH("Vice Captain",T3)))</formula>
    </cfRule>
    <cfRule type="containsText" dxfId="236" priority="20" operator="containsText" text="Picked">
      <formula>NOT(ISERROR(SEARCH("Picked",T3)))</formula>
    </cfRule>
    <cfRule type="containsText" dxfId="235" priority="17" operator="containsText" text="Off">
      <formula>NOT(ISERROR(SEARCH("Off",T3)))</formula>
    </cfRule>
  </conditionalFormatting>
  <conditionalFormatting sqref="W3:W19">
    <cfRule type="containsText" dxfId="234" priority="15" operator="containsText" text="Picked">
      <formula>NOT(ISERROR(SEARCH("Picked",W3)))</formula>
    </cfRule>
    <cfRule type="containsText" dxfId="233" priority="14" operator="containsText" text="Captain">
      <formula>NOT(ISERROR(SEARCH("Captain",W3)))</formula>
    </cfRule>
    <cfRule type="containsText" dxfId="232" priority="13" operator="containsText" text="Sub">
      <formula>NOT(ISERROR(SEARCH("Sub",W3)))</formula>
    </cfRule>
    <cfRule type="containsText" dxfId="231" priority="12" operator="containsText" text="Off">
      <formula>NOT(ISERROR(SEARCH("Off",W3)))</formula>
    </cfRule>
    <cfRule type="containsText" dxfId="230" priority="11" operator="containsText" text="Vice Captain">
      <formula>NOT(ISERROR(SEARCH("Vice Captain",W3)))</formula>
    </cfRule>
  </conditionalFormatting>
  <conditionalFormatting sqref="Z3:Z19">
    <cfRule type="containsText" dxfId="229" priority="6" operator="containsText" text="Vice Captain">
      <formula>NOT(ISERROR(SEARCH("Vice Captain",Z3)))</formula>
    </cfRule>
    <cfRule type="containsText" dxfId="228" priority="10" operator="containsText" text="Picked">
      <formula>NOT(ISERROR(SEARCH("Picked",Z3)))</formula>
    </cfRule>
    <cfRule type="containsText" dxfId="227" priority="9" operator="containsText" text="Captain">
      <formula>NOT(ISERROR(SEARCH("Captain",Z3)))</formula>
    </cfRule>
    <cfRule type="containsText" dxfId="226" priority="8" operator="containsText" text="Sub">
      <formula>NOT(ISERROR(SEARCH("Sub",Z3)))</formula>
    </cfRule>
    <cfRule type="containsText" dxfId="22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H5:H19 K5:K19 E5:E19 Q5:Q19 N5:N19 W5:W19 T5:T19 Z5:Z19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2"/>
  <sheetViews>
    <sheetView workbookViewId="0">
      <selection activeCell="J20" sqref="J20:L21"/>
    </sheetView>
  </sheetViews>
  <sheetFormatPr defaultColWidth="9.140625" defaultRowHeight="15" zeroHeight="1" x14ac:dyDescent="0.25"/>
  <cols>
    <col min="1" max="1" width="9.140625" style="54"/>
    <col min="2" max="2" width="14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2692</v>
      </c>
      <c r="B1" s="81"/>
      <c r="C1" s="82"/>
      <c r="D1" s="83" t="s">
        <v>2673</v>
      </c>
      <c r="E1" s="84"/>
      <c r="F1" s="85"/>
      <c r="G1" s="77" t="s">
        <v>2674</v>
      </c>
      <c r="H1" s="78"/>
      <c r="I1" s="79"/>
      <c r="J1" s="77" t="s">
        <v>2675</v>
      </c>
      <c r="K1" s="78"/>
      <c r="L1" s="79"/>
      <c r="M1" s="77" t="s">
        <v>41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2681</v>
      </c>
      <c r="F3" s="31">
        <f>VLOOKUP($B3,PickedPlayers!D:Q,7,FALSE)</f>
        <v>0</v>
      </c>
      <c r="G3" s="30" t="str">
        <f>VLOOKUP($C3,Fixtures!A:I,3,FALSE)</f>
        <v>HAI</v>
      </c>
      <c r="H3" s="20" t="s">
        <v>2681</v>
      </c>
      <c r="I3" s="31">
        <f>VLOOKUP($B3,PickedPlayers!D:Q,8,FALSE)</f>
        <v>0</v>
      </c>
      <c r="J3" s="30" t="str">
        <f>VLOOKUP($C3,Fixtures!A:I,4,FALSE)</f>
        <v>SCO</v>
      </c>
      <c r="K3" s="20" t="s">
        <v>2681</v>
      </c>
      <c r="L3" s="31">
        <f>VLOOKUP($B3,PickedPlayers!D:Q,9,FALSE)</f>
        <v>0</v>
      </c>
      <c r="M3" s="30" t="str">
        <f>VLOOKUP($C3,Fixtures!A:I,5,FALSE)</f>
        <v>JAP</v>
      </c>
      <c r="N3" s="20" t="s">
        <v>2680</v>
      </c>
      <c r="O3" s="31">
        <f>VLOOKUP($B3,PickedPlayers!D:Q,10,FALSE)</f>
        <v>0</v>
      </c>
      <c r="P3" s="30" t="str">
        <f>VLOOKUP($C3,Fixtures!A:I,6,FALSE)</f>
        <v>NOR</v>
      </c>
      <c r="Q3" s="20" t="s">
        <v>2680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513</v>
      </c>
      <c r="C4" s="29" t="s">
        <v>2515</v>
      </c>
      <c r="D4" s="30" t="str">
        <f>VLOOKUP($C4,Fixtures!A:I,2,FALSE)</f>
        <v>PAR</v>
      </c>
      <c r="E4" s="20" t="s">
        <v>2680</v>
      </c>
      <c r="F4" s="31">
        <f>VLOOKUP($B4,PickedPlayers!D:Q,7,FALSE)</f>
        <v>0</v>
      </c>
      <c r="G4" s="30" t="str">
        <f>VLOOKUP($C4,Fixtures!A:I,3,FALSE)</f>
        <v>AUS</v>
      </c>
      <c r="H4" s="20" t="s">
        <v>2680</v>
      </c>
      <c r="I4" s="31">
        <f>VLOOKUP($B4,PickedPlayers!D:Q,8,FALSE)</f>
        <v>0</v>
      </c>
      <c r="J4" s="30" t="str">
        <f>VLOOKUP($C4,Fixtures!A:I,4,FALSE)</f>
        <v>TUR</v>
      </c>
      <c r="K4" s="20" t="s">
        <v>2680</v>
      </c>
      <c r="L4" s="31">
        <f>VLOOKUP($B4,PickedPlayers!D:Q,9,FALSE)</f>
        <v>0</v>
      </c>
      <c r="M4" s="30" t="str">
        <f>VLOOKUP($C4,Fixtures!A:I,5,FALSE)</f>
        <v>BOS</v>
      </c>
      <c r="N4" s="20" t="s">
        <v>2681</v>
      </c>
      <c r="O4" s="31">
        <f>VLOOKUP($B4,PickedPlayers!D:Q,10,FALSE)</f>
        <v>0</v>
      </c>
      <c r="P4" s="30" t="str">
        <f>VLOOKUP($C4,Fixtures!A:I,6,FALSE)</f>
        <v>BEL</v>
      </c>
      <c r="Q4" s="20" t="s">
        <v>2681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2681</v>
      </c>
      <c r="F5" s="31">
        <f>VLOOKUP($B5,PickedPlayers!D:Q,7,FALSE)</f>
        <v>0</v>
      </c>
      <c r="G5" s="30" t="str">
        <f>VLOOKUP($C5,Fixtures!A:I,3,FALSE)</f>
        <v>GHA</v>
      </c>
      <c r="H5" s="20" t="s">
        <v>2681</v>
      </c>
      <c r="I5" s="31">
        <f>VLOOKUP($B5,PickedPlayers!D:Q,8,FALSE)</f>
        <v>0</v>
      </c>
      <c r="J5" s="30" t="str">
        <f>VLOOKUP($C5,Fixtures!A:I,4,FALSE)</f>
        <v>PAN</v>
      </c>
      <c r="K5" s="20" t="s">
        <v>2681</v>
      </c>
      <c r="L5" s="31">
        <f>VLOOKUP($B5,PickedPlayers!D:Q,9,FALSE)</f>
        <v>0</v>
      </c>
      <c r="M5" s="30" t="str">
        <f>VLOOKUP($C5,Fixtures!A:I,5,FALSE)</f>
        <v>CON</v>
      </c>
      <c r="N5" s="20" t="s">
        <v>2681</v>
      </c>
      <c r="O5" s="31">
        <f>VLOOKUP($B5,PickedPlayers!D:Q,10,FALSE)</f>
        <v>0</v>
      </c>
      <c r="P5" s="30" t="str">
        <f>VLOOKUP($C5,Fixtures!A:I,6,FALSE)</f>
        <v>MEX</v>
      </c>
      <c r="Q5" s="20" t="s">
        <v>2681</v>
      </c>
      <c r="R5" s="31">
        <f>VLOOKUP($B5,PickedPlayers!D:Q,11,FALSE)</f>
        <v>0</v>
      </c>
      <c r="S5" s="30" t="str">
        <f>VLOOKUP($C5,Fixtures!A:I,7,FALSE)</f>
        <v>NOR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2684</v>
      </c>
      <c r="F6" s="31">
        <f>VLOOKUP($B6,PickedPlayers!D:Q,7,FALSE)</f>
        <v>0</v>
      </c>
      <c r="G6" s="30" t="str">
        <f>VLOOKUP($C6,Fixtures!A:I,3,FALSE)</f>
        <v>IVO</v>
      </c>
      <c r="H6" s="20" t="s">
        <v>2683</v>
      </c>
      <c r="I6" s="31">
        <f>VLOOKUP($B6,PickedPlayers!D:Q,8,FALSE)</f>
        <v>0</v>
      </c>
      <c r="J6" s="30" t="str">
        <f>VLOOKUP($C6,Fixtures!A:I,4,FALSE)</f>
        <v>ECU</v>
      </c>
      <c r="K6" s="20" t="s">
        <v>2683</v>
      </c>
      <c r="L6" s="31">
        <f>VLOOKUP($B6,PickedPlayers!D:Q,9,FALSE)</f>
        <v>0</v>
      </c>
      <c r="M6" s="30" t="str">
        <f>VLOOKUP($C6,Fixtures!A:I,5,FALSE)</f>
        <v>PAR</v>
      </c>
      <c r="N6" s="20" t="s">
        <v>2683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2681</v>
      </c>
      <c r="F7" s="31">
        <f>VLOOKUP($B7,PickedPlayers!D:Q,7,FALSE)</f>
        <v>0</v>
      </c>
      <c r="G7" s="30" t="str">
        <f>VLOOKUP($C7,Fixtures!A:I,3,FALSE)</f>
        <v>HAI</v>
      </c>
      <c r="H7" s="20" t="s">
        <v>2685</v>
      </c>
      <c r="I7" s="31">
        <f>VLOOKUP($B7,PickedPlayers!D:Q,8,FALSE)</f>
        <v>0</v>
      </c>
      <c r="J7" s="30" t="str">
        <f>VLOOKUP($C7,Fixtures!A:I,4,FALSE)</f>
        <v>SCO</v>
      </c>
      <c r="K7" s="20" t="s">
        <v>2681</v>
      </c>
      <c r="L7" s="31">
        <f>VLOOKUP($B7,PickedPlayers!D:Q,9,FALSE)</f>
        <v>0</v>
      </c>
      <c r="M7" s="30" t="str">
        <f>VLOOKUP($C7,Fixtures!A:I,5,FALSE)</f>
        <v>JAP</v>
      </c>
      <c r="N7" s="20" t="s">
        <v>2681</v>
      </c>
      <c r="O7" s="31">
        <f>VLOOKUP($B7,PickedPlayers!D:Q,10,FALSE)</f>
        <v>0</v>
      </c>
      <c r="P7" s="30" t="str">
        <f>VLOOKUP($C7,Fixtures!A:I,6,FALSE)</f>
        <v>NOR</v>
      </c>
      <c r="Q7" s="20" t="s">
        <v>2681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2679</v>
      </c>
      <c r="F8" s="31">
        <f>VLOOKUP($B8,PickedPlayers!D:Q,7,FALSE)</f>
        <v>0</v>
      </c>
      <c r="G8" s="30" t="str">
        <f>VLOOKUP($C8,Fixtures!A:I,3,FALSE)</f>
        <v>UZB</v>
      </c>
      <c r="H8" s="20" t="s">
        <v>2681</v>
      </c>
      <c r="I8" s="31">
        <f>VLOOKUP($B8,PickedPlayers!D:Q,8,FALSE)</f>
        <v>0</v>
      </c>
      <c r="J8" s="30" t="str">
        <f>VLOOKUP($C8,Fixtures!A:I,4,FALSE)</f>
        <v>COL</v>
      </c>
      <c r="K8" s="20" t="s">
        <v>2681</v>
      </c>
      <c r="L8" s="31">
        <f>VLOOKUP($B8,PickedPlayers!D:Q,9,FALSE)</f>
        <v>0</v>
      </c>
      <c r="M8" s="30" t="str">
        <f>VLOOKUP($C8,Fixtures!A:I,5,FALSE)</f>
        <v>CRO</v>
      </c>
      <c r="N8" s="20" t="s">
        <v>2682</v>
      </c>
      <c r="O8" s="31">
        <f>VLOOKUP($B8,PickedPlayers!D:Q,10,FALSE)</f>
        <v>0</v>
      </c>
      <c r="P8" s="30" t="str">
        <f>VLOOKUP($C8,Fixtures!A:I,6,FALSE)</f>
        <v>SPA</v>
      </c>
      <c r="Q8" s="20" t="s">
        <v>2681</v>
      </c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473</v>
      </c>
      <c r="C9" s="29" t="s">
        <v>2689</v>
      </c>
      <c r="D9" s="30" t="str">
        <f>VLOOKUP($C9,Fixtures!A:I,2,FALSE)</f>
        <v>CZE</v>
      </c>
      <c r="E9" s="20" t="s">
        <v>2683</v>
      </c>
      <c r="F9" s="31">
        <f>VLOOKUP($B9,PickedPlayers!D:Q,7,FALSE)</f>
        <v>0</v>
      </c>
      <c r="G9" s="30" t="str">
        <f>VLOOKUP($C9,Fixtures!A:I,3,FALSE)</f>
        <v>MEX</v>
      </c>
      <c r="H9" s="20" t="s">
        <v>2681</v>
      </c>
      <c r="I9" s="31">
        <f>VLOOKUP($B9,PickedPlayers!D:Q,8,FALSE)</f>
        <v>0</v>
      </c>
      <c r="J9" s="30" t="str">
        <f>VLOOKUP($C9,Fixtures!A:I,4,FALSE)</f>
        <v>SOU</v>
      </c>
      <c r="K9" s="20" t="s">
        <v>2681</v>
      </c>
      <c r="L9" s="31">
        <f>VLOOKUP($B9,PickedPlayers!D:Q,9,FALSE)</f>
        <v>0</v>
      </c>
      <c r="M9" s="58" t="s">
        <v>2859</v>
      </c>
      <c r="N9" s="59"/>
      <c r="O9" s="60"/>
      <c r="P9" s="58" t="s">
        <v>2859</v>
      </c>
      <c r="Q9" s="59"/>
      <c r="R9" s="60"/>
      <c r="S9" s="58" t="s">
        <v>2859</v>
      </c>
      <c r="T9" s="59"/>
      <c r="U9" s="60"/>
      <c r="V9" s="58" t="s">
        <v>2859</v>
      </c>
      <c r="W9" s="59"/>
      <c r="X9" s="60"/>
      <c r="Y9" s="58" t="s">
        <v>2859</v>
      </c>
      <c r="Z9" s="59"/>
      <c r="AA9" s="60"/>
    </row>
    <row r="10" spans="1:27" x14ac:dyDescent="0.25">
      <c r="A10" s="28" t="s">
        <v>2668</v>
      </c>
      <c r="B10" s="19" t="s">
        <v>2520</v>
      </c>
      <c r="C10" s="29" t="s">
        <v>2515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BEL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328</v>
      </c>
      <c r="C11" s="29" t="s">
        <v>39</v>
      </c>
      <c r="D11" s="30" t="str">
        <f>VLOOKUP($C11,Fixtures!A:I,2,FALSE)</f>
        <v>ALG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AUT</v>
      </c>
      <c r="H11" s="20" t="s">
        <v>2684</v>
      </c>
      <c r="I11" s="31">
        <f>VLOOKUP($B11,PickedPlayers!D:Q,8,FALSE)</f>
        <v>0</v>
      </c>
      <c r="J11" s="30" t="str">
        <f>VLOOKUP($C11,Fixtures!A:I,4,FALSE)</f>
        <v>JOR</v>
      </c>
      <c r="K11" s="20" t="s">
        <v>2679</v>
      </c>
      <c r="L11" s="31">
        <f>VLOOKUP($B11,PickedPlayers!D:Q,9,FALSE)</f>
        <v>0</v>
      </c>
      <c r="M11" s="30" t="str">
        <f>VLOOKUP($C11,Fixtures!A:I,5,FALSE)</f>
        <v>CAP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EGY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SWI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330</v>
      </c>
      <c r="C12" s="29" t="s">
        <v>123</v>
      </c>
      <c r="D12" s="30" t="str">
        <f>VLOOKUP($C12,Fixtures!A:I,2,FALSE)</f>
        <v>CAP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BEL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396</v>
      </c>
      <c r="C13" s="29" t="s">
        <v>109</v>
      </c>
      <c r="D13" s="30" t="str">
        <f>VLOOKUP($C13,Fixtures!A:I,2,FALSE)</f>
        <v>CRO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GHA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PAN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CON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MEX</v>
      </c>
      <c r="Q13" s="20" t="s">
        <v>2681</v>
      </c>
      <c r="R13" s="31">
        <f>VLOOKUP($B13,PickedPlayers!D:Q,11,FALSE)</f>
        <v>0</v>
      </c>
      <c r="S13" s="30" t="str">
        <f>VLOOKUP($C13,Fixtures!A:I,7,FALSE)</f>
        <v>NOR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412</v>
      </c>
      <c r="C14" s="29" t="s">
        <v>61</v>
      </c>
      <c r="D14" s="30" t="str">
        <f>VLOOKUP($C14,Fixtures!A:I,2,FALSE)</f>
        <v>SEN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2679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2681</v>
      </c>
      <c r="L14" s="31">
        <f>VLOOKUP($B14,PickedPlayers!D:Q,9,FALSE)</f>
        <v>0</v>
      </c>
      <c r="M14" s="30" t="str">
        <f>VLOOKUP($C14,Fixtures!A:I,5,FALSE)</f>
        <v>SWE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PAR</v>
      </c>
      <c r="Q14" s="20" t="s">
        <v>2679</v>
      </c>
      <c r="R14" s="31">
        <f>VLOOKUP($B14,PickedPlayers!D:Q,11,FALSE)</f>
        <v>0</v>
      </c>
      <c r="S14" s="30" t="str">
        <f>VLOOKUP($C14,Fixtures!A:I,7,FALSE)</f>
        <v>MOR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284</v>
      </c>
      <c r="C15" s="29" t="s">
        <v>123</v>
      </c>
      <c r="D15" s="30" t="str">
        <f>VLOOKUP($C15,Fixtures!A:I,2,FALSE)</f>
        <v>CAP</v>
      </c>
      <c r="E15" s="20" t="s">
        <v>2686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2681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BEL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306</v>
      </c>
      <c r="C16" s="29" t="s">
        <v>66</v>
      </c>
      <c r="D16" s="30" t="str">
        <f>VLOOKUP($C16,Fixtures!A:I,2,FALSE)</f>
        <v>IRQ</v>
      </c>
      <c r="E16" s="20" t="s">
        <v>2685</v>
      </c>
      <c r="F16" s="31">
        <f>VLOOKUP($B16,PickedPlayers!D:Q,7,FALSE)</f>
        <v>0</v>
      </c>
      <c r="G16" s="30" t="str">
        <f>VLOOKUP($C16,Fixtures!A:I,3,FALSE)</f>
        <v>SEN</v>
      </c>
      <c r="H16" s="20" t="s">
        <v>2681</v>
      </c>
      <c r="I16" s="31">
        <f>VLOOKUP($B16,PickedPlayers!D:Q,8,FALSE)</f>
        <v>0</v>
      </c>
      <c r="J16" s="30" t="str">
        <f>VLOOKUP($C16,Fixtures!A:I,4,FALSE)</f>
        <v>FRA</v>
      </c>
      <c r="K16" s="20" t="s">
        <v>2679</v>
      </c>
      <c r="L16" s="31">
        <f>VLOOKUP($B16,PickedPlayers!D:Q,9,FALSE)</f>
        <v>0</v>
      </c>
      <c r="M16" s="30" t="str">
        <f>VLOOKUP($C16,Fixtures!A:I,5,FALSE)</f>
        <v>IVO</v>
      </c>
      <c r="N16" s="20" t="s">
        <v>2684</v>
      </c>
      <c r="O16" s="31">
        <f>VLOOKUP($B16,PickedPlayers!D:Q,10,FALSE)</f>
        <v>0</v>
      </c>
      <c r="P16" s="30" t="str">
        <f>VLOOKUP($C16,Fixtures!A:I,6,FALSE)</f>
        <v>BRA</v>
      </c>
      <c r="Q16" s="20" t="s">
        <v>2681</v>
      </c>
      <c r="R16" s="31">
        <f>VLOOKUP($B16,PickedPlayers!D:Q,11,FALSE)</f>
        <v>0</v>
      </c>
      <c r="S16" s="30" t="str">
        <f>VLOOKUP($C16,Fixtures!A:I,7,FALSE)</f>
        <v>ENG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438</v>
      </c>
      <c r="C17" s="29" t="s">
        <v>165</v>
      </c>
      <c r="D17" s="30" t="str">
        <f>VLOOKUP($C17,Fixtures!A:I,2,FALSE)</f>
        <v>QAT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BOS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CAN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ALG</v>
      </c>
      <c r="N17" s="20" t="s">
        <v>2681</v>
      </c>
      <c r="O17" s="31">
        <f>VLOOKUP($B17,PickedPlayers!D:Q,10,FALSE)</f>
        <v>0</v>
      </c>
      <c r="P17" s="30" t="str">
        <f>VLOOKUP($C17,Fixtures!A:I,6,FALSE)</f>
        <v>COL</v>
      </c>
      <c r="Q17" s="20" t="s">
        <v>2681</v>
      </c>
      <c r="R17" s="31">
        <f>VLOOKUP($B17,PickedPlayers!D:Q,11,FALSE)</f>
        <v>0</v>
      </c>
      <c r="S17" s="30" t="str">
        <f>VLOOKUP($C17,Fixtures!A:I,7,FALSE)</f>
        <v>ARG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503</v>
      </c>
      <c r="C18" s="29" t="s">
        <v>62</v>
      </c>
      <c r="D18" s="30" t="str">
        <f>VLOOKUP($C18,Fixtures!A:I,2,FALSE)</f>
        <v>TUN</v>
      </c>
      <c r="E18" s="20" t="s">
        <v>2681</v>
      </c>
      <c r="F18" s="31">
        <f>VLOOKUP($B18,PickedPlayers!D:Q,7,FALSE)</f>
        <v>0</v>
      </c>
      <c r="G18" s="30" t="str">
        <f>VLOOKUP($C18,Fixtures!A:I,3,FALSE)</f>
        <v>NED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JAP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FRA</v>
      </c>
      <c r="N18" s="20" t="s">
        <v>2686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527</v>
      </c>
      <c r="C19" s="34" t="s">
        <v>82</v>
      </c>
      <c r="D19" s="30" t="str">
        <f>VLOOKUP($C19,Fixtures!A:I,2,FALSE)</f>
        <v>MEX</v>
      </c>
      <c r="E19" s="35" t="s">
        <v>2682</v>
      </c>
      <c r="F19" s="31">
        <f>VLOOKUP($B19,PickedPlayers!D:Q,7,FALSE)</f>
        <v>0</v>
      </c>
      <c r="G19" s="30" t="str">
        <f>VLOOKUP($C19,Fixtures!A:I,3,FALSE)</f>
        <v>CZE</v>
      </c>
      <c r="H19" s="35" t="s">
        <v>2687</v>
      </c>
      <c r="I19" s="31">
        <f>VLOOKUP($B19,PickedPlayers!D:Q,8,FALSE)</f>
        <v>0</v>
      </c>
      <c r="J19" s="30" t="str">
        <f>VLOOKUP($C19,Fixtures!A:I,4,FALSE)</f>
        <v>KOR</v>
      </c>
      <c r="K19" s="35" t="s">
        <v>2681</v>
      </c>
      <c r="L19" s="31">
        <f>VLOOKUP($B19,PickedPlayers!D:Q,9,FALSE)</f>
        <v>0</v>
      </c>
      <c r="M19" s="30" t="str">
        <f>VLOOKUP($C19,Fixtures!A:I,5,FALSE)</f>
        <v>CAN</v>
      </c>
      <c r="N19" s="35" t="s">
        <v>2679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idden="1" x14ac:dyDescent="0.25">
      <c r="D22" s="21"/>
      <c r="E22" s="21"/>
      <c r="F22" s="21"/>
    </row>
  </sheetData>
  <mergeCells count="18">
    <mergeCell ref="M20:O21"/>
    <mergeCell ref="P20:R21"/>
    <mergeCell ref="D1:F1"/>
    <mergeCell ref="G1:I1"/>
    <mergeCell ref="J1:L1"/>
    <mergeCell ref="M1:O1"/>
    <mergeCell ref="P1:R1"/>
    <mergeCell ref="A1:C1"/>
    <mergeCell ref="D20:F21"/>
    <mergeCell ref="G20:I21"/>
    <mergeCell ref="J20:L21"/>
    <mergeCell ref="A20:C21"/>
    <mergeCell ref="S20:U21"/>
    <mergeCell ref="V20:X21"/>
    <mergeCell ref="Y20:AA21"/>
    <mergeCell ref="S1:U1"/>
    <mergeCell ref="V1:X1"/>
    <mergeCell ref="Y1:AA1"/>
  </mergeCells>
  <conditionalFormatting sqref="E3:E19">
    <cfRule type="containsText" dxfId="224" priority="103" operator="containsText" text="Sub">
      <formula>NOT(ISERROR(SEARCH("Sub",E3)))</formula>
    </cfRule>
    <cfRule type="containsText" dxfId="223" priority="101" operator="containsText" text="Off">
      <formula>NOT(ISERROR(SEARCH("Off",E3)))</formula>
    </cfRule>
    <cfRule type="containsText" dxfId="222" priority="100" operator="containsText" text="Vice Captain">
      <formula>NOT(ISERROR(SEARCH("Vice Captain",E3)))</formula>
    </cfRule>
    <cfRule type="containsText" dxfId="221" priority="105" operator="containsText" text="Picked">
      <formula>NOT(ISERROR(SEARCH("Picked",E3)))</formula>
    </cfRule>
    <cfRule type="containsText" dxfId="220" priority="104" operator="containsText" text="Captain">
      <formula>NOT(ISERROR(SEARCH("Captain",E3)))</formula>
    </cfRule>
  </conditionalFormatting>
  <conditionalFormatting sqref="H3:H19">
    <cfRule type="containsText" dxfId="219" priority="62" operator="containsText" text="Picked">
      <formula>NOT(ISERROR(SEARCH("Picked",H3)))</formula>
    </cfRule>
    <cfRule type="containsText" dxfId="218" priority="61" operator="containsText" text="Captain">
      <formula>NOT(ISERROR(SEARCH("Captain",H3)))</formula>
    </cfRule>
    <cfRule type="containsText" dxfId="217" priority="60" operator="containsText" text="Sub">
      <formula>NOT(ISERROR(SEARCH("Sub",H3)))</formula>
    </cfRule>
    <cfRule type="containsText" dxfId="216" priority="59" operator="containsText" text="Off">
      <formula>NOT(ISERROR(SEARCH("Off",H3)))</formula>
    </cfRule>
    <cfRule type="containsText" dxfId="215" priority="58" operator="containsText" text="Vice Captain">
      <formula>NOT(ISERROR(SEARCH("Vice Captain",H3)))</formula>
    </cfRule>
  </conditionalFormatting>
  <conditionalFormatting sqref="K3:K19">
    <cfRule type="containsText" dxfId="214" priority="56" operator="containsText" text="Captain">
      <formula>NOT(ISERROR(SEARCH("Captain",K3)))</formula>
    </cfRule>
    <cfRule type="containsText" dxfId="213" priority="55" operator="containsText" text="Sub">
      <formula>NOT(ISERROR(SEARCH("Sub",K3)))</formula>
    </cfRule>
    <cfRule type="containsText" dxfId="212" priority="54" operator="containsText" text="Off">
      <formula>NOT(ISERROR(SEARCH("Off",K3)))</formula>
    </cfRule>
    <cfRule type="containsText" dxfId="211" priority="53" operator="containsText" text="Vice Captain">
      <formula>NOT(ISERROR(SEARCH("Vice Captain",K3)))</formula>
    </cfRule>
    <cfRule type="containsText" dxfId="210" priority="57" operator="containsText" text="Picked">
      <formula>NOT(ISERROR(SEARCH("Picked",K3)))</formula>
    </cfRule>
  </conditionalFormatting>
  <conditionalFormatting sqref="M3:M19 P3:P19 S3:S19 V3:V19 Y3:Y19">
    <cfRule type="containsText" dxfId="209" priority="27" operator="containsText" text="Out">
      <formula>NOT(ISERROR(SEARCH("Out",M3)))</formula>
    </cfRule>
    <cfRule type="containsText" dxfId="208" priority="26" operator="containsText" text="tbc">
      <formula>NOT(ISERROR(SEARCH("tbc",M3)))</formula>
    </cfRule>
  </conditionalFormatting>
  <conditionalFormatting sqref="N3:N19">
    <cfRule type="containsText" dxfId="207" priority="1" operator="containsText" text="Vice Captain">
      <formula>NOT(ISERROR(SEARCH("Vice Captain",N3)))</formula>
    </cfRule>
    <cfRule type="containsText" dxfId="206" priority="2" operator="containsText" text="Off">
      <formula>NOT(ISERROR(SEARCH("Off",N3)))</formula>
    </cfRule>
    <cfRule type="containsText" dxfId="205" priority="3" operator="containsText" text="Sub">
      <formula>NOT(ISERROR(SEARCH("Sub",N3)))</formula>
    </cfRule>
    <cfRule type="containsText" dxfId="204" priority="4" operator="containsText" text="Captain">
      <formula>NOT(ISERROR(SEARCH("Captain",N3)))</formula>
    </cfRule>
    <cfRule type="containsText" dxfId="203" priority="5" operator="containsText" text="Picked">
      <formula>NOT(ISERROR(SEARCH("Picked",N3)))</formula>
    </cfRule>
  </conditionalFormatting>
  <conditionalFormatting sqref="Q3:Q19">
    <cfRule type="containsText" dxfId="202" priority="23" operator="containsText" text="Sub">
      <formula>NOT(ISERROR(SEARCH("Sub",Q3)))</formula>
    </cfRule>
    <cfRule type="containsText" dxfId="201" priority="24" operator="containsText" text="Captain">
      <formula>NOT(ISERROR(SEARCH("Captain",Q3)))</formula>
    </cfRule>
    <cfRule type="containsText" dxfId="200" priority="25" operator="containsText" text="Picked">
      <formula>NOT(ISERROR(SEARCH("Picked",Q3)))</formula>
    </cfRule>
    <cfRule type="containsText" dxfId="199" priority="21" operator="containsText" text="Vice Captain">
      <formula>NOT(ISERROR(SEARCH("Vice Captain",Q3)))</formula>
    </cfRule>
    <cfRule type="containsText" dxfId="198" priority="22" operator="containsText" text="Off">
      <formula>NOT(ISERROR(SEARCH("Off",Q3)))</formula>
    </cfRule>
  </conditionalFormatting>
  <conditionalFormatting sqref="T3:T19">
    <cfRule type="containsText" dxfId="197" priority="19" operator="containsText" text="Captain">
      <formula>NOT(ISERROR(SEARCH("Captain",T3)))</formula>
    </cfRule>
    <cfRule type="containsText" dxfId="196" priority="18" operator="containsText" text="Sub">
      <formula>NOT(ISERROR(SEARCH("Sub",T3)))</formula>
    </cfRule>
    <cfRule type="containsText" dxfId="195" priority="16" operator="containsText" text="Vice Captain">
      <formula>NOT(ISERROR(SEARCH("Vice Captain",T3)))</formula>
    </cfRule>
    <cfRule type="containsText" dxfId="194" priority="20" operator="containsText" text="Picked">
      <formula>NOT(ISERROR(SEARCH("Picked",T3)))</formula>
    </cfRule>
    <cfRule type="containsText" dxfId="193" priority="17" operator="containsText" text="Off">
      <formula>NOT(ISERROR(SEARCH("Off",T3)))</formula>
    </cfRule>
  </conditionalFormatting>
  <conditionalFormatting sqref="W3:W19">
    <cfRule type="containsText" dxfId="192" priority="15" operator="containsText" text="Picked">
      <formula>NOT(ISERROR(SEARCH("Picked",W3)))</formula>
    </cfRule>
    <cfRule type="containsText" dxfId="191" priority="14" operator="containsText" text="Captain">
      <formula>NOT(ISERROR(SEARCH("Captain",W3)))</formula>
    </cfRule>
    <cfRule type="containsText" dxfId="190" priority="13" operator="containsText" text="Sub">
      <formula>NOT(ISERROR(SEARCH("Sub",W3)))</formula>
    </cfRule>
    <cfRule type="containsText" dxfId="189" priority="12" operator="containsText" text="Off">
      <formula>NOT(ISERROR(SEARCH("Off",W3)))</formula>
    </cfRule>
    <cfRule type="containsText" dxfId="188" priority="11" operator="containsText" text="Vice Captain">
      <formula>NOT(ISERROR(SEARCH("Vice Captain",W3)))</formula>
    </cfRule>
  </conditionalFormatting>
  <conditionalFormatting sqref="Z3:Z19">
    <cfRule type="containsText" dxfId="187" priority="6" operator="containsText" text="Vice Captain">
      <formula>NOT(ISERROR(SEARCH("Vice Captain",Z3)))</formula>
    </cfRule>
    <cfRule type="containsText" dxfId="186" priority="10" operator="containsText" text="Picked">
      <formula>NOT(ISERROR(SEARCH("Picked",Z3)))</formula>
    </cfRule>
    <cfRule type="containsText" dxfId="185" priority="9" operator="containsText" text="Captain">
      <formula>NOT(ISERROR(SEARCH("Captain",Z3)))</formula>
    </cfRule>
    <cfRule type="containsText" dxfId="184" priority="8" operator="containsText" text="Sub">
      <formula>NOT(ISERROR(SEARCH("Sub",Z3)))</formula>
    </cfRule>
    <cfRule type="containsText" dxfId="183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E5:E19 H5:H19 K5:K19 Z5:Z19 Q5:Q19 N5:N19 W5:W19 T5:T19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2"/>
  <sheetViews>
    <sheetView workbookViewId="0">
      <selection activeCell="Q15" sqref="Q15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2690</v>
      </c>
      <c r="B1" s="81"/>
      <c r="C1" s="82"/>
      <c r="D1" s="83" t="s">
        <v>2673</v>
      </c>
      <c r="E1" s="84"/>
      <c r="F1" s="85"/>
      <c r="G1" s="77" t="s">
        <v>2674</v>
      </c>
      <c r="H1" s="78"/>
      <c r="I1" s="79"/>
      <c r="J1" s="77" t="s">
        <v>2675</v>
      </c>
      <c r="K1" s="78"/>
      <c r="L1" s="79"/>
      <c r="M1" s="77" t="s">
        <v>41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ht="15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ht="15" x14ac:dyDescent="0.25">
      <c r="A3" s="28" t="s">
        <v>2667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2681</v>
      </c>
      <c r="F3" s="31">
        <f>VLOOKUP($B3,PickedPlayers!D:Q,7,FALSE)</f>
        <v>0</v>
      </c>
      <c r="G3" s="30" t="str">
        <f>VLOOKUP($C3,Fixtures!A:I,3,FALSE)</f>
        <v>IRA</v>
      </c>
      <c r="H3" s="20" t="s">
        <v>2681</v>
      </c>
      <c r="I3" s="31">
        <f>VLOOKUP($B3,PickedPlayers!D:Q,8,FALSE)</f>
        <v>0</v>
      </c>
      <c r="J3" s="30" t="str">
        <f>VLOOKUP($C3,Fixtures!A:I,4,FALSE)</f>
        <v>NZL</v>
      </c>
      <c r="K3" s="20" t="s">
        <v>2681</v>
      </c>
      <c r="L3" s="31">
        <f>VLOOKUP($B3,PickedPlayers!D:Q,9,FALSE)</f>
        <v>0</v>
      </c>
      <c r="M3" s="30" t="str">
        <f>VLOOKUP($C3,Fixtures!A:I,5,FALSE)</f>
        <v>SEN</v>
      </c>
      <c r="N3" s="20" t="s">
        <v>2681</v>
      </c>
      <c r="O3" s="31">
        <f>VLOOKUP($B3,PickedPlayers!D:Q,10,FALSE)</f>
        <v>0</v>
      </c>
      <c r="P3" s="30" t="str">
        <f>VLOOKUP($C3,Fixtures!A:I,6,FALSE)</f>
        <v>USA</v>
      </c>
      <c r="Q3" s="20" t="s">
        <v>2681</v>
      </c>
      <c r="R3" s="31">
        <f>VLOOKUP($B3,PickedPlayers!D:Q,11,FALSE)</f>
        <v>0</v>
      </c>
      <c r="S3" s="30" t="str">
        <f>VLOOKUP($C3,Fixtures!A:I,7,FALSE)</f>
        <v>SPA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2667</v>
      </c>
      <c r="B4" s="19" t="s">
        <v>529</v>
      </c>
      <c r="C4" s="29" t="s">
        <v>123</v>
      </c>
      <c r="D4" s="30" t="str">
        <f>VLOOKUP($C4,Fixtures!A:I,2,FALSE)</f>
        <v>CAP</v>
      </c>
      <c r="E4" s="20" t="s">
        <v>2679</v>
      </c>
      <c r="F4" s="31">
        <f>VLOOKUP($B4,PickedPlayers!D:Q,7,FALSE)</f>
        <v>0</v>
      </c>
      <c r="G4" s="30" t="str">
        <f>VLOOKUP($C4,Fixtures!A:I,3,FALSE)</f>
        <v>SAU</v>
      </c>
      <c r="H4" s="20" t="s">
        <v>2680</v>
      </c>
      <c r="I4" s="31">
        <f>VLOOKUP($B4,PickedPlayers!D:Q,8,FALSE)</f>
        <v>0</v>
      </c>
      <c r="J4" s="30" t="str">
        <f>VLOOKUP($C4,Fixtures!A:I,4,FALSE)</f>
        <v>URU</v>
      </c>
      <c r="K4" s="20" t="s">
        <v>2680</v>
      </c>
      <c r="L4" s="31">
        <f>VLOOKUP($B4,PickedPlayers!D:Q,9,FALSE)</f>
        <v>0</v>
      </c>
      <c r="M4" s="30" t="str">
        <f>VLOOKUP($C4,Fixtures!A:I,5,FALSE)</f>
        <v>AUS</v>
      </c>
      <c r="N4" s="20" t="s">
        <v>2679</v>
      </c>
      <c r="O4" s="31">
        <f>VLOOKUP($B4,PickedPlayers!D:Q,10,FALSE)</f>
        <v>0</v>
      </c>
      <c r="P4" s="30" t="str">
        <f>VLOOKUP($C4,Fixtures!A:I,6,FALSE)</f>
        <v>POR</v>
      </c>
      <c r="Q4" s="20" t="s">
        <v>2680</v>
      </c>
      <c r="R4" s="31">
        <f>VLOOKUP($B4,PickedPlayers!D:Q,11,FALSE)</f>
        <v>0</v>
      </c>
      <c r="S4" s="30" t="str">
        <f>VLOOKUP($C4,Fixtures!A:I,7,FALSE)</f>
        <v>BEL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2668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2681</v>
      </c>
      <c r="F5" s="31">
        <f>VLOOKUP($B5,PickedPlayers!D:Q,7,FALSE)</f>
        <v>0</v>
      </c>
      <c r="G5" s="30" t="str">
        <f>VLOOKUP($C5,Fixtures!A:I,3,FALSE)</f>
        <v>HAI</v>
      </c>
      <c r="H5" s="20" t="s">
        <v>2681</v>
      </c>
      <c r="I5" s="31">
        <f>VLOOKUP($B5,PickedPlayers!D:Q,8,FALSE)</f>
        <v>0</v>
      </c>
      <c r="J5" s="30" t="str">
        <f>VLOOKUP($C5,Fixtures!A:I,4,FALSE)</f>
        <v>SCO</v>
      </c>
      <c r="K5" s="20" t="s">
        <v>2681</v>
      </c>
      <c r="L5" s="31">
        <f>VLOOKUP($B5,PickedPlayers!D:Q,9,FALSE)</f>
        <v>0</v>
      </c>
      <c r="M5" s="30" t="str">
        <f>VLOOKUP($C5,Fixtures!A:I,5,FALSE)</f>
        <v>JAP</v>
      </c>
      <c r="N5" s="20" t="s">
        <v>2681</v>
      </c>
      <c r="O5" s="31">
        <f>VLOOKUP($B5,PickedPlayers!D:Q,10,FALSE)</f>
        <v>0</v>
      </c>
      <c r="P5" s="30" t="str">
        <f>VLOOKUP($C5,Fixtures!A:I,6,FALSE)</f>
        <v>NOR</v>
      </c>
      <c r="Q5" s="20" t="s">
        <v>2681</v>
      </c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ht="15" x14ac:dyDescent="0.25">
      <c r="A6" s="28" t="s">
        <v>2668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2685</v>
      </c>
      <c r="F6" s="31">
        <f>VLOOKUP($B6,PickedPlayers!D:Q,7,FALSE)</f>
        <v>0</v>
      </c>
      <c r="G6" s="30" t="str">
        <f>VLOOKUP($C6,Fixtures!A:I,3,FALSE)</f>
        <v>GHA</v>
      </c>
      <c r="H6" s="20" t="s">
        <v>2681</v>
      </c>
      <c r="I6" s="31">
        <f>VLOOKUP($B6,PickedPlayers!D:Q,8,FALSE)</f>
        <v>0</v>
      </c>
      <c r="J6" s="30" t="str">
        <f>VLOOKUP($C6,Fixtures!A:I,4,FALSE)</f>
        <v>PAN</v>
      </c>
      <c r="K6" s="20" t="s">
        <v>2681</v>
      </c>
      <c r="L6" s="31">
        <f>VLOOKUP($B6,PickedPlayers!D:Q,9,FALSE)</f>
        <v>0</v>
      </c>
      <c r="M6" s="30" t="str">
        <f>VLOOKUP($C6,Fixtures!A:I,5,FALSE)</f>
        <v>CON</v>
      </c>
      <c r="N6" s="20" t="s">
        <v>2681</v>
      </c>
      <c r="O6" s="31">
        <f>VLOOKUP($B6,PickedPlayers!D:Q,10,FALSE)</f>
        <v>0</v>
      </c>
      <c r="P6" s="30" t="str">
        <f>VLOOKUP($C6,Fixtures!A:I,6,FALSE)</f>
        <v>MEX</v>
      </c>
      <c r="Q6" s="20" t="s">
        <v>2681</v>
      </c>
      <c r="R6" s="31">
        <f>VLOOKUP($B6,PickedPlayers!D:Q,11,FALSE)</f>
        <v>0</v>
      </c>
      <c r="S6" s="30" t="str">
        <f>VLOOKUP($C6,Fixtures!A:I,7,FALSE)</f>
        <v>NOR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2668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2679</v>
      </c>
      <c r="F7" s="31">
        <f>VLOOKUP($B7,PickedPlayers!D:Q,7,FALSE)</f>
        <v>0</v>
      </c>
      <c r="G7" s="30" t="str">
        <f>VLOOKUP($C7,Fixtures!A:I,3,FALSE)</f>
        <v>HAI</v>
      </c>
      <c r="H7" s="20" t="s">
        <v>2679</v>
      </c>
      <c r="I7" s="31">
        <f>VLOOKUP($B7,PickedPlayers!D:Q,8,FALSE)</f>
        <v>0</v>
      </c>
      <c r="J7" s="30" t="str">
        <f>VLOOKUP($C7,Fixtures!A:I,4,FALSE)</f>
        <v>SCO</v>
      </c>
      <c r="K7" s="20" t="s">
        <v>2681</v>
      </c>
      <c r="L7" s="31">
        <f>VLOOKUP($B7,PickedPlayers!D:Q,9,FALSE)</f>
        <v>0</v>
      </c>
      <c r="M7" s="30" t="str">
        <f>VLOOKUP($C7,Fixtures!A:I,5,FALSE)</f>
        <v>JAP</v>
      </c>
      <c r="N7" s="20" t="s">
        <v>2683</v>
      </c>
      <c r="O7" s="31">
        <f>VLOOKUP($B7,PickedPlayers!D:Q,10,FALSE)</f>
        <v>0</v>
      </c>
      <c r="P7" s="30" t="str">
        <f>VLOOKUP($C7,Fixtures!A:I,6,FALSE)</f>
        <v>NOR</v>
      </c>
      <c r="Q7" s="20" t="s">
        <v>2687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2668</v>
      </c>
      <c r="B8" s="19" t="s">
        <v>467</v>
      </c>
      <c r="C8" s="29" t="s">
        <v>61</v>
      </c>
      <c r="D8" s="30" t="str">
        <f>VLOOKUP($C8,Fixtures!A:I,2,FALSE)</f>
        <v>SEN</v>
      </c>
      <c r="E8" s="20" t="s">
        <v>2681</v>
      </c>
      <c r="F8" s="31">
        <f>VLOOKUP($B8,PickedPlayers!D:Q,7,FALSE)</f>
        <v>0</v>
      </c>
      <c r="G8" s="30" t="str">
        <f>VLOOKUP($C8,Fixtures!A:I,3,FALSE)</f>
        <v>IRQ</v>
      </c>
      <c r="H8" s="20" t="s">
        <v>2681</v>
      </c>
      <c r="I8" s="31">
        <f>VLOOKUP($B8,PickedPlayers!D:Q,8,FALSE)</f>
        <v>0</v>
      </c>
      <c r="J8" s="30" t="str">
        <f>VLOOKUP($C8,Fixtures!A:I,4,FALSE)</f>
        <v>NOR</v>
      </c>
      <c r="K8" s="20" t="s">
        <v>2681</v>
      </c>
      <c r="L8" s="31">
        <f>VLOOKUP($B8,PickedPlayers!D:Q,9,FALSE)</f>
        <v>0</v>
      </c>
      <c r="M8" s="30" t="str">
        <f>VLOOKUP($C8,Fixtures!A:I,5,FALSE)</f>
        <v>SWE</v>
      </c>
      <c r="N8" s="20" t="s">
        <v>2681</v>
      </c>
      <c r="O8" s="31">
        <f>VLOOKUP($B8,PickedPlayers!D:Q,10,FALSE)</f>
        <v>0</v>
      </c>
      <c r="P8" s="30" t="str">
        <f>VLOOKUP($C8,Fixtures!A:I,6,FALSE)</f>
        <v>PAR</v>
      </c>
      <c r="Q8" s="20" t="s">
        <v>2681</v>
      </c>
      <c r="R8" s="31">
        <f>VLOOKUP($B8,PickedPlayers!D:Q,11,FALSE)</f>
        <v>0</v>
      </c>
      <c r="S8" s="30" t="str">
        <f>VLOOKUP($C8,Fixtures!A:I,7,FALSE)</f>
        <v>MOR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2668</v>
      </c>
      <c r="B9" s="19" t="s">
        <v>487</v>
      </c>
      <c r="C9" s="29" t="s">
        <v>83</v>
      </c>
      <c r="D9" s="30" t="str">
        <f>VLOOKUP($C9,Fixtures!A:I,2,FALSE)</f>
        <v>BOS</v>
      </c>
      <c r="E9" s="20" t="s">
        <v>2679</v>
      </c>
      <c r="F9" s="31">
        <f>VLOOKUP($B9,PickedPlayers!D:Q,7,FALSE)</f>
        <v>0</v>
      </c>
      <c r="G9" s="30" t="str">
        <f>VLOOKUP($C9,Fixtures!A:I,3,FALSE)</f>
        <v>QAT</v>
      </c>
      <c r="H9" s="20" t="s">
        <v>2681</v>
      </c>
      <c r="I9" s="31">
        <f>VLOOKUP($B9,PickedPlayers!D:Q,8,FALSE)</f>
        <v>0</v>
      </c>
      <c r="J9" s="30" t="str">
        <f>VLOOKUP($C9,Fixtures!A:I,4,FALSE)</f>
        <v>SWI</v>
      </c>
      <c r="K9" s="20" t="s">
        <v>2679</v>
      </c>
      <c r="L9" s="31">
        <f>VLOOKUP($B9,PickedPlayers!D:Q,9,FALSE)</f>
        <v>0</v>
      </c>
      <c r="M9" s="30" t="str">
        <f>VLOOKUP($C9,Fixtures!A:I,5,FALSE)</f>
        <v>SOU</v>
      </c>
      <c r="N9" s="20" t="s">
        <v>2681</v>
      </c>
      <c r="O9" s="31">
        <f>VLOOKUP($B9,PickedPlayers!D:Q,10,FALSE)</f>
        <v>0</v>
      </c>
      <c r="P9" s="30" t="str">
        <f>VLOOKUP($C9,Fixtures!A:I,6,FALSE)</f>
        <v>MOR</v>
      </c>
      <c r="Q9" s="20" t="s">
        <v>2679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2669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2684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2681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NOR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2669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2679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2679</v>
      </c>
      <c r="O11" s="31">
        <f>VLOOKUP($B11,PickedPlayers!D:Q,10,FALSE)</f>
        <v>0</v>
      </c>
      <c r="P11" s="30" t="str">
        <f>VLOOKUP($C11,Fixtures!A:I,6,FALSE)</f>
        <v>POR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BEL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2669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CAN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FRA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2669</v>
      </c>
      <c r="B13" s="19" t="s">
        <v>511</v>
      </c>
      <c r="C13" s="29" t="s">
        <v>74</v>
      </c>
      <c r="D13" s="30" t="str">
        <f>VLOOKUP($C13,Fixtures!A:I,2,FALSE)</f>
        <v>CUR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2683</v>
      </c>
      <c r="L13" s="31">
        <f>VLOOKUP($B13,PickedPlayers!D:Q,9,FALSE)</f>
        <v>0</v>
      </c>
      <c r="M13" s="58" t="s">
        <v>2859</v>
      </c>
      <c r="N13" s="59"/>
      <c r="O13" s="60"/>
      <c r="P13" s="58" t="s">
        <v>2859</v>
      </c>
      <c r="Q13" s="59"/>
      <c r="R13" s="60"/>
      <c r="S13" s="58" t="s">
        <v>2859</v>
      </c>
      <c r="T13" s="59"/>
      <c r="U13" s="60"/>
      <c r="V13" s="58" t="s">
        <v>2859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2669</v>
      </c>
      <c r="B14" s="19" t="s">
        <v>2391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ARG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2671</v>
      </c>
      <c r="B15" s="19" t="s">
        <v>287</v>
      </c>
      <c r="C15" s="29" t="s">
        <v>61</v>
      </c>
      <c r="D15" s="30" t="str">
        <f>VLOOKUP($C15,Fixtures!A:I,2,FALSE)</f>
        <v>SEN</v>
      </c>
      <c r="E15" s="20" t="s">
        <v>2681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2684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2684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MOR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2671</v>
      </c>
      <c r="B16" s="19" t="s">
        <v>304</v>
      </c>
      <c r="C16" s="29" t="s">
        <v>78</v>
      </c>
      <c r="D16" s="30" t="str">
        <f>VLOOKUP($C16,Fixtures!A:I,2,FALSE)</f>
        <v>MOR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2684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2685</v>
      </c>
      <c r="O16" s="31">
        <f>VLOOKUP($B16,PickedPlayers!D:Q,10,FALSE)</f>
        <v>0</v>
      </c>
      <c r="P16" s="30" t="str">
        <f>VLOOKUP($C16,Fixtures!A:I,6,FALSE)</f>
        <v>NOR</v>
      </c>
      <c r="Q16" s="20" t="s">
        <v>2684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ht="15" x14ac:dyDescent="0.25">
      <c r="A17" s="28" t="s">
        <v>2671</v>
      </c>
      <c r="B17" s="19" t="s">
        <v>366</v>
      </c>
      <c r="C17" s="29" t="s">
        <v>101</v>
      </c>
      <c r="D17" s="30" t="str">
        <f>VLOOKUP($C17,Fixtures!A:I,2,FALSE)</f>
        <v>CON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UZB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COL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CRO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SPA</v>
      </c>
      <c r="Q17" s="20" t="s">
        <v>2682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2671</v>
      </c>
      <c r="B18" s="19" t="s">
        <v>446</v>
      </c>
      <c r="C18" s="29" t="s">
        <v>126</v>
      </c>
      <c r="D18" s="30" t="str">
        <f>VLOOKUP($C18,Fixtures!A:I,2,FALSE)</f>
        <v>FRA</v>
      </c>
      <c r="E18" s="20" t="s">
        <v>2686</v>
      </c>
      <c r="F18" s="31">
        <f>VLOOKUP($B18,PickedPlayers!D:Q,7,FALSE)</f>
        <v>0</v>
      </c>
      <c r="G18" s="30" t="str">
        <f>VLOOKUP($C18,Fixtures!A:I,3,FALSE)</f>
        <v>NOR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IRQ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BEL</v>
      </c>
      <c r="N18" s="20" t="s">
        <v>2681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489</v>
      </c>
      <c r="C19" s="34" t="s">
        <v>153</v>
      </c>
      <c r="D19" s="30" t="str">
        <f>VLOOKUP($C19,Fixtures!A:I,2,FALSE)</f>
        <v>SOU</v>
      </c>
      <c r="E19" s="35" t="s">
        <v>2681</v>
      </c>
      <c r="F19" s="31">
        <f>VLOOKUP($B19,PickedPlayers!D:Q,7,FALSE)</f>
        <v>0</v>
      </c>
      <c r="G19" s="30" t="str">
        <f>VLOOKUP($C19,Fixtures!A:I,3,FALSE)</f>
        <v>KOR</v>
      </c>
      <c r="H19" s="35" t="s">
        <v>2683</v>
      </c>
      <c r="I19" s="31">
        <f>VLOOKUP($B19,PickedPlayers!D:Q,8,FALSE)</f>
        <v>0</v>
      </c>
      <c r="J19" s="30" t="str">
        <f>VLOOKUP($C19,Fixtures!A:I,4,FALSE)</f>
        <v>CZE</v>
      </c>
      <c r="K19" s="35" t="s">
        <v>2686</v>
      </c>
      <c r="L19" s="31">
        <f>VLOOKUP($B19,PickedPlayers!D:Q,9,FALSE)</f>
        <v>0</v>
      </c>
      <c r="M19" s="30" t="str">
        <f>VLOOKUP($C19,Fixtures!A:I,5,FALSE)</f>
        <v>ECU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ENG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1" operator="containsText" text="Off">
      <formula>NOT(ISERROR(SEARCH("Off",E3)))</formula>
    </cfRule>
    <cfRule type="containsText" dxfId="179" priority="60" operator="containsText" text="Vice Captain">
      <formula>NOT(ISERROR(SEARCH("Vice Captain",E3)))</formula>
    </cfRule>
    <cfRule type="containsText" dxfId="178" priority="64" operator="containsText" text="Picked">
      <formula>NOT(ISERROR(SEARCH("Picked",E3)))</formula>
    </cfRule>
  </conditionalFormatting>
  <conditionalFormatting sqref="H3:H19">
    <cfRule type="containsText" dxfId="177" priority="54" operator="containsText" text="Off">
      <formula>NOT(ISERROR(SEARCH("Off",H3)))</formula>
    </cfRule>
    <cfRule type="containsText" dxfId="176" priority="57" operator="containsText" text="Picked">
      <formula>NOT(ISERROR(SEARCH("Picked",H3)))</formula>
    </cfRule>
    <cfRule type="containsText" dxfId="175" priority="56" operator="containsText" text="Captain">
      <formula>NOT(ISERROR(SEARCH("Captain",H3)))</formula>
    </cfRule>
    <cfRule type="containsText" dxfId="174" priority="55" operator="containsText" text="Sub">
      <formula>NOT(ISERROR(SEARCH("Sub",H3)))</formula>
    </cfRule>
    <cfRule type="containsText" dxfId="173" priority="53" operator="containsText" text="Vice Captain">
      <formula>NOT(ISERROR(SEARCH("Vice Captain",H3)))</formula>
    </cfRule>
  </conditionalFormatting>
  <conditionalFormatting sqref="K3:K19">
    <cfRule type="containsText" dxfId="172" priority="48" operator="containsText" text="Vice Captain">
      <formula>NOT(ISERROR(SEARCH("Vice Captain",K3)))</formula>
    </cfRule>
    <cfRule type="containsText" dxfId="171" priority="52" operator="containsText" text="Picked">
      <formula>NOT(ISERROR(SEARCH("Picked",K3)))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19 P3:P19 S3:S19 V3:V19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19">
    <cfRule type="containsText" dxfId="165" priority="18" operator="containsText" text="Sub">
      <formula>NOT(ISERROR(SEARCH("Sub",N3)))</formula>
    </cfRule>
    <cfRule type="containsText" dxfId="164" priority="16" operator="containsText" text="Vice Captain">
      <formula>NOT(ISERROR(SEARCH("Vice Captain",N3)))</formula>
    </cfRule>
    <cfRule type="containsText" dxfId="163" priority="17" operator="containsText" text="Off">
      <formula>NOT(ISERROR(SEARCH("Off",N3)))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19">
    <cfRule type="containsText" dxfId="160" priority="11" operator="containsText" text="Vice Captain">
      <formula>NOT(ISERROR(SEARCH("Vice Captain",Q3)))</formula>
    </cfRule>
    <cfRule type="containsText" dxfId="159" priority="15" operator="containsText" text="Picked">
      <formula>NOT(ISERROR(SEARCH("Picked",Q3)))</formula>
    </cfRule>
    <cfRule type="containsText" dxfId="158" priority="14" operator="containsText" text="Captain">
      <formula>NOT(ISERROR(SEARCH("Captain",Q3)))</formula>
    </cfRule>
    <cfRule type="containsText" dxfId="157" priority="13" operator="containsText" text="Sub">
      <formula>NOT(ISERROR(SEARCH("Sub",Q3)))</formula>
    </cfRule>
    <cfRule type="containsText" dxfId="156" priority="12" operator="containsText" text="Off">
      <formula>NOT(ISERROR(SEARCH("Off",Q3)))</formula>
    </cfRule>
  </conditionalFormatting>
  <conditionalFormatting sqref="T3:T19">
    <cfRule type="containsText" dxfId="155" priority="10" operator="containsText" text="Picked">
      <formula>NOT(ISERROR(SEARCH("Picked",T3)))</formula>
    </cfRule>
    <cfRule type="containsText" dxfId="154" priority="9" operator="containsText" text="Captain">
      <formula>NOT(ISERROR(SEARCH("Captain",T3)))</formula>
    </cfRule>
    <cfRule type="containsText" dxfId="153" priority="8" operator="containsText" text="Sub">
      <formula>NOT(ISERROR(SEARCH("Sub",T3)))</formula>
    </cfRule>
    <cfRule type="containsText" dxfId="152" priority="7" operator="containsText" text="Off">
      <formula>NOT(ISERROR(SEARCH("Off",T3)))</formula>
    </cfRule>
    <cfRule type="containsText" dxfId="151" priority="6" operator="containsText" text="Vice Captain">
      <formula>NOT(ISERROR(SEARCH("Vice Captain",T3)))</formula>
    </cfRule>
  </conditionalFormatting>
  <conditionalFormatting sqref="W3:W19">
    <cfRule type="containsText" dxfId="150" priority="1" operator="containsText" text="Vice Captain">
      <formula>NOT(ISERROR(SEARCH("Vice Captain",W3)))</formula>
    </cfRule>
    <cfRule type="containsText" dxfId="149" priority="5" operator="containsText" text="Picked">
      <formula>NOT(ISERROR(SEARCH("Picked",W3)))</formula>
    </cfRule>
    <cfRule type="containsText" dxfId="148" priority="4" operator="containsText" text="Captain">
      <formula>NOT(ISERROR(SEARCH("Captain",W3)))</formula>
    </cfRule>
    <cfRule type="containsText" dxfId="147" priority="3" operator="containsText" text="Sub">
      <formula>NOT(ISERROR(SEARCH("Sub",W3)))</formula>
    </cfRule>
    <cfRule type="containsText" dxfId="146" priority="2" operator="containsText" text="Off">
      <formula>NOT(ISERROR(SEARCH("Off",W3)))</formula>
    </cfRule>
  </conditionalFormatting>
  <conditionalFormatting sqref="Y3:Y19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19">
    <cfRule type="containsText" dxfId="143" priority="24" operator="containsText" text="Off">
      <formula>NOT(ISERROR(SEARCH("Off",Z3)))</formula>
    </cfRule>
    <cfRule type="containsText" dxfId="142" priority="25" operator="containsText" text="Sub">
      <formula>NOT(ISERROR(SEARCH("Sub",Z3)))</formula>
    </cfRule>
    <cfRule type="containsText" dxfId="141" priority="26" operator="containsText" text="Captain">
      <formula>NOT(ISERROR(SEARCH("Captain",Z3)))</formula>
    </cfRule>
    <cfRule type="containsText" dxfId="140" priority="27" operator="containsText" text="Picked">
      <formula>NOT(ISERROR(SEARCH("Picked",Z3)))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E5:E19 H5:H19 K5:K19 Z5:Z19 N5:N19 Q5:Q19 W5:W19 T5:T19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2"/>
  <sheetViews>
    <sheetView workbookViewId="0">
      <selection activeCell="Q17" sqref="Q17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2882</v>
      </c>
      <c r="B1" s="81"/>
      <c r="C1" s="82"/>
      <c r="D1" s="83" t="s">
        <v>2673</v>
      </c>
      <c r="E1" s="84"/>
      <c r="F1" s="85"/>
      <c r="G1" s="77" t="s">
        <v>2674</v>
      </c>
      <c r="H1" s="78"/>
      <c r="I1" s="79"/>
      <c r="J1" s="77" t="s">
        <v>2675</v>
      </c>
      <c r="K1" s="78"/>
      <c r="L1" s="79"/>
      <c r="M1" s="77" t="s">
        <v>41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ht="15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ht="15" x14ac:dyDescent="0.25">
      <c r="A3" s="28" t="s">
        <v>2667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2680</v>
      </c>
      <c r="F3" s="31">
        <f>VLOOKUP($B3,PickedPlayers!D:Q,7,FALSE)</f>
        <v>0</v>
      </c>
      <c r="G3" s="30" t="str">
        <f>VLOOKUP($C3,Fixtures!A:I,3,FALSE)</f>
        <v>IRQ</v>
      </c>
      <c r="H3" s="20" t="s">
        <v>2681</v>
      </c>
      <c r="I3" s="31">
        <f>VLOOKUP($B3,PickedPlayers!D:Q,8,FALSE)</f>
        <v>0</v>
      </c>
      <c r="J3" s="30" t="str">
        <f>VLOOKUP($C3,Fixtures!A:I,4,FALSE)</f>
        <v>NOR</v>
      </c>
      <c r="K3" s="20" t="s">
        <v>2680</v>
      </c>
      <c r="L3" s="31">
        <f>VLOOKUP($B3,PickedPlayers!D:Q,9,FALSE)</f>
        <v>0</v>
      </c>
      <c r="M3" s="30" t="str">
        <f>VLOOKUP($C3,Fixtures!A:I,5,FALSE)</f>
        <v>SWE</v>
      </c>
      <c r="N3" s="20" t="s">
        <v>2681</v>
      </c>
      <c r="O3" s="31">
        <f>VLOOKUP($B3,PickedPlayers!D:Q,10,FALSE)</f>
        <v>0</v>
      </c>
      <c r="P3" s="30" t="str">
        <f>VLOOKUP($C3,Fixtures!A:I,6,FALSE)</f>
        <v>PAR</v>
      </c>
      <c r="Q3" s="20" t="s">
        <v>2684</v>
      </c>
      <c r="R3" s="31">
        <f>VLOOKUP($B3,PickedPlayers!D:Q,11,FALSE)</f>
        <v>0</v>
      </c>
      <c r="S3" s="30" t="str">
        <f>VLOOKUP($C3,Fixtures!A:I,7,FALSE)</f>
        <v>MOR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2667</v>
      </c>
      <c r="B4" s="19" t="s">
        <v>465</v>
      </c>
      <c r="C4" s="29" t="s">
        <v>101</v>
      </c>
      <c r="D4" s="30" t="str">
        <f>VLOOKUP($C4,Fixtures!A:I,2,FALSE)</f>
        <v>CON</v>
      </c>
      <c r="E4" s="20" t="s">
        <v>2681</v>
      </c>
      <c r="F4" s="31">
        <f>VLOOKUP($B4,PickedPlayers!D:Q,7,FALSE)</f>
        <v>0</v>
      </c>
      <c r="G4" s="30" t="str">
        <f>VLOOKUP($C4,Fixtures!A:I,3,FALSE)</f>
        <v>UZB</v>
      </c>
      <c r="H4" s="20" t="s">
        <v>2680</v>
      </c>
      <c r="I4" s="31">
        <f>VLOOKUP($B4,PickedPlayers!D:Q,8,FALSE)</f>
        <v>0</v>
      </c>
      <c r="J4" s="30" t="str">
        <f>VLOOKUP($C4,Fixtures!A:I,4,FALSE)</f>
        <v>COL</v>
      </c>
      <c r="K4" s="20" t="s">
        <v>2681</v>
      </c>
      <c r="L4" s="31">
        <f>VLOOKUP($B4,PickedPlayers!D:Q,9,FALSE)</f>
        <v>0</v>
      </c>
      <c r="M4" s="30" t="str">
        <f>VLOOKUP($C4,Fixtures!A:I,5,FALSE)</f>
        <v>CRO</v>
      </c>
      <c r="N4" s="20" t="s">
        <v>2680</v>
      </c>
      <c r="O4" s="31">
        <f>VLOOKUP($B4,PickedPlayers!D:Q,10,FALSE)</f>
        <v>0</v>
      </c>
      <c r="P4" s="30" t="str">
        <f>VLOOKUP($C4,Fixtures!A:I,6,FALSE)</f>
        <v>SPA</v>
      </c>
      <c r="Q4" s="20" t="s">
        <v>2680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ht="15" x14ac:dyDescent="0.25">
      <c r="A5" s="28" t="s">
        <v>2668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2681</v>
      </c>
      <c r="F5" s="31">
        <f>VLOOKUP($B5,PickedPlayers!D:Q,7,FALSE)</f>
        <v>0</v>
      </c>
      <c r="G5" s="30" t="str">
        <f>VLOOKUP($C5,Fixtures!A:I,3,FALSE)</f>
        <v>SAU</v>
      </c>
      <c r="H5" s="20" t="s">
        <v>2681</v>
      </c>
      <c r="I5" s="31">
        <f>VLOOKUP($B5,PickedPlayers!D:Q,8,FALSE)</f>
        <v>0</v>
      </c>
      <c r="J5" s="30" t="str">
        <f>VLOOKUP($C5,Fixtures!A:I,4,FALSE)</f>
        <v>URU</v>
      </c>
      <c r="K5" s="20" t="s">
        <v>2681</v>
      </c>
      <c r="L5" s="31">
        <f>VLOOKUP($B5,PickedPlayers!D:Q,9,FALSE)</f>
        <v>0</v>
      </c>
      <c r="M5" s="30" t="str">
        <f>VLOOKUP($C5,Fixtures!A:I,5,FALSE)</f>
        <v>AUS</v>
      </c>
      <c r="N5" s="20" t="s">
        <v>2681</v>
      </c>
      <c r="O5" s="31">
        <f>VLOOKUP($B5,PickedPlayers!D:Q,10,FALSE)</f>
        <v>0</v>
      </c>
      <c r="P5" s="30" t="str">
        <f>VLOOKUP($C5,Fixtures!A:I,6,FALSE)</f>
        <v>POR</v>
      </c>
      <c r="Q5" s="20" t="s">
        <v>2681</v>
      </c>
      <c r="R5" s="31">
        <f>VLOOKUP($B5,PickedPlayers!D:Q,11,FALSE)</f>
        <v>0</v>
      </c>
      <c r="S5" s="30" t="str">
        <f>VLOOKUP($C5,Fixtures!A:I,7,FALSE)</f>
        <v>BEL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2668</v>
      </c>
      <c r="B6" s="19" t="s">
        <v>424</v>
      </c>
      <c r="C6" s="29" t="s">
        <v>39</v>
      </c>
      <c r="D6" s="30" t="str">
        <f>VLOOKUP($C6,Fixtures!A:I,2,FALSE)</f>
        <v>ALG</v>
      </c>
      <c r="E6" s="20" t="s">
        <v>2679</v>
      </c>
      <c r="F6" s="31">
        <f>VLOOKUP($B6,PickedPlayers!D:Q,7,FALSE)</f>
        <v>0</v>
      </c>
      <c r="G6" s="30" t="str">
        <f>VLOOKUP($C6,Fixtures!A:I,3,FALSE)</f>
        <v>AUT</v>
      </c>
      <c r="H6" s="20" t="s">
        <v>2683</v>
      </c>
      <c r="I6" s="31">
        <f>VLOOKUP($B6,PickedPlayers!D:Q,8,FALSE)</f>
        <v>0</v>
      </c>
      <c r="J6" s="30" t="str">
        <f>VLOOKUP($C6,Fixtures!A:I,4,FALSE)</f>
        <v>JOR</v>
      </c>
      <c r="K6" s="20" t="s">
        <v>2681</v>
      </c>
      <c r="L6" s="31">
        <f>VLOOKUP($B6,PickedPlayers!D:Q,9,FALSE)</f>
        <v>0</v>
      </c>
      <c r="M6" s="58" t="s">
        <v>2859</v>
      </c>
      <c r="N6" s="59"/>
      <c r="O6" s="60"/>
      <c r="P6" s="58" t="s">
        <v>2859</v>
      </c>
      <c r="Q6" s="59"/>
      <c r="R6" s="60"/>
      <c r="S6" s="58" t="s">
        <v>2859</v>
      </c>
      <c r="T6" s="59"/>
      <c r="U6" s="60"/>
      <c r="V6" s="58" t="s">
        <v>2859</v>
      </c>
      <c r="W6" s="59"/>
      <c r="X6" s="60"/>
      <c r="Y6" s="58" t="s">
        <v>2859</v>
      </c>
      <c r="Z6" s="59"/>
      <c r="AA6" s="60"/>
    </row>
    <row r="7" spans="1:27" ht="15" x14ac:dyDescent="0.25">
      <c r="A7" s="28" t="s">
        <v>2668</v>
      </c>
      <c r="B7" s="19" t="s">
        <v>485</v>
      </c>
      <c r="C7" s="29" t="s">
        <v>74</v>
      </c>
      <c r="D7" s="30" t="str">
        <f>VLOOKUP($C7,Fixtures!A:I,2,FALSE)</f>
        <v>CUR</v>
      </c>
      <c r="E7" s="20" t="s">
        <v>2681</v>
      </c>
      <c r="F7" s="31">
        <f>VLOOKUP($B7,PickedPlayers!D:Q,7,FALSE)</f>
        <v>0</v>
      </c>
      <c r="G7" s="30" t="str">
        <f>VLOOKUP($C7,Fixtures!A:I,3,FALSE)</f>
        <v>IVO</v>
      </c>
      <c r="H7" s="20" t="s">
        <v>2687</v>
      </c>
      <c r="I7" s="31">
        <f>VLOOKUP($B7,PickedPlayers!D:Q,8,FALSE)</f>
        <v>0</v>
      </c>
      <c r="J7" s="30" t="str">
        <f>VLOOKUP($C7,Fixtures!A:I,4,FALSE)</f>
        <v>ECU</v>
      </c>
      <c r="K7" s="20" t="s">
        <v>2687</v>
      </c>
      <c r="L7" s="31">
        <f>VLOOKUP($B7,PickedPlayers!D:Q,9,FALSE)</f>
        <v>0</v>
      </c>
      <c r="M7" s="30" t="str">
        <f>VLOOKUP($C7,Fixtures!A:I,5,FALSE)</f>
        <v>PAR</v>
      </c>
      <c r="N7" s="20" t="s">
        <v>2679</v>
      </c>
      <c r="O7" s="31">
        <f>VLOOKUP($B7,PickedPlayers!D:Q,10,FALSE)</f>
        <v>0</v>
      </c>
      <c r="P7" s="30" t="str">
        <f>VLOOKUP($C7,Fixtures!A:I,6,FALSE)</f>
        <v>out</v>
      </c>
      <c r="Q7" s="20" t="s">
        <v>2682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2668</v>
      </c>
      <c r="B8" s="19" t="s">
        <v>509</v>
      </c>
      <c r="C8" s="29" t="s">
        <v>39</v>
      </c>
      <c r="D8" s="30" t="str">
        <f>VLOOKUP($C8,Fixtures!A:I,2,FALSE)</f>
        <v>ALG</v>
      </c>
      <c r="E8" s="20" t="s">
        <v>2683</v>
      </c>
      <c r="F8" s="31">
        <f>VLOOKUP($B8,PickedPlayers!D:Q,7,FALSE)</f>
        <v>0</v>
      </c>
      <c r="G8" s="30" t="str">
        <f>VLOOKUP($C8,Fixtures!A:I,3,FALSE)</f>
        <v>AUT</v>
      </c>
      <c r="H8" s="20" t="s">
        <v>2681</v>
      </c>
      <c r="I8" s="31">
        <f>VLOOKUP($B8,PickedPlayers!D:Q,8,FALSE)</f>
        <v>0</v>
      </c>
      <c r="J8" s="30" t="str">
        <f>VLOOKUP($C8,Fixtures!A:I,4,FALSE)</f>
        <v>JOR</v>
      </c>
      <c r="K8" s="20" t="s">
        <v>2679</v>
      </c>
      <c r="L8" s="31">
        <f>VLOOKUP($B8,PickedPlayers!D:Q,9,FALSE)</f>
        <v>0</v>
      </c>
      <c r="M8" s="30" t="str">
        <f>VLOOKUP($C8,Fixtures!A:I,5,FALSE)</f>
        <v>CAP</v>
      </c>
      <c r="N8" s="20" t="s">
        <v>2681</v>
      </c>
      <c r="O8" s="31">
        <f>VLOOKUP($B8,PickedPlayers!D:Q,10,FALSE)</f>
        <v>0</v>
      </c>
      <c r="P8" s="30" t="str">
        <f>VLOOKUP($C8,Fixtures!A:I,6,FALSE)</f>
        <v>EGY</v>
      </c>
      <c r="Q8" s="20" t="s">
        <v>2681</v>
      </c>
      <c r="R8" s="31">
        <f>VLOOKUP($B8,PickedPlayers!D:Q,11,FALSE)</f>
        <v>0</v>
      </c>
      <c r="S8" s="30" t="str">
        <f>VLOOKUP($C8,Fixtures!A:I,7,FALSE)</f>
        <v>SWI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2668</v>
      </c>
      <c r="B9" s="19" t="s">
        <v>531</v>
      </c>
      <c r="C9" s="29" t="s">
        <v>78</v>
      </c>
      <c r="D9" s="30" t="str">
        <f>VLOOKUP($C9,Fixtures!A:I,2,FALSE)</f>
        <v>MOR</v>
      </c>
      <c r="E9" s="20" t="s">
        <v>2681</v>
      </c>
      <c r="F9" s="31">
        <f>VLOOKUP($B9,PickedPlayers!D:Q,7,FALSE)</f>
        <v>0</v>
      </c>
      <c r="G9" s="30" t="str">
        <f>VLOOKUP($C9,Fixtures!A:I,3,FALSE)</f>
        <v>HAI</v>
      </c>
      <c r="H9" s="20" t="s">
        <v>2681</v>
      </c>
      <c r="I9" s="31">
        <f>VLOOKUP($B9,PickedPlayers!D:Q,8,FALSE)</f>
        <v>0</v>
      </c>
      <c r="J9" s="30" t="str">
        <f>VLOOKUP($C9,Fixtures!A:I,4,FALSE)</f>
        <v>SCO</v>
      </c>
      <c r="K9" s="20" t="s">
        <v>2681</v>
      </c>
      <c r="L9" s="31">
        <f>VLOOKUP($B9,PickedPlayers!D:Q,9,FALSE)</f>
        <v>0</v>
      </c>
      <c r="M9" s="30" t="str">
        <f>VLOOKUP($C9,Fixtures!A:I,5,FALSE)</f>
        <v>JAP</v>
      </c>
      <c r="N9" s="20" t="s">
        <v>2682</v>
      </c>
      <c r="O9" s="31">
        <f>VLOOKUP($B9,PickedPlayers!D:Q,10,FALSE)</f>
        <v>0</v>
      </c>
      <c r="P9" s="30" t="str">
        <f>VLOOKUP($C9,Fixtures!A:I,6,FALSE)</f>
        <v>NOR</v>
      </c>
      <c r="Q9" s="20" t="s">
        <v>2681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2668</v>
      </c>
      <c r="B10" s="19" t="s">
        <v>604</v>
      </c>
      <c r="C10" s="29" t="s">
        <v>39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EGY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SWI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2669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2683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2669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2684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NOR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ht="15" x14ac:dyDescent="0.25">
      <c r="A13" s="28" t="s">
        <v>2669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SPA</v>
      </c>
      <c r="Q13" s="20" t="s">
        <v>2681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2669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2681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2685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USA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SPA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2671</v>
      </c>
      <c r="B15" s="19" t="s">
        <v>290</v>
      </c>
      <c r="C15" s="29" t="s">
        <v>39</v>
      </c>
      <c r="D15" s="30" t="str">
        <f>VLOOKUP($C15,Fixtures!A:I,2,FALSE)</f>
        <v>ALG</v>
      </c>
      <c r="E15" s="48" t="s">
        <v>2685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2681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SWI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2671</v>
      </c>
      <c r="B16" s="19" t="s">
        <v>302</v>
      </c>
      <c r="C16" s="29" t="s">
        <v>78</v>
      </c>
      <c r="D16" s="30" t="str">
        <f>VLOOKUP($C16,Fixtures!A:I,2,FALSE)</f>
        <v>MOR</v>
      </c>
      <c r="E16" s="20" t="s">
        <v>2686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2684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2683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2683</v>
      </c>
      <c r="O16" s="31">
        <f>VLOOKUP($B16,PickedPlayers!D:Q,10,FALSE)</f>
        <v>0</v>
      </c>
      <c r="P16" s="30" t="str">
        <f>VLOOKUP($C16,Fixtures!A:I,6,FALSE)</f>
        <v>NOR</v>
      </c>
      <c r="Q16" s="20" t="s">
        <v>2679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ht="15" x14ac:dyDescent="0.25">
      <c r="A17" s="28" t="s">
        <v>2671</v>
      </c>
      <c r="B17" s="19" t="s">
        <v>316</v>
      </c>
      <c r="C17" s="29" t="s">
        <v>74</v>
      </c>
      <c r="D17" s="30" t="str">
        <f>VLOOKUP($C17,Fixtures!A:I,2,FALSE)</f>
        <v>CUR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2684</v>
      </c>
      <c r="O17" s="31">
        <f>VLOOKUP($B17,PickedPlayers!D:Q,10,FALSE)</f>
        <v>0</v>
      </c>
      <c r="P17" s="30" t="str">
        <f>VLOOKUP($C17,Fixtures!A:I,6,FALSE)</f>
        <v>out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2671</v>
      </c>
      <c r="B18" s="19" t="s">
        <v>354</v>
      </c>
      <c r="C18" s="29" t="s">
        <v>61</v>
      </c>
      <c r="D18" s="30" t="str">
        <f>VLOOKUP($C18,Fixtures!A:I,2,FALSE)</f>
        <v>SEN</v>
      </c>
      <c r="E18" s="20" t="s">
        <v>2682</v>
      </c>
      <c r="F18" s="31">
        <f>VLOOKUP($B18,PickedPlayers!D:Q,7,FALSE)</f>
        <v>0</v>
      </c>
      <c r="G18" s="30" t="str">
        <f>VLOOKUP($C18,Fixtures!A:I,3,FALSE)</f>
        <v>IRQ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NOR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SWE</v>
      </c>
      <c r="N18" s="20" t="s">
        <v>2681</v>
      </c>
      <c r="O18" s="31">
        <f>VLOOKUP($B18,PickedPlayers!D:Q,10,FALSE)</f>
        <v>0</v>
      </c>
      <c r="P18" s="30" t="str">
        <f>VLOOKUP($C18,Fixtures!A:I,6,FALSE)</f>
        <v>PAR</v>
      </c>
      <c r="Q18" s="20" t="s">
        <v>2681</v>
      </c>
      <c r="R18" s="31">
        <f>VLOOKUP($B18,PickedPlayers!D:Q,11,FALSE)</f>
        <v>0</v>
      </c>
      <c r="S18" s="30" t="str">
        <f>VLOOKUP($C18,Fixtures!A:I,7,FALSE)</f>
        <v>MOR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491</v>
      </c>
      <c r="C19" s="34" t="s">
        <v>123</v>
      </c>
      <c r="D19" s="30" t="str">
        <f>VLOOKUP($C19,Fixtures!A:I,2,FALSE)</f>
        <v>CAP</v>
      </c>
      <c r="E19" s="35" t="s">
        <v>2684</v>
      </c>
      <c r="F19" s="31">
        <f>VLOOKUP($B19,PickedPlayers!D:Q,7,FALSE)</f>
        <v>0</v>
      </c>
      <c r="G19" s="30" t="str">
        <f>VLOOKUP($C19,Fixtures!A:I,3,FALSE)</f>
        <v>SAU</v>
      </c>
      <c r="H19" s="35" t="s">
        <v>2682</v>
      </c>
      <c r="I19" s="31">
        <f>VLOOKUP($B19,PickedPlayers!D:Q,8,FALSE)</f>
        <v>0</v>
      </c>
      <c r="J19" s="30" t="str">
        <f>VLOOKUP($C19,Fixtures!A:I,4,FALSE)</f>
        <v>URU</v>
      </c>
      <c r="K19" s="35" t="s">
        <v>2681</v>
      </c>
      <c r="L19" s="31">
        <f>VLOOKUP($B19,PickedPlayers!D:Q,9,FALSE)</f>
        <v>0</v>
      </c>
      <c r="M19" s="30" t="str">
        <f>VLOOKUP($C19,Fixtures!A:I,5,FALSE)</f>
        <v>AUS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POR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BEL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138" priority="67" operator="containsText" text="Sub">
      <formula>NOT(ISERROR(SEARCH("Sub",E3)))</formula>
    </cfRule>
    <cfRule type="containsText" dxfId="137" priority="66" operator="containsText" text="Off">
      <formula>NOT(ISERROR(SEARCH("Off",E3)))</formula>
    </cfRule>
    <cfRule type="containsText" dxfId="136" priority="65" operator="containsText" text="Vice Captain">
      <formula>NOT(ISERROR(SEARCH("Vice Captain",E3)))</formula>
    </cfRule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</conditionalFormatting>
  <conditionalFormatting sqref="H3:H19">
    <cfRule type="containsText" dxfId="133" priority="62" operator="containsText" text="Picked">
      <formula>NOT(ISERROR(SEARCH("Picked",H3)))</formula>
    </cfRule>
    <cfRule type="containsText" dxfId="132" priority="61" operator="containsText" text="Captain">
      <formula>NOT(ISERROR(SEARCH("Captain",H3)))</formula>
    </cfRule>
    <cfRule type="containsText" dxfId="131" priority="60" operator="containsText" text="Sub">
      <formula>NOT(ISERROR(SEARCH("Sub",H3)))</formula>
    </cfRule>
    <cfRule type="containsText" dxfId="130" priority="59" operator="containsText" text="Off">
      <formula>NOT(ISERROR(SEARCH("Off",H3)))</formula>
    </cfRule>
    <cfRule type="containsText" dxfId="129" priority="58" operator="containsText" text="Vice Captain">
      <formula>NOT(ISERROR(SEARCH("Vice Captain",H3)))</formula>
    </cfRule>
  </conditionalFormatting>
  <conditionalFormatting sqref="K3:K19">
    <cfRule type="containsText" dxfId="128" priority="56" operator="containsText" text="Captain">
      <formula>NOT(ISERROR(SEARCH("Captain",K3)))</formula>
    </cfRule>
    <cfRule type="containsText" dxfId="127" priority="55" operator="containsText" text="Sub">
      <formula>NOT(ISERROR(SEARCH("Sub",K3)))</formula>
    </cfRule>
    <cfRule type="containsText" dxfId="126" priority="54" operator="containsText" text="Off">
      <formula>NOT(ISERROR(SEARCH("Off",K3)))</formula>
    </cfRule>
    <cfRule type="containsText" dxfId="125" priority="53" operator="containsText" text="Vice Captain">
      <formula>NOT(ISERROR(SEARCH("Vice Captain",K3)))</formula>
    </cfRule>
    <cfRule type="containsText" dxfId="124" priority="57" operator="containsText" text="Picked">
      <formula>NOT(ISERROR(SEARCH("Picked",K3)))</formula>
    </cfRule>
  </conditionalFormatting>
  <conditionalFormatting sqref="M3:M19 P3:P19 S3:S19 V3:V19 Y3:Y19">
    <cfRule type="containsText" dxfId="123" priority="27" operator="containsText" text="Out">
      <formula>NOT(ISERROR(SEARCH("Out",M3)))</formula>
    </cfRule>
    <cfRule type="containsText" dxfId="122" priority="26" operator="containsText" text="tbc">
      <formula>NOT(ISERROR(SEARCH("tbc",M3)))</formula>
    </cfRule>
  </conditionalFormatting>
  <conditionalFormatting sqref="N3:N19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19">
    <cfRule type="containsText" dxfId="116" priority="23" operator="containsText" text="Sub">
      <formula>NOT(ISERROR(SEARCH("Sub",Q3)))</formula>
    </cfRule>
    <cfRule type="containsText" dxfId="115" priority="24" operator="containsText" text="Captain">
      <formula>NOT(ISERROR(SEARCH("Captain",Q3)))</formula>
    </cfRule>
    <cfRule type="containsText" dxfId="114" priority="25" operator="containsText" text="Picked">
      <formula>NOT(ISERROR(SEARCH("Picked",Q3)))</formula>
    </cfRule>
    <cfRule type="containsText" dxfId="113" priority="21" operator="containsText" text="Vice Captain">
      <formula>NOT(ISERROR(SEARCH("Vice Captain",Q3)))</formula>
    </cfRule>
    <cfRule type="containsText" dxfId="112" priority="22" operator="containsText" text="Off">
      <formula>NOT(ISERROR(SEARCH("Off",Q3)))</formula>
    </cfRule>
  </conditionalFormatting>
  <conditionalFormatting sqref="T3:T19">
    <cfRule type="containsText" dxfId="111" priority="19" operator="containsText" text="Captain">
      <formula>NOT(ISERROR(SEARCH("Captain",T3)))</formula>
    </cfRule>
    <cfRule type="containsText" dxfId="110" priority="18" operator="containsText" text="Sub">
      <formula>NOT(ISERROR(SEARCH("Sub",T3)))</formula>
    </cfRule>
    <cfRule type="containsText" dxfId="109" priority="16" operator="containsText" text="Vice Captain">
      <formula>NOT(ISERROR(SEARCH("Vice Captain",T3)))</formula>
    </cfRule>
    <cfRule type="containsText" dxfId="108" priority="20" operator="containsText" text="Picked">
      <formula>NOT(ISERROR(SEARCH("Picked",T3)))</formula>
    </cfRule>
    <cfRule type="containsText" dxfId="107" priority="17" operator="containsText" text="Off">
      <formula>NOT(ISERROR(SEARCH("Off",T3)))</formula>
    </cfRule>
  </conditionalFormatting>
  <conditionalFormatting sqref="W3:W19">
    <cfRule type="containsText" dxfId="106" priority="15" operator="containsText" text="Picked">
      <formula>NOT(ISERROR(SEARCH("Picked",W3)))</formula>
    </cfRule>
    <cfRule type="containsText" dxfId="105" priority="14" operator="containsText" text="Captain">
      <formula>NOT(ISERROR(SEARCH("Captain",W3)))</formula>
    </cfRule>
    <cfRule type="containsText" dxfId="104" priority="13" operator="containsText" text="Sub">
      <formula>NOT(ISERROR(SEARCH("Sub",W3)))</formula>
    </cfRule>
    <cfRule type="containsText" dxfId="103" priority="12" operator="containsText" text="Off">
      <formula>NOT(ISERROR(SEARCH("Off",W3)))</formula>
    </cfRule>
    <cfRule type="containsText" dxfId="102" priority="11" operator="containsText" text="Vice Captain">
      <formula>NOT(ISERROR(SEARCH("Vice Captain",W3)))</formula>
    </cfRule>
  </conditionalFormatting>
  <conditionalFormatting sqref="Z3:Z19">
    <cfRule type="containsText" dxfId="101" priority="6" operator="containsText" text="Vice Captain">
      <formula>NOT(ISERROR(SEARCH("Vice Captain",Z3)))</formula>
    </cfRule>
    <cfRule type="containsText" dxfId="100" priority="10" operator="containsText" text="Picked">
      <formula>NOT(ISERROR(SEARCH("Picked",Z3)))</formula>
    </cfRule>
    <cfRule type="containsText" dxfId="99" priority="9" operator="containsText" text="Captain">
      <formula>NOT(ISERROR(SEARCH("Captain",Z3)))</formula>
    </cfRule>
    <cfRule type="containsText" dxfId="98" priority="8" operator="containsText" text="Sub">
      <formula>NOT(ISERROR(SEARCH("Sub",Z3)))</formula>
    </cfRule>
    <cfRule type="containsText" dxfId="9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E5:E19 H5:H19 K5:K19 Q5:Q19 Z5:Z19 N5:N19 W5:W19 T5:T19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2"/>
  <sheetViews>
    <sheetView workbookViewId="0">
      <selection activeCell="M20" sqref="M20:O21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2672</v>
      </c>
      <c r="B1" s="81"/>
      <c r="C1" s="82"/>
      <c r="D1" s="83" t="s">
        <v>2673</v>
      </c>
      <c r="E1" s="84"/>
      <c r="F1" s="85"/>
      <c r="G1" s="77" t="s">
        <v>2674</v>
      </c>
      <c r="H1" s="78"/>
      <c r="I1" s="79"/>
      <c r="J1" s="77" t="s">
        <v>2675</v>
      </c>
      <c r="K1" s="78"/>
      <c r="L1" s="79"/>
      <c r="M1" s="77" t="s">
        <v>41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340</v>
      </c>
      <c r="C3" s="29" t="s">
        <v>39</v>
      </c>
      <c r="D3" s="30" t="str">
        <f>VLOOKUP($C3,Fixtures!A:I,2,FALSE)</f>
        <v>ALG</v>
      </c>
      <c r="E3" s="20" t="s">
        <v>2681</v>
      </c>
      <c r="F3" s="31">
        <f>VLOOKUP($B3,PickedPlayers!D:Q,7,FALSE)</f>
        <v>0</v>
      </c>
      <c r="G3" s="30" t="str">
        <f>VLOOKUP($C3,Fixtures!A:I,3,FALSE)</f>
        <v>AUT</v>
      </c>
      <c r="H3" s="20" t="s">
        <v>2681</v>
      </c>
      <c r="I3" s="31">
        <f>VLOOKUP($B3,PickedPlayers!D:Q,8,FALSE)</f>
        <v>0</v>
      </c>
      <c r="J3" s="30" t="str">
        <f>VLOOKUP($C3,Fixtures!A:I,4,FALSE)</f>
        <v>JOR</v>
      </c>
      <c r="K3" s="20" t="s">
        <v>2681</v>
      </c>
      <c r="L3" s="31">
        <f>VLOOKUP($B3,PickedPlayers!D:Q,9,FALSE)</f>
        <v>0</v>
      </c>
      <c r="M3" s="30" t="str">
        <f>VLOOKUP($C3,Fixtures!A:I,5,FALSE)</f>
        <v>CAP</v>
      </c>
      <c r="N3" s="20" t="s">
        <v>2681</v>
      </c>
      <c r="O3" s="31">
        <f>VLOOKUP($B3,PickedPlayers!D:Q,10,FALSE)</f>
        <v>0</v>
      </c>
      <c r="P3" s="30" t="str">
        <f>VLOOKUP($C3,Fixtures!A:I,6,FALSE)</f>
        <v>EGY</v>
      </c>
      <c r="Q3" s="20" t="s">
        <v>2681</v>
      </c>
      <c r="R3" s="31">
        <f>VLOOKUP($B3,PickedPlayers!D:Q,11,FALSE)</f>
        <v>0</v>
      </c>
      <c r="S3" s="30" t="str">
        <f>VLOOKUP($C3,Fixtures!A:I,7,FALSE)</f>
        <v>SWI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507</v>
      </c>
      <c r="C4" s="29" t="s">
        <v>165</v>
      </c>
      <c r="D4" s="30" t="str">
        <f>VLOOKUP($C4,Fixtures!A:I,2,FALSE)</f>
        <v>QAT</v>
      </c>
      <c r="E4" s="20" t="s">
        <v>2680</v>
      </c>
      <c r="F4" s="31">
        <f>VLOOKUP($B4,PickedPlayers!D:Q,7,FALSE)</f>
        <v>0</v>
      </c>
      <c r="G4" s="30" t="str">
        <f>VLOOKUP($C4,Fixtures!A:I,3,FALSE)</f>
        <v>BOS</v>
      </c>
      <c r="H4" s="20" t="s">
        <v>2680</v>
      </c>
      <c r="I4" s="31">
        <f>VLOOKUP($B4,PickedPlayers!D:Q,8,FALSE)</f>
        <v>0</v>
      </c>
      <c r="J4" s="30" t="str">
        <f>VLOOKUP($C4,Fixtures!A:I,4,FALSE)</f>
        <v>CAN</v>
      </c>
      <c r="K4" s="20" t="s">
        <v>2680</v>
      </c>
      <c r="L4" s="31">
        <f>VLOOKUP($B4,PickedPlayers!D:Q,9,FALSE)</f>
        <v>0</v>
      </c>
      <c r="M4" s="30" t="str">
        <f>VLOOKUP($C4,Fixtures!A:I,5,FALSE)</f>
        <v>ALG</v>
      </c>
      <c r="N4" s="20" t="s">
        <v>2680</v>
      </c>
      <c r="O4" s="31">
        <f>VLOOKUP($B4,PickedPlayers!D:Q,10,FALSE)</f>
        <v>0</v>
      </c>
      <c r="P4" s="30" t="str">
        <f>VLOOKUP($C4,Fixtures!A:I,6,FALSE)</f>
        <v>COL</v>
      </c>
      <c r="Q4" s="20" t="s">
        <v>2680</v>
      </c>
      <c r="R4" s="31">
        <f>VLOOKUP($B4,PickedPlayers!D:Q,11,FALSE)</f>
        <v>0</v>
      </c>
      <c r="S4" s="30" t="str">
        <f>VLOOKUP($C4,Fixtures!A:I,7,FALSE)</f>
        <v>ARG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2681</v>
      </c>
      <c r="F5" s="31">
        <f>VLOOKUP($B5,PickedPlayers!D:Q,7,FALSE)</f>
        <v>0</v>
      </c>
      <c r="G5" s="30" t="str">
        <f>VLOOKUP($C5,Fixtures!A:I,3,FALSE)</f>
        <v>SWE</v>
      </c>
      <c r="H5" s="20" t="s">
        <v>2683</v>
      </c>
      <c r="I5" s="31">
        <f>VLOOKUP($B5,PickedPlayers!D:Q,8,FALSE)</f>
        <v>0</v>
      </c>
      <c r="J5" s="30" t="str">
        <f>VLOOKUP($C5,Fixtures!A:I,4,FALSE)</f>
        <v>TUN</v>
      </c>
      <c r="K5" s="20" t="s">
        <v>2681</v>
      </c>
      <c r="L5" s="31">
        <f>VLOOKUP($B5,PickedPlayers!D:Q,9,FALSE)</f>
        <v>0</v>
      </c>
      <c r="M5" s="30" t="str">
        <f>VLOOKUP($C5,Fixtures!A:I,5,FALSE)</f>
        <v>MOR</v>
      </c>
      <c r="N5" s="20" t="s">
        <v>2683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2679</v>
      </c>
      <c r="F6" s="31">
        <f>VLOOKUP($B6,PickedPlayers!D:Q,7,FALSE)</f>
        <v>0</v>
      </c>
      <c r="G6" s="30" t="str">
        <f>VLOOKUP($C6,Fixtures!A:I,3,FALSE)</f>
        <v>SAU</v>
      </c>
      <c r="H6" s="20" t="s">
        <v>2681</v>
      </c>
      <c r="I6" s="31">
        <f>VLOOKUP($B6,PickedPlayers!D:Q,8,FALSE)</f>
        <v>0</v>
      </c>
      <c r="J6" s="30" t="str">
        <f>VLOOKUP($C6,Fixtures!A:I,4,FALSE)</f>
        <v>URU</v>
      </c>
      <c r="K6" s="20" t="s">
        <v>2679</v>
      </c>
      <c r="L6" s="31">
        <f>VLOOKUP($B6,PickedPlayers!D:Q,9,FALSE)</f>
        <v>0</v>
      </c>
      <c r="M6" s="30" t="str">
        <f>VLOOKUP($C6,Fixtures!A:I,5,FALSE)</f>
        <v>AUS</v>
      </c>
      <c r="N6" s="20" t="s">
        <v>2681</v>
      </c>
      <c r="O6" s="31">
        <f>VLOOKUP($B6,PickedPlayers!D:Q,10,FALSE)</f>
        <v>0</v>
      </c>
      <c r="P6" s="30" t="str">
        <f>VLOOKUP($C6,Fixtures!A:I,6,FALSE)</f>
        <v>POR</v>
      </c>
      <c r="Q6" s="20" t="s">
        <v>2681</v>
      </c>
      <c r="R6" s="31">
        <f>VLOOKUP($B6,PickedPlayers!D:Q,11,FALSE)</f>
        <v>0</v>
      </c>
      <c r="S6" s="30" t="str">
        <f>VLOOKUP($C6,Fixtures!A:I,7,FALSE)</f>
        <v>BEL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2681</v>
      </c>
      <c r="F7" s="31">
        <f>VLOOKUP($B7,PickedPlayers!D:Q,7,FALSE)</f>
        <v>0</v>
      </c>
      <c r="G7" s="30" t="str">
        <f>VLOOKUP($C7,Fixtures!A:I,3,FALSE)</f>
        <v>IRA</v>
      </c>
      <c r="H7" s="20" t="s">
        <v>2681</v>
      </c>
      <c r="I7" s="31">
        <f>VLOOKUP($B7,PickedPlayers!D:Q,8,FALSE)</f>
        <v>0</v>
      </c>
      <c r="J7" s="30" t="str">
        <f>VLOOKUP($C7,Fixtures!A:I,4,FALSE)</f>
        <v>NZL</v>
      </c>
      <c r="K7" s="20" t="s">
        <v>2681</v>
      </c>
      <c r="L7" s="31">
        <f>VLOOKUP($B7,PickedPlayers!D:Q,9,FALSE)</f>
        <v>0</v>
      </c>
      <c r="M7" s="30" t="str">
        <f>VLOOKUP($C7,Fixtures!A:I,5,FALSE)</f>
        <v>SEN</v>
      </c>
      <c r="N7" s="20" t="s">
        <v>2681</v>
      </c>
      <c r="O7" s="31">
        <f>VLOOKUP($B7,PickedPlayers!D:Q,10,FALSE)</f>
        <v>0</v>
      </c>
      <c r="P7" s="30" t="str">
        <f>VLOOKUP($C7,Fixtures!A:I,6,FALSE)</f>
        <v>USA</v>
      </c>
      <c r="Q7" s="20" t="s">
        <v>2681</v>
      </c>
      <c r="R7" s="31">
        <f>VLOOKUP($B7,PickedPlayers!D:Q,11,FALSE)</f>
        <v>0</v>
      </c>
      <c r="S7" s="30" t="str">
        <f>VLOOKUP($C7,Fixtures!A:I,7,FALSE)</f>
        <v>SPA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2683</v>
      </c>
      <c r="F8" s="31">
        <f>VLOOKUP($B8,PickedPlayers!D:Q,7,FALSE)</f>
        <v>0</v>
      </c>
      <c r="G8" s="30" t="str">
        <f>VLOOKUP($C8,Fixtures!A:I,3,FALSE)</f>
        <v>GHA</v>
      </c>
      <c r="H8" s="20" t="s">
        <v>2681</v>
      </c>
      <c r="I8" s="31">
        <f>VLOOKUP($B8,PickedPlayers!D:Q,8,FALSE)</f>
        <v>0</v>
      </c>
      <c r="J8" s="30" t="str">
        <f>VLOOKUP($C8,Fixtures!A:I,4,FALSE)</f>
        <v>PAN</v>
      </c>
      <c r="K8" s="20" t="s">
        <v>2681</v>
      </c>
      <c r="L8" s="31">
        <f>VLOOKUP($B8,PickedPlayers!D:Q,9,FALSE)</f>
        <v>0</v>
      </c>
      <c r="M8" s="30" t="str">
        <f>VLOOKUP($C8,Fixtures!A:I,5,FALSE)</f>
        <v>CON</v>
      </c>
      <c r="N8" s="20" t="s">
        <v>2681</v>
      </c>
      <c r="O8" s="31">
        <f>VLOOKUP($B8,PickedPlayers!D:Q,10,FALSE)</f>
        <v>0</v>
      </c>
      <c r="P8" s="30" t="str">
        <f>VLOOKUP($C8,Fixtures!A:I,6,FALSE)</f>
        <v>MEX</v>
      </c>
      <c r="Q8" s="20" t="s">
        <v>2681</v>
      </c>
      <c r="R8" s="31">
        <f>VLOOKUP($B8,PickedPlayers!D:Q,11,FALSE)</f>
        <v>0</v>
      </c>
      <c r="S8" s="30" t="str">
        <f>VLOOKUP($C8,Fixtures!A:I,7,FALSE)</f>
        <v>NOR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493</v>
      </c>
      <c r="C9" s="29" t="s">
        <v>74</v>
      </c>
      <c r="D9" s="30" t="str">
        <f>VLOOKUP($C9,Fixtures!A:I,2,FALSE)</f>
        <v>CUR</v>
      </c>
      <c r="E9" s="20" t="s">
        <v>2685</v>
      </c>
      <c r="F9" s="31">
        <f>VLOOKUP($B9,PickedPlayers!D:Q,7,FALSE)</f>
        <v>0</v>
      </c>
      <c r="G9" s="30" t="str">
        <f>VLOOKUP($C9,Fixtures!A:I,3,FALSE)</f>
        <v>IVO</v>
      </c>
      <c r="H9" s="20" t="s">
        <v>2681</v>
      </c>
      <c r="I9" s="31">
        <f>VLOOKUP($B9,PickedPlayers!D:Q,8,FALSE)</f>
        <v>0</v>
      </c>
      <c r="J9" s="30" t="str">
        <f>VLOOKUP($C9,Fixtures!A:I,4,FALSE)</f>
        <v>ECU</v>
      </c>
      <c r="K9" s="20" t="s">
        <v>2683</v>
      </c>
      <c r="L9" s="31">
        <f>VLOOKUP($B9,PickedPlayers!D:Q,9,FALSE)</f>
        <v>0</v>
      </c>
      <c r="M9" s="58" t="s">
        <v>2859</v>
      </c>
      <c r="N9" s="59"/>
      <c r="O9" s="60"/>
      <c r="P9" s="58" t="s">
        <v>2859</v>
      </c>
      <c r="Q9" s="59"/>
      <c r="R9" s="60"/>
      <c r="S9" s="58" t="s">
        <v>2859</v>
      </c>
      <c r="T9" s="59"/>
      <c r="U9" s="60"/>
      <c r="V9" s="58" t="s">
        <v>2859</v>
      </c>
      <c r="W9" s="59"/>
      <c r="X9" s="60"/>
      <c r="Y9" s="58" t="s">
        <v>2859</v>
      </c>
      <c r="Z9" s="59"/>
      <c r="AA9" s="60"/>
    </row>
    <row r="10" spans="1:27" x14ac:dyDescent="0.25">
      <c r="A10" s="28" t="s">
        <v>2668</v>
      </c>
      <c r="B10" s="19" t="s">
        <v>1390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SPA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BEL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471</v>
      </c>
      <c r="C13" s="29" t="s">
        <v>69</v>
      </c>
      <c r="D13" s="30" t="str">
        <f>VLOOKUP($C13,Fixtures!A:I,2,FALSE)</f>
        <v>JAP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533</v>
      </c>
      <c r="C14" s="29" t="s">
        <v>2691</v>
      </c>
      <c r="D14" s="30" t="str">
        <f>VLOOKUP($C14,Fixtures!A:I,2,FALSE)</f>
        <v>ECU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2681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300</v>
      </c>
      <c r="C15" s="29" t="s">
        <v>39</v>
      </c>
      <c r="D15" s="30" t="str">
        <f>VLOOKUP($C15,Fixtures!A:I,2,FALSE)</f>
        <v>ALG</v>
      </c>
      <c r="E15" s="20" t="s">
        <v>2684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2681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2682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SWI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2686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2681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2681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2681</v>
      </c>
      <c r="R16" s="31">
        <f>VLOOKUP($B16,PickedPlayers!D:Q,11,FALSE)</f>
        <v>0</v>
      </c>
      <c r="S16" s="30" t="str">
        <f>VLOOKUP($C16,Fixtures!A:I,7,FALSE)</f>
        <v>NOR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360</v>
      </c>
      <c r="C17" s="29" t="s">
        <v>100</v>
      </c>
      <c r="D17" s="30" t="str">
        <f>VLOOKUP($C17,Fixtures!A:I,2,FALSE)</f>
        <v>UZB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CON</v>
      </c>
      <c r="H17" s="20" t="s">
        <v>2684</v>
      </c>
      <c r="I17" s="31">
        <f>VLOOKUP($B17,PickedPlayers!D:Q,8,FALSE)</f>
        <v>0</v>
      </c>
      <c r="J17" s="30" t="str">
        <f>VLOOKUP($C17,Fixtures!A:I,4,FALSE)</f>
        <v>POR</v>
      </c>
      <c r="K17" s="20" t="s">
        <v>2681</v>
      </c>
      <c r="L17" s="31">
        <f>VLOOKUP($B17,PickedPlayers!D:Q,9,FALSE)</f>
        <v>0</v>
      </c>
      <c r="M17" s="30" t="str">
        <f>VLOOKUP($C17,Fixtures!A:I,5,FALSE)</f>
        <v>GHA</v>
      </c>
      <c r="N17" s="20" t="s">
        <v>2684</v>
      </c>
      <c r="O17" s="31">
        <f>VLOOKUP($B17,PickedPlayers!D:Q,10,FALSE)</f>
        <v>0</v>
      </c>
      <c r="P17" s="30" t="str">
        <f>VLOOKUP($C17,Fixtures!A:I,6,FALSE)</f>
        <v>SWI</v>
      </c>
      <c r="Q17" s="20" t="s">
        <v>2681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418</v>
      </c>
      <c r="C18" s="29" t="s">
        <v>46</v>
      </c>
      <c r="D18" s="30" t="str">
        <f>VLOOKUP($C18,Fixtures!A:I,2,FALSE)</f>
        <v>BEL</v>
      </c>
      <c r="E18" s="20" t="s">
        <v>2686</v>
      </c>
      <c r="F18" s="31">
        <f>VLOOKUP($B18,PickedPlayers!D:Q,7,FALSE)</f>
        <v>0</v>
      </c>
      <c r="G18" s="30" t="str">
        <f>VLOOKUP($C18,Fixtures!A:I,3,FALSE)</f>
        <v>NZL</v>
      </c>
      <c r="H18" s="20" t="s">
        <v>2685</v>
      </c>
      <c r="I18" s="31">
        <f>VLOOKUP($B18,PickedPlayers!D:Q,8,FALSE)</f>
        <v>0</v>
      </c>
      <c r="J18" s="30" t="str">
        <f>VLOOKUP($C18,Fixtures!A:I,4,FALSE)</f>
        <v>IRA</v>
      </c>
      <c r="K18" s="20" t="s">
        <v>2685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2685</v>
      </c>
      <c r="O18" s="31">
        <f>VLOOKUP($B18,PickedPlayers!D:Q,10,FALSE)</f>
        <v>0</v>
      </c>
      <c r="P18" s="30" t="str">
        <f>VLOOKUP($C18,Fixtures!A:I,6,FALSE)</f>
        <v>ARG</v>
      </c>
      <c r="Q18" s="20" t="s">
        <v>2686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483</v>
      </c>
      <c r="C19" s="34" t="s">
        <v>69</v>
      </c>
      <c r="D19" s="30" t="str">
        <f>VLOOKUP($C19,Fixtures!A:I,2,FALSE)</f>
        <v>JAP</v>
      </c>
      <c r="E19" s="35" t="s">
        <v>2682</v>
      </c>
      <c r="F19" s="31">
        <f>VLOOKUP($B19,PickedPlayers!D:Q,7,FALSE)</f>
        <v>0</v>
      </c>
      <c r="G19" s="30" t="str">
        <f>VLOOKUP($C19,Fixtures!A:I,3,FALSE)</f>
        <v>SWE</v>
      </c>
      <c r="H19" s="35" t="s">
        <v>2682</v>
      </c>
      <c r="I19" s="31">
        <f>VLOOKUP($B19,PickedPlayers!D:Q,8,FALSE)</f>
        <v>0</v>
      </c>
      <c r="J19" s="30" t="str">
        <f>VLOOKUP($C19,Fixtures!A:I,4,FALSE)</f>
        <v>TUN</v>
      </c>
      <c r="K19" s="35" t="s">
        <v>2686</v>
      </c>
      <c r="L19" s="31">
        <f>VLOOKUP($B19,PickedPlayers!D:Q,9,FALSE)</f>
        <v>0</v>
      </c>
      <c r="M19" s="30" t="str">
        <f>VLOOKUP($C19,Fixtures!A:I,5,FALSE)</f>
        <v>MOR</v>
      </c>
      <c r="N19" s="35" t="s">
        <v>2686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  <mergeCell ref="V20:X21"/>
    <mergeCell ref="Y20:AA21"/>
    <mergeCell ref="S1:U1"/>
    <mergeCell ref="V1:X1"/>
    <mergeCell ref="Y1:AA1"/>
  </mergeCells>
  <conditionalFormatting sqref="E3:E19">
    <cfRule type="containsText" dxfId="96" priority="74" operator="containsText" text="Off">
      <formula>NOT(ISERROR(SEARCH("Off",E3)))</formula>
    </cfRule>
    <cfRule type="containsText" dxfId="95" priority="73" operator="containsText" text="Vice Captain">
      <formula>NOT(ISERROR(SEARCH("Vice Captain",E3)))</formula>
    </cfRule>
    <cfRule type="containsText" dxfId="94" priority="77" operator="containsText" text="Picked">
      <formula>NOT(ISERROR(SEARCH("Picked",E3)))</formula>
    </cfRule>
    <cfRule type="containsText" dxfId="93" priority="75" operator="containsText" text="Sub">
      <formula>NOT(ISERROR(SEARCH("Sub",E3)))</formula>
    </cfRule>
    <cfRule type="containsText" dxfId="92" priority="76" operator="containsText" text="Captain">
      <formula>NOT(ISERROR(SEARCH("Captain",E3)))</formula>
    </cfRule>
  </conditionalFormatting>
  <conditionalFormatting sqref="H3:H19">
    <cfRule type="containsText" dxfId="91" priority="70" operator="containsText" text="Picked">
      <formula>NOT(ISERROR(SEARCH("Picked",H3)))</formula>
    </cfRule>
    <cfRule type="containsText" dxfId="90" priority="68" operator="containsText" text="Sub">
      <formula>NOT(ISERROR(SEARCH("Sub",H3)))</formula>
    </cfRule>
    <cfRule type="containsText" dxfId="89" priority="67" operator="containsText" text="Off">
      <formula>NOT(ISERROR(SEARCH("Off",H3)))</formula>
    </cfRule>
    <cfRule type="containsText" dxfId="88" priority="66" operator="containsText" text="Vice Captain">
      <formula>NOT(ISERROR(SEARCH("Vice Captain",H3)))</formula>
    </cfRule>
    <cfRule type="containsText" dxfId="87" priority="69" operator="containsText" text="Captain">
      <formula>NOT(ISERROR(SEARCH("Captain",H3)))</formula>
    </cfRule>
  </conditionalFormatting>
  <conditionalFormatting sqref="K3:K19">
    <cfRule type="containsText" dxfId="86" priority="65" operator="containsText" text="Picked">
      <formula>NOT(ISERROR(SEARCH("Picked",K3)))</formula>
    </cfRule>
    <cfRule type="containsText" dxfId="85" priority="64" operator="containsText" text="Captain">
      <formula>NOT(ISERROR(SEARCH("Captain",K3)))</formula>
    </cfRule>
    <cfRule type="containsText" dxfId="84" priority="62" operator="containsText" text="Off">
      <formula>NOT(ISERROR(SEARCH("Off",K3)))</formula>
    </cfRule>
    <cfRule type="containsText" dxfId="83" priority="61" operator="containsText" text="Vice Captain">
      <formula>NOT(ISERROR(SEARCH("Vice Captain",K3)))</formula>
    </cfRule>
    <cfRule type="containsText" dxfId="82" priority="63" operator="containsText" text="Sub">
      <formula>NOT(ISERROR(SEARCH("Sub",K3)))</formula>
    </cfRule>
  </conditionalFormatting>
  <conditionalFormatting sqref="M3:M19">
    <cfRule type="containsText" dxfId="81" priority="35" operator="containsText" text="Out">
      <formula>NOT(ISERROR(SEARCH("Out",M3)))</formula>
    </cfRule>
    <cfRule type="containsText" dxfId="80" priority="34" operator="containsText" text="tbc">
      <formula>NOT(ISERROR(SEARCH("tbc",M3)))</formula>
    </cfRule>
  </conditionalFormatting>
  <conditionalFormatting sqref="N3:N19">
    <cfRule type="containsText" dxfId="79" priority="33" operator="containsText" text="Picked">
      <formula>NOT(ISERROR(SEARCH("Picked",N3)))</formula>
    </cfRule>
    <cfRule type="containsText" dxfId="78" priority="31" operator="containsText" text="Sub">
      <formula>NOT(ISERROR(SEARCH("Sub",N3)))</formula>
    </cfRule>
    <cfRule type="containsText" dxfId="77" priority="30" operator="containsText" text="Off">
      <formula>NOT(ISERROR(SEARCH("Off",N3)))</formula>
    </cfRule>
    <cfRule type="containsText" dxfId="76" priority="29" operator="containsText" text="Vice Captain">
      <formula>NOT(ISERROR(SEARCH("Vice Captain",N3)))</formula>
    </cfRule>
    <cfRule type="containsText" dxfId="75" priority="32" operator="containsText" text="Captain">
      <formula>NOT(ISERROR(SEARCH("Captain",N3)))</formula>
    </cfRule>
  </conditionalFormatting>
  <conditionalFormatting sqref="P3:P19">
    <cfRule type="containsText" dxfId="74" priority="28" operator="containsText" text="Out">
      <formula>NOT(ISERROR(SEARCH("Out",P3)))</formula>
    </cfRule>
    <cfRule type="containsText" dxfId="73" priority="27" operator="containsText" text="tbc">
      <formula>NOT(ISERROR(SEARCH("tbc",P3)))</formula>
    </cfRule>
  </conditionalFormatting>
  <conditionalFormatting sqref="Q3:Q19">
    <cfRule type="containsText" dxfId="72" priority="25" operator="containsText" text="Captain">
      <formula>NOT(ISERROR(SEARCH("Captain",Q3)))</formula>
    </cfRule>
    <cfRule type="containsText" dxfId="71" priority="26" operator="containsText" text="Picked">
      <formula>NOT(ISERROR(SEARCH("Picked",Q3)))</formula>
    </cfRule>
    <cfRule type="containsText" dxfId="70" priority="22" operator="containsText" text="Vice Captain">
      <formula>NOT(ISERROR(SEARCH("Vice Captain",Q3)))</formula>
    </cfRule>
    <cfRule type="containsText" dxfId="69" priority="23" operator="containsText" text="Off">
      <formula>NOT(ISERROR(SEARCH("Off",Q3)))</formula>
    </cfRule>
    <cfRule type="containsText" dxfId="68" priority="24" operator="containsText" text="Sub">
      <formula>NOT(ISERROR(SEARCH("Sub",Q3)))</formula>
    </cfRule>
  </conditionalFormatting>
  <conditionalFormatting sqref="S3:S19">
    <cfRule type="containsText" dxfId="67" priority="20" operator="containsText" text="tbc">
      <formula>NOT(ISERROR(SEARCH("tbc",S3)))</formula>
    </cfRule>
    <cfRule type="containsText" dxfId="66" priority="21" operator="containsText" text="Out">
      <formula>NOT(ISERROR(SEARCH("Out",S3)))</formula>
    </cfRule>
  </conditionalFormatting>
  <conditionalFormatting sqref="T3:T19">
    <cfRule type="containsText" dxfId="65" priority="17" operator="containsText" text="Sub">
      <formula>NOT(ISERROR(SEARCH("Sub",T3)))</formula>
    </cfRule>
    <cfRule type="containsText" dxfId="64" priority="16" operator="containsText" text="Off">
      <formula>NOT(ISERROR(SEARCH("Off",T3)))</formula>
    </cfRule>
    <cfRule type="containsText" dxfId="63" priority="15" operator="containsText" text="Vice Captain">
      <formula>NOT(ISERROR(SEARCH("Vice Captain",T3)))</formula>
    </cfRule>
    <cfRule type="containsText" dxfId="62" priority="19" operator="containsText" text="Picked">
      <formula>NOT(ISERROR(SEARCH("Picked",T3)))</formula>
    </cfRule>
    <cfRule type="containsText" dxfId="61" priority="18" operator="containsText" text="Captain">
      <formula>NOT(ISERROR(SEARCH("Captain",T3)))</formula>
    </cfRule>
  </conditionalFormatting>
  <conditionalFormatting sqref="V3:V19">
    <cfRule type="containsText" dxfId="60" priority="14" operator="containsText" text="Out">
      <formula>NOT(ISERROR(SEARCH("Out",V3)))</formula>
    </cfRule>
    <cfRule type="containsText" dxfId="59" priority="13" operator="containsText" text="tbc">
      <formula>NOT(ISERROR(SEARCH("tbc",V3)))</formula>
    </cfRule>
  </conditionalFormatting>
  <conditionalFormatting sqref="W3:W19">
    <cfRule type="containsText" dxfId="58" priority="12" operator="containsText" text="Picked">
      <formula>NOT(ISERROR(SEARCH("Picked",W3)))</formula>
    </cfRule>
    <cfRule type="containsText" dxfId="57" priority="11" operator="containsText" text="Captain">
      <formula>NOT(ISERROR(SEARCH("Captain",W3)))</formula>
    </cfRule>
    <cfRule type="containsText" dxfId="56" priority="10" operator="containsText" text="Sub">
      <formula>NOT(ISERROR(SEARCH("Sub",W3)))</formula>
    </cfRule>
    <cfRule type="containsText" dxfId="55" priority="9" operator="containsText" text="Off">
      <formula>NOT(ISERROR(SEARCH("Off",W3)))</formula>
    </cfRule>
    <cfRule type="containsText" dxfId="54" priority="8" operator="containsText" text="Vice Captain">
      <formula>NOT(ISERROR(SEARCH("Vice Captain",W3)))</formula>
    </cfRule>
  </conditionalFormatting>
  <conditionalFormatting sqref="Y3:Y19">
    <cfRule type="containsText" dxfId="53" priority="6" operator="containsText" text="tbc">
      <formula>NOT(ISERROR(SEARCH("tbc",Y3)))</formula>
    </cfRule>
    <cfRule type="containsText" dxfId="52" priority="7" operator="containsText" text="Out">
      <formula>NOT(ISERROR(SEARCH("Out",Y3)))</formula>
    </cfRule>
  </conditionalFormatting>
  <conditionalFormatting sqref="Z3:Z19">
    <cfRule type="containsText" dxfId="51" priority="1" operator="containsText" text="Vice Captain">
      <formula>NOT(ISERROR(SEARCH("Vice Captain",Z3)))</formula>
    </cfRule>
    <cfRule type="containsText" dxfId="50" priority="5" operator="containsText" text="Picked">
      <formula>NOT(ISERROR(SEARCH("Picked",Z3)))</formula>
    </cfRule>
    <cfRule type="containsText" dxfId="49" priority="4" operator="containsText" text="Captain">
      <formula>NOT(ISERROR(SEARCH("Captain",Z3)))</formula>
    </cfRule>
    <cfRule type="containsText" dxfId="48" priority="3" operator="containsText" text="Sub">
      <formula>NOT(ISERROR(SEARCH("Sub",Z3)))</formula>
    </cfRule>
    <cfRule type="containsText" dxfId="47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E5:E19 Q5:Q19 T5:T19 H5:H19 K5:K19 W5:W19 N5:N19 Z5:Z19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2"/>
  <sheetViews>
    <sheetView workbookViewId="0">
      <selection activeCell="M13" sqref="M13:AA13"/>
    </sheetView>
  </sheetViews>
  <sheetFormatPr defaultColWidth="9.140625" defaultRowHeight="15" customHeight="1" zeroHeight="1" x14ac:dyDescent="0.25"/>
  <cols>
    <col min="1" max="1" width="9.140625" style="54"/>
    <col min="2" max="2" width="15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2692</v>
      </c>
      <c r="B1" s="81"/>
      <c r="C1" s="82"/>
      <c r="D1" s="83" t="s">
        <v>2673</v>
      </c>
      <c r="E1" s="84"/>
      <c r="F1" s="85"/>
      <c r="G1" s="77" t="s">
        <v>2674</v>
      </c>
      <c r="H1" s="78"/>
      <c r="I1" s="79"/>
      <c r="J1" s="77" t="s">
        <v>2675</v>
      </c>
      <c r="K1" s="78"/>
      <c r="L1" s="79"/>
      <c r="M1" s="77" t="s">
        <v>41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2681</v>
      </c>
      <c r="F3" s="31">
        <f>VLOOKUP($B3,PickedPlayers!D:Q,7,FALSE)</f>
        <v>0</v>
      </c>
      <c r="G3" s="30" t="str">
        <f>VLOOKUP($C3,Fixtures!A:I,3,FALSE)</f>
        <v>IVO</v>
      </c>
      <c r="H3" s="20" t="s">
        <v>2681</v>
      </c>
      <c r="I3" s="31">
        <f>VLOOKUP($B3,PickedPlayers!D:Q,8,FALSE)</f>
        <v>0</v>
      </c>
      <c r="J3" s="30" t="str">
        <f>VLOOKUP($C3,Fixtures!A:I,4,FALSE)</f>
        <v>ECU</v>
      </c>
      <c r="K3" s="20" t="s">
        <v>2680</v>
      </c>
      <c r="L3" s="31">
        <f>VLOOKUP($B3,PickedPlayers!D:Q,9,FALSE)</f>
        <v>0</v>
      </c>
      <c r="M3" s="30" t="str">
        <f>VLOOKUP($C3,Fixtures!A:I,5,FALSE)</f>
        <v>PAR</v>
      </c>
      <c r="N3" s="20" t="s">
        <v>2681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505</v>
      </c>
      <c r="C4" s="29" t="s">
        <v>69</v>
      </c>
      <c r="D4" s="30" t="str">
        <f>VLOOKUP($C4,Fixtures!A:I,2,FALSE)</f>
        <v>JAP</v>
      </c>
      <c r="E4" s="20" t="s">
        <v>2680</v>
      </c>
      <c r="F4" s="31">
        <f>VLOOKUP($B4,PickedPlayers!D:Q,7,FALSE)</f>
        <v>0</v>
      </c>
      <c r="G4" s="30" t="str">
        <f>VLOOKUP($C4,Fixtures!A:I,3,FALSE)</f>
        <v>SWE</v>
      </c>
      <c r="H4" s="20" t="s">
        <v>2680</v>
      </c>
      <c r="I4" s="31">
        <f>VLOOKUP($B4,PickedPlayers!D:Q,8,FALSE)</f>
        <v>0</v>
      </c>
      <c r="J4" s="30" t="str">
        <f>VLOOKUP($C4,Fixtures!A:I,4,FALSE)</f>
        <v>TUN</v>
      </c>
      <c r="K4" s="20" t="s">
        <v>2681</v>
      </c>
      <c r="L4" s="31">
        <f>VLOOKUP($B4,PickedPlayers!D:Q,9,FALSE)</f>
        <v>0</v>
      </c>
      <c r="M4" s="30" t="str">
        <f>VLOOKUP($C4,Fixtures!A:I,5,FALSE)</f>
        <v>MOR</v>
      </c>
      <c r="N4" s="20" t="s">
        <v>2680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2681</v>
      </c>
      <c r="F5" s="31">
        <f>VLOOKUP($B5,PickedPlayers!D:Q,7,FALSE)</f>
        <v>0</v>
      </c>
      <c r="G5" s="30" t="str">
        <f>VLOOKUP($C5,Fixtures!A:I,3,FALSE)</f>
        <v>IRQ</v>
      </c>
      <c r="H5" s="20" t="s">
        <v>2681</v>
      </c>
      <c r="I5" s="31">
        <f>VLOOKUP($B5,PickedPlayers!D:Q,8,FALSE)</f>
        <v>0</v>
      </c>
      <c r="J5" s="30" t="str">
        <f>VLOOKUP($C5,Fixtures!A:I,4,FALSE)</f>
        <v>NOR</v>
      </c>
      <c r="K5" s="20" t="s">
        <v>2681</v>
      </c>
      <c r="L5" s="31">
        <f>VLOOKUP($B5,PickedPlayers!D:Q,9,FALSE)</f>
        <v>0</v>
      </c>
      <c r="M5" s="30" t="str">
        <f>VLOOKUP($C5,Fixtures!A:I,5,FALSE)</f>
        <v>SWE</v>
      </c>
      <c r="N5" s="20" t="s">
        <v>2681</v>
      </c>
      <c r="O5" s="31">
        <f>VLOOKUP($B5,PickedPlayers!D:Q,10,FALSE)</f>
        <v>0</v>
      </c>
      <c r="P5" s="30" t="str">
        <f>VLOOKUP($C5,Fixtures!A:I,6,FALSE)</f>
        <v>PAR</v>
      </c>
      <c r="Q5" s="20" t="s">
        <v>2685</v>
      </c>
      <c r="R5" s="31">
        <f>VLOOKUP($B5,PickedPlayers!D:Q,11,FALSE)</f>
        <v>0</v>
      </c>
      <c r="S5" s="30" t="str">
        <f>VLOOKUP($C5,Fixtures!A:I,7,FALSE)</f>
        <v>MOR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2681</v>
      </c>
      <c r="F6" s="31">
        <f>VLOOKUP($B6,PickedPlayers!D:Q,7,FALSE)</f>
        <v>0</v>
      </c>
      <c r="G6" s="30" t="str">
        <f>VLOOKUP($C6,Fixtures!A:I,3,FALSE)</f>
        <v>UZB</v>
      </c>
      <c r="H6" s="20" t="s">
        <v>2681</v>
      </c>
      <c r="I6" s="31">
        <f>VLOOKUP($B6,PickedPlayers!D:Q,8,FALSE)</f>
        <v>0</v>
      </c>
      <c r="J6" s="30" t="str">
        <f>VLOOKUP($C6,Fixtures!A:I,4,FALSE)</f>
        <v>COL</v>
      </c>
      <c r="K6" s="20" t="s">
        <v>2681</v>
      </c>
      <c r="L6" s="31">
        <f>VLOOKUP($B6,PickedPlayers!D:Q,9,FALSE)</f>
        <v>0</v>
      </c>
      <c r="M6" s="30" t="str">
        <f>VLOOKUP($C6,Fixtures!A:I,5,FALSE)</f>
        <v>CRO</v>
      </c>
      <c r="N6" s="20" t="s">
        <v>2682</v>
      </c>
      <c r="O6" s="31">
        <f>VLOOKUP($B6,PickedPlayers!D:Q,10,FALSE)</f>
        <v>0</v>
      </c>
      <c r="P6" s="30" t="str">
        <f>VLOOKUP($C6,Fixtures!A:I,6,FALSE)</f>
        <v>SPA</v>
      </c>
      <c r="Q6" s="20" t="s">
        <v>2681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2681</v>
      </c>
      <c r="F7" s="31">
        <f>VLOOKUP($B7,PickedPlayers!D:Q,7,FALSE)</f>
        <v>0</v>
      </c>
      <c r="G7" s="30" t="str">
        <f>VLOOKUP($C7,Fixtures!A:I,3,FALSE)</f>
        <v>SWE</v>
      </c>
      <c r="H7" s="20" t="s">
        <v>2681</v>
      </c>
      <c r="I7" s="31">
        <f>VLOOKUP($B7,PickedPlayers!D:Q,8,FALSE)</f>
        <v>0</v>
      </c>
      <c r="J7" s="30" t="str">
        <f>VLOOKUP($C7,Fixtures!A:I,4,FALSE)</f>
        <v>TUN</v>
      </c>
      <c r="K7" s="20" t="s">
        <v>2684</v>
      </c>
      <c r="L7" s="31">
        <f>VLOOKUP($B7,PickedPlayers!D:Q,9,FALSE)</f>
        <v>0</v>
      </c>
      <c r="M7" s="30" t="str">
        <f>VLOOKUP($C7,Fixtures!A:I,5,FALSE)</f>
        <v>MOR</v>
      </c>
      <c r="N7" s="20" t="s">
        <v>2681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444</v>
      </c>
      <c r="C8" s="29" t="s">
        <v>39</v>
      </c>
      <c r="D8" s="30" t="str">
        <f>VLOOKUP($C8,Fixtures!A:I,2,FALSE)</f>
        <v>ALG</v>
      </c>
      <c r="E8" s="20" t="s">
        <v>2687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2679</v>
      </c>
      <c r="L8" s="31">
        <f>VLOOKUP($B8,PickedPlayers!D:Q,9,FALSE)</f>
        <v>0</v>
      </c>
      <c r="M8" s="30" t="str">
        <f>VLOOKUP($C8,Fixtures!A:I,5,FALSE)</f>
        <v>CAP</v>
      </c>
      <c r="N8" s="20" t="s">
        <v>2681</v>
      </c>
      <c r="O8" s="31">
        <f>VLOOKUP($B8,PickedPlayers!D:Q,10,FALSE)</f>
        <v>0</v>
      </c>
      <c r="P8" s="30" t="str">
        <f>VLOOKUP($C8,Fixtures!A:I,6,FALSE)</f>
        <v>EGY</v>
      </c>
      <c r="Q8" s="20" t="s">
        <v>2681</v>
      </c>
      <c r="R8" s="31">
        <f>VLOOKUP($B8,PickedPlayers!D:Q,11,FALSE)</f>
        <v>0</v>
      </c>
      <c r="S8" s="30" t="str">
        <f>VLOOKUP($C8,Fixtures!A:I,7,FALSE)</f>
        <v>SWI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469</v>
      </c>
      <c r="C9" s="29" t="s">
        <v>123</v>
      </c>
      <c r="D9" s="30" t="str">
        <f>VLOOKUP($C9,Fixtures!A:I,2,FALSE)</f>
        <v>CAP</v>
      </c>
      <c r="E9" s="20" t="s">
        <v>2681</v>
      </c>
      <c r="F9" s="31">
        <f>VLOOKUP($B9,PickedPlayers!D:Q,7,FALSE)</f>
        <v>0</v>
      </c>
      <c r="G9" s="30" t="str">
        <f>VLOOKUP($C9,Fixtures!A:I,3,FALSE)</f>
        <v>SAU</v>
      </c>
      <c r="H9" s="20" t="s">
        <v>2681</v>
      </c>
      <c r="I9" s="31">
        <f>VLOOKUP($B9,PickedPlayers!D:Q,8,FALSE)</f>
        <v>0</v>
      </c>
      <c r="J9" s="30" t="str">
        <f>VLOOKUP($C9,Fixtures!A:I,4,FALSE)</f>
        <v>URU</v>
      </c>
      <c r="K9" s="20" t="s">
        <v>2681</v>
      </c>
      <c r="L9" s="31">
        <f>VLOOKUP($B9,PickedPlayers!D:Q,9,FALSE)</f>
        <v>0</v>
      </c>
      <c r="M9" s="30" t="str">
        <f>VLOOKUP($C9,Fixtures!A:I,5,FALSE)</f>
        <v>AUS</v>
      </c>
      <c r="N9" s="20" t="s">
        <v>2681</v>
      </c>
      <c r="O9" s="31">
        <f>VLOOKUP($B9,PickedPlayers!D:Q,10,FALSE)</f>
        <v>0</v>
      </c>
      <c r="P9" s="30" t="str">
        <f>VLOOKUP($C9,Fixtures!A:I,6,FALSE)</f>
        <v>POR</v>
      </c>
      <c r="Q9" s="20" t="s">
        <v>2681</v>
      </c>
      <c r="R9" s="31">
        <f>VLOOKUP($B9,PickedPlayers!D:Q,11,FALSE)</f>
        <v>0</v>
      </c>
      <c r="S9" s="30" t="str">
        <f>VLOOKUP($C9,Fixtures!A:I,7,FALSE)</f>
        <v>BEL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320</v>
      </c>
      <c r="C10" s="29" t="s">
        <v>74</v>
      </c>
      <c r="D10" s="30" t="str">
        <f>VLOOKUP($C10,Fixtures!A:I,2,FALSE)</f>
        <v>CUR</v>
      </c>
      <c r="E10" s="20" t="s">
        <v>2681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2681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PAR</v>
      </c>
      <c r="N10" s="20" t="s">
        <v>2684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338</v>
      </c>
      <c r="C11" s="29" t="s">
        <v>61</v>
      </c>
      <c r="D11" s="30" t="str">
        <f>VLOOKUP($C11,Fixtures!A:I,2,FALSE)</f>
        <v>SEN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SWE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PAR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MOR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420</v>
      </c>
      <c r="C12" s="29" t="s">
        <v>39</v>
      </c>
      <c r="D12" s="30" t="str">
        <f>VLOOKUP($C12,Fixtures!A:I,2,FALSE)</f>
        <v>ALG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EGY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SWI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481</v>
      </c>
      <c r="C13" s="29" t="s">
        <v>123</v>
      </c>
      <c r="D13" s="30" t="str">
        <f>VLOOKUP($C13,Fixtures!A:I,2,FALSE)</f>
        <v>CAP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2683</v>
      </c>
      <c r="L13" s="31">
        <f>VLOOKUP($B13,PickedPlayers!D:Q,9,FALSE)</f>
        <v>0</v>
      </c>
      <c r="M13" s="58" t="s">
        <v>2859</v>
      </c>
      <c r="N13" s="59"/>
      <c r="O13" s="60"/>
      <c r="P13" s="58" t="s">
        <v>2859</v>
      </c>
      <c r="Q13" s="59"/>
      <c r="R13" s="60"/>
      <c r="S13" s="58" t="s">
        <v>2859</v>
      </c>
      <c r="T13" s="59"/>
      <c r="U13" s="60"/>
      <c r="V13" s="58" t="s">
        <v>2859</v>
      </c>
      <c r="W13" s="59"/>
      <c r="X13" s="60"/>
      <c r="Y13" s="58" t="s">
        <v>2859</v>
      </c>
      <c r="Z13" s="59"/>
      <c r="AA13" s="60"/>
    </row>
    <row r="14" spans="1:27" x14ac:dyDescent="0.25">
      <c r="A14" s="28" t="s">
        <v>2669</v>
      </c>
      <c r="B14" s="19" t="s">
        <v>2858</v>
      </c>
      <c r="C14" s="29" t="s">
        <v>39</v>
      </c>
      <c r="D14" s="30" t="str">
        <f>VLOOKUP($C14,Fixtures!A:I,2,FALSE)</f>
        <v>ALG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CAP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EGY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SWI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296</v>
      </c>
      <c r="C15" s="29" t="s">
        <v>101</v>
      </c>
      <c r="D15" s="30" t="str">
        <f>VLOOKUP($C15,Fixtures!A:I,2,FALSE)</f>
        <v>CON</v>
      </c>
      <c r="E15" s="20" t="s">
        <v>2684</v>
      </c>
      <c r="F15" s="31">
        <f>VLOOKUP($B15,PickedPlayers!D:Q,7,FALSE)</f>
        <v>0</v>
      </c>
      <c r="G15" s="30" t="str">
        <f>VLOOKUP($C15,Fixtures!A:I,3,FALSE)</f>
        <v>UZB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COL</v>
      </c>
      <c r="K15" s="20" t="s">
        <v>2681</v>
      </c>
      <c r="L15" s="31">
        <f>VLOOKUP($B15,PickedPlayers!D:Q,9,FALSE)</f>
        <v>0</v>
      </c>
      <c r="M15" s="30" t="str">
        <f>VLOOKUP($C15,Fixtures!A:I,5,FALSE)</f>
        <v>CRO</v>
      </c>
      <c r="N15" s="20" t="s">
        <v>2681</v>
      </c>
      <c r="O15" s="31">
        <f>VLOOKUP($B15,PickedPlayers!D:Q,10,FALSE)</f>
        <v>0</v>
      </c>
      <c r="P15" s="30" t="str">
        <f>VLOOKUP($C15,Fixtures!A:I,6,FALSE)</f>
        <v>SPA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out</v>
      </c>
      <c r="T15" s="20"/>
      <c r="U15" s="31">
        <f>VLOOKUP($B15,PickedPlayers!D:Q,12,FALSE)</f>
        <v>0</v>
      </c>
      <c r="V15" s="30" t="str">
        <f>VLOOKUP($C15,Fixtures!A:I,8,FALSE)</f>
        <v>out</v>
      </c>
      <c r="W15" s="20"/>
      <c r="X15" s="31">
        <f>VLOOKUP($B15,PickedPlayers!D:Q,13,FALSE)</f>
        <v>0</v>
      </c>
      <c r="Y15" s="30" t="str">
        <f>VLOOKUP($C15,Fixtures!A:I,9,FALSE)</f>
        <v>out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298</v>
      </c>
      <c r="C16" s="29" t="s">
        <v>74</v>
      </c>
      <c r="D16" s="30" t="str">
        <f>VLOOKUP($C16,Fixtures!A:I,2,FALSE)</f>
        <v>CUR</v>
      </c>
      <c r="E16" s="20" t="s">
        <v>2685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2684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2686</v>
      </c>
      <c r="L16" s="31">
        <f>VLOOKUP($B16,PickedPlayers!D:Q,9,FALSE)</f>
        <v>0</v>
      </c>
      <c r="M16" s="30" t="str">
        <f>VLOOKUP($C16,Fixtures!A:I,5,FALSE)</f>
        <v>PAR</v>
      </c>
      <c r="N16" s="20" t="s">
        <v>2685</v>
      </c>
      <c r="O16" s="31">
        <f>VLOOKUP($B16,PickedPlayers!D:Q,10,FALSE)</f>
        <v>0</v>
      </c>
      <c r="P16" s="30" t="str">
        <f>VLOOKUP($C16,Fixtures!A:I,6,FALSE)</f>
        <v>out</v>
      </c>
      <c r="Q16" s="20"/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404</v>
      </c>
      <c r="C17" s="29" t="s">
        <v>69</v>
      </c>
      <c r="D17" s="30" t="str">
        <f>VLOOKUP($C17,Fixtures!A:I,2,FALSE)</f>
        <v>JAP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SWE</v>
      </c>
      <c r="H17" s="20" t="s">
        <v>2681</v>
      </c>
      <c r="I17" s="31">
        <f>VLOOKUP($B17,PickedPlayers!D:Q,8,FALSE)</f>
        <v>0</v>
      </c>
      <c r="J17" s="30" t="str">
        <f>VLOOKUP($C17,Fixtures!A:I,4,FALSE)</f>
        <v>TUN</v>
      </c>
      <c r="K17" s="20" t="s">
        <v>2685</v>
      </c>
      <c r="L17" s="31">
        <f>VLOOKUP($B17,PickedPlayers!D:Q,9,FALSE)</f>
        <v>0</v>
      </c>
      <c r="M17" s="30" t="str">
        <f>VLOOKUP($C17,Fixtures!A:I,5,FALSE)</f>
        <v>MOR</v>
      </c>
      <c r="N17" s="20" t="s">
        <v>2686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495</v>
      </c>
      <c r="C18" s="29" t="s">
        <v>109</v>
      </c>
      <c r="D18" s="30" t="str">
        <f>VLOOKUP($C18,Fixtures!A:I,2,FALSE)</f>
        <v>CRO</v>
      </c>
      <c r="E18" s="20" t="s">
        <v>2686</v>
      </c>
      <c r="F18" s="31">
        <f>VLOOKUP($B18,PickedPlayers!D:Q,7,FALSE)</f>
        <v>0</v>
      </c>
      <c r="G18" s="30" t="str">
        <f>VLOOKUP($C18,Fixtures!A:I,3,FALSE)</f>
        <v>GHA</v>
      </c>
      <c r="H18" s="20" t="s">
        <v>2683</v>
      </c>
      <c r="I18" s="31">
        <f>VLOOKUP($B18,PickedPlayers!D:Q,8,FALSE)</f>
        <v>0</v>
      </c>
      <c r="J18" s="30" t="str">
        <f>VLOOKUP($C18,Fixtures!A:I,4,FALSE)</f>
        <v>PAN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CON</v>
      </c>
      <c r="N18" s="20" t="s">
        <v>2683</v>
      </c>
      <c r="O18" s="31">
        <f>VLOOKUP($B18,PickedPlayers!D:Q,10,FALSE)</f>
        <v>0</v>
      </c>
      <c r="P18" s="30" t="str">
        <f>VLOOKUP($C18,Fixtures!A:I,6,FALSE)</f>
        <v>MEX</v>
      </c>
      <c r="Q18" s="20" t="s">
        <v>2681</v>
      </c>
      <c r="R18" s="31">
        <f>VLOOKUP($B18,PickedPlayers!D:Q,11,FALSE)</f>
        <v>0</v>
      </c>
      <c r="S18" s="30" t="str">
        <f>VLOOKUP($C18,Fixtures!A:I,7,FALSE)</f>
        <v>NOR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535</v>
      </c>
      <c r="C19" s="34" t="s">
        <v>113</v>
      </c>
      <c r="D19" s="30" t="str">
        <f>VLOOKUP($C19,Fixtures!A:I,2,FALSE)</f>
        <v>EGY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IRA</v>
      </c>
      <c r="H19" s="35" t="s">
        <v>2679</v>
      </c>
      <c r="I19" s="31">
        <f>VLOOKUP($B19,PickedPlayers!D:Q,8,FALSE)</f>
        <v>0</v>
      </c>
      <c r="J19" s="30" t="str">
        <f>VLOOKUP($C19,Fixtures!A:I,4,FALSE)</f>
        <v>NZL</v>
      </c>
      <c r="K19" s="35" t="s">
        <v>2681</v>
      </c>
      <c r="L19" s="31">
        <f>VLOOKUP($B19,PickedPlayers!D:Q,9,FALSE)</f>
        <v>0</v>
      </c>
      <c r="M19" s="30" t="str">
        <f>VLOOKUP($C19,Fixtures!A:I,5,FALSE)</f>
        <v>SEN</v>
      </c>
      <c r="N19" s="35" t="s">
        <v>2681</v>
      </c>
      <c r="O19" s="31">
        <f>VLOOKUP($B19,PickedPlayers!D:Q,10,FALSE)</f>
        <v>0</v>
      </c>
      <c r="P19" s="30" t="str">
        <f>VLOOKUP($C19,Fixtures!A:I,6,FALSE)</f>
        <v>USA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SPA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V20:X21"/>
    <mergeCell ref="Y20:AA21"/>
    <mergeCell ref="S1:U1"/>
    <mergeCell ref="V1:X1"/>
    <mergeCell ref="Y1:AA1"/>
  </mergeCells>
  <conditionalFormatting sqref="E3:E19">
    <cfRule type="containsText" dxfId="46" priority="65" operator="containsText" text="Sub">
      <formula>NOT(ISERROR(SEARCH("Sub",E3)))</formula>
    </cfRule>
    <cfRule type="containsText" dxfId="45" priority="64" operator="containsText" text="Off">
      <formula>NOT(ISERROR(SEARCH("Off",E3)))</formula>
    </cfRule>
    <cfRule type="containsText" dxfId="44" priority="63" operator="containsText" text="Vice Captain">
      <formula>NOT(ISERROR(SEARCH("Vice Captain",E3)))</formula>
    </cfRule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</conditionalFormatting>
  <conditionalFormatting sqref="H3:H19">
    <cfRule type="containsText" dxfId="41" priority="57" operator="containsText" text="Off">
      <formula>NOT(ISERROR(SEARCH("Off",H3)))</formula>
    </cfRule>
    <cfRule type="containsText" dxfId="40" priority="60" operator="containsText" text="Picked">
      <formula>NOT(ISERROR(SEARCH("Picked",H3)))</formula>
    </cfRule>
    <cfRule type="containsText" dxfId="39" priority="59" operator="containsText" text="Captain">
      <formula>NOT(ISERROR(SEARCH("Captain",H3)))</formula>
    </cfRule>
    <cfRule type="containsText" dxfId="38" priority="58" operator="containsText" text="Sub">
      <formula>NOT(ISERROR(SEARCH("Sub",H3)))</formula>
    </cfRule>
    <cfRule type="containsText" dxfId="37" priority="56" operator="containsText" text="Vice Captain">
      <formula>NOT(ISERROR(SEARCH("Vice Captain",H3)))</formula>
    </cfRule>
  </conditionalFormatting>
  <conditionalFormatting sqref="K3:K19">
    <cfRule type="containsText" dxfId="36" priority="55" operator="containsText" text="Picked">
      <formula>NOT(ISERROR(SEARCH("Picked",K3)))</formula>
    </cfRule>
    <cfRule type="containsText" dxfId="35" priority="52" operator="containsText" text="Off">
      <formula>NOT(ISERROR(SEARCH("Off",K3)))</formula>
    </cfRule>
    <cfRule type="containsText" dxfId="34" priority="54" operator="containsText" text="Captain">
      <formula>NOT(ISERROR(SEARCH("Captain",K3)))</formula>
    </cfRule>
    <cfRule type="containsText" dxfId="33" priority="53" operator="containsText" text="Sub">
      <formula>NOT(ISERROR(SEARCH("Sub",K3)))</formula>
    </cfRule>
    <cfRule type="containsText" dxfId="32" priority="51" operator="containsText" text="Vice Captain">
      <formula>NOT(ISERROR(SEARCH("Vice Captain",K3)))</formula>
    </cfRule>
  </conditionalFormatting>
  <conditionalFormatting sqref="M3:M19 P3:P19 S3:S19 V3:V19 Y3:Y19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19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19">
    <cfRule type="containsText" dxfId="24" priority="43" operator="containsText" text="Sub">
      <formula>NOT(ISERROR(SEARCH("Sub",Q3)))</formula>
    </cfRule>
    <cfRule type="containsText" dxfId="23" priority="44" operator="containsText" text="Captain">
      <formula>NOT(ISERROR(SEARCH("Captain",Q3)))</formula>
    </cfRule>
    <cfRule type="containsText" dxfId="22" priority="45" operator="containsText" text="Picked">
      <formula>NOT(ISERROR(SEARCH("Picked",Q3)))</formula>
    </cfRule>
    <cfRule type="containsText" dxfId="21" priority="41" operator="containsText" text="Vice Captain">
      <formula>NOT(ISERROR(SEARCH("Vice Captain",Q3)))</formula>
    </cfRule>
    <cfRule type="containsText" dxfId="20" priority="42" operator="containsText" text="Off">
      <formula>NOT(ISERROR(SEARCH("Off",Q3)))</formula>
    </cfRule>
  </conditionalFormatting>
  <conditionalFormatting sqref="T3:T19">
    <cfRule type="containsText" dxfId="19" priority="19" operator="containsText" text="Captain">
      <formula>NOT(ISERROR(SEARCH("Captain",T3)))</formula>
    </cfRule>
    <cfRule type="containsText" dxfId="18" priority="18" operator="containsText" text="Sub">
      <formula>NOT(ISERROR(SEARCH("Sub",T3)))</formula>
    </cfRule>
    <cfRule type="containsText" dxfId="17" priority="16" operator="containsText" text="Vice Captain">
      <formula>NOT(ISERROR(SEARCH("Vice Captain",T3)))</formula>
    </cfRule>
    <cfRule type="containsText" dxfId="16" priority="20" operator="containsText" text="Picked">
      <formula>NOT(ISERROR(SEARCH("Picked",T3)))</formula>
    </cfRule>
    <cfRule type="containsText" dxfId="15" priority="17" operator="containsText" text="Off">
      <formula>NOT(ISERROR(SEARCH("Off",T3)))</formula>
    </cfRule>
  </conditionalFormatting>
  <conditionalFormatting sqref="W3:W19">
    <cfRule type="containsText" dxfId="14" priority="15" operator="containsText" text="Picked">
      <formula>NOT(ISERROR(SEARCH("Picked",W3)))</formula>
    </cfRule>
    <cfRule type="containsText" dxfId="13" priority="14" operator="containsText" text="Captain">
      <formula>NOT(ISERROR(SEARCH("Captain",W3)))</formula>
    </cfRule>
    <cfRule type="containsText" dxfId="12" priority="13" operator="containsText" text="Sub">
      <formula>NOT(ISERROR(SEARCH("Sub",W3)))</formula>
    </cfRule>
    <cfRule type="containsText" dxfId="11" priority="12" operator="containsText" text="Off">
      <formula>NOT(ISERROR(SEARCH("Off",W3)))</formula>
    </cfRule>
    <cfRule type="containsText" dxfId="10" priority="11" operator="containsText" text="Vice Captain">
      <formula>NOT(ISERROR(SEARCH("Vice Captain",W3)))</formula>
    </cfRule>
  </conditionalFormatting>
  <conditionalFormatting sqref="Z3:Z19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E5:E19 Z5:Z19 T5:T19 H5:H19 K5:K19 W5:W19 Q5:Q19 N5:N19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81" activePane="bottomLeft" state="frozen"/>
      <selection activeCell="C1" sqref="C1"/>
      <selection pane="bottomLeft" activeCell="B102" sqref="B102"/>
    </sheetView>
  </sheetViews>
  <sheetFormatPr defaultColWidth="9.5703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5703125" style="3"/>
    <col min="17" max="33" width="9.5703125" style="3" customWidth="1"/>
    <col min="34" max="16384" width="9.5703125" style="3"/>
  </cols>
  <sheetData>
    <row r="1" spans="1:33" s="4" customFormat="1" x14ac:dyDescent="0.25">
      <c r="A1" s="22" t="s">
        <v>2693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2694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2695</v>
      </c>
      <c r="AA1" s="4" t="s">
        <v>2696</v>
      </c>
      <c r="AB1" s="4" t="s">
        <v>2697</v>
      </c>
      <c r="AC1" s="4" t="s">
        <v>2698</v>
      </c>
      <c r="AD1" s="4" t="s">
        <v>2699</v>
      </c>
      <c r="AE1" s="4" t="s">
        <v>2700</v>
      </c>
      <c r="AF1" s="4" t="s">
        <v>2701</v>
      </c>
      <c r="AG1" s="4" t="s">
        <v>2702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2703</v>
      </c>
      <c r="I2" s="39" t="s">
        <v>2704</v>
      </c>
      <c r="J2" s="39" t="s">
        <v>2705</v>
      </c>
      <c r="K2" s="39" t="s">
        <v>2703</v>
      </c>
      <c r="L2" s="39" t="s">
        <v>2705</v>
      </c>
      <c r="M2" s="39" t="s">
        <v>2703</v>
      </c>
      <c r="N2" s="39" t="s">
        <v>2703</v>
      </c>
      <c r="O2" s="39" t="s">
        <v>2703</v>
      </c>
      <c r="P2" s="39" t="s">
        <v>2706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2707</v>
      </c>
      <c r="C3" s="36">
        <v>46185</v>
      </c>
      <c r="D3" s="37">
        <v>0.125</v>
      </c>
      <c r="E3" s="19" t="s">
        <v>2689</v>
      </c>
      <c r="F3" s="19" t="s">
        <v>152</v>
      </c>
      <c r="G3" s="19" t="s">
        <v>219</v>
      </c>
      <c r="H3" s="38" t="s">
        <v>2704</v>
      </c>
      <c r="I3" s="39" t="s">
        <v>2704</v>
      </c>
      <c r="J3" s="39" t="s">
        <v>2703</v>
      </c>
      <c r="K3" s="39" t="s">
        <v>2706</v>
      </c>
      <c r="L3" s="39" t="s">
        <v>2706</v>
      </c>
      <c r="M3" s="39" t="s">
        <v>2708</v>
      </c>
      <c r="N3" s="39" t="s">
        <v>2708</v>
      </c>
      <c r="O3" s="39" t="s">
        <v>2708</v>
      </c>
      <c r="P3" s="39" t="s">
        <v>2708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2709</v>
      </c>
      <c r="C4" s="36">
        <v>46185</v>
      </c>
      <c r="D4" s="37">
        <v>0.83333333333333337</v>
      </c>
      <c r="E4" s="19" t="s">
        <v>83</v>
      </c>
      <c r="F4" s="19" t="s">
        <v>2710</v>
      </c>
      <c r="G4" s="19" t="s">
        <v>219</v>
      </c>
      <c r="H4" s="38" t="s">
        <v>2708</v>
      </c>
      <c r="I4" s="39" t="s">
        <v>2708</v>
      </c>
      <c r="J4" s="39" t="s">
        <v>2711</v>
      </c>
      <c r="K4" s="39" t="s">
        <v>2704</v>
      </c>
      <c r="L4" s="39" t="s">
        <v>2704</v>
      </c>
      <c r="M4" s="39" t="s">
        <v>2706</v>
      </c>
      <c r="N4" s="39" t="s">
        <v>2704</v>
      </c>
      <c r="O4" s="39" t="s">
        <v>2704</v>
      </c>
      <c r="P4" s="39" t="s">
        <v>2706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2712</v>
      </c>
      <c r="C5" s="36">
        <v>46186</v>
      </c>
      <c r="D5" s="37">
        <v>8.3333333333333329E-2</v>
      </c>
      <c r="E5" s="19" t="s">
        <v>2515</v>
      </c>
      <c r="F5" s="19" t="s">
        <v>75</v>
      </c>
      <c r="G5" s="19" t="s">
        <v>219</v>
      </c>
      <c r="H5" s="38" t="s">
        <v>2713</v>
      </c>
      <c r="I5" s="39" t="s">
        <v>2704</v>
      </c>
      <c r="J5" s="39" t="s">
        <v>2714</v>
      </c>
      <c r="K5" s="39" t="s">
        <v>2704</v>
      </c>
      <c r="L5" s="39" t="s">
        <v>2703</v>
      </c>
      <c r="M5" s="39" t="s">
        <v>2708</v>
      </c>
      <c r="N5" s="39" t="s">
        <v>2704</v>
      </c>
      <c r="O5" s="39" t="s">
        <v>2704</v>
      </c>
      <c r="P5" s="39" t="s">
        <v>2706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2708</v>
      </c>
      <c r="I6" s="39" t="s">
        <v>2715</v>
      </c>
      <c r="J6" s="39" t="s">
        <v>2716</v>
      </c>
      <c r="K6" s="39" t="s">
        <v>2716</v>
      </c>
      <c r="L6" s="39" t="s">
        <v>2717</v>
      </c>
      <c r="M6" s="39" t="s">
        <v>2718</v>
      </c>
      <c r="N6" s="39" t="s">
        <v>2715</v>
      </c>
      <c r="O6" s="39" t="s">
        <v>2715</v>
      </c>
      <c r="P6" s="39" t="s">
        <v>2715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2708</v>
      </c>
      <c r="I7" s="39" t="s">
        <v>2703</v>
      </c>
      <c r="J7" s="39" t="s">
        <v>2713</v>
      </c>
      <c r="K7" s="39" t="s">
        <v>2704</v>
      </c>
      <c r="L7" s="39" t="s">
        <v>2705</v>
      </c>
      <c r="M7" s="39" t="s">
        <v>2706</v>
      </c>
      <c r="N7" s="39" t="s">
        <v>2704</v>
      </c>
      <c r="O7" s="39" t="s">
        <v>2703</v>
      </c>
      <c r="P7" s="39" t="s">
        <v>2706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2711</v>
      </c>
      <c r="I8" s="39" t="s">
        <v>2718</v>
      </c>
      <c r="J8" s="39" t="s">
        <v>2719</v>
      </c>
      <c r="K8" s="39" t="s">
        <v>2716</v>
      </c>
      <c r="L8" s="39" t="s">
        <v>2716</v>
      </c>
      <c r="M8" s="39" t="s">
        <v>2715</v>
      </c>
      <c r="N8" s="39" t="s">
        <v>2715</v>
      </c>
      <c r="O8" s="39" t="s">
        <v>2715</v>
      </c>
      <c r="P8" s="39" t="s">
        <v>2711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2720</v>
      </c>
      <c r="C9" s="36">
        <v>46187</v>
      </c>
      <c r="D9" s="37">
        <v>0.20833333333333334</v>
      </c>
      <c r="E9" s="19" t="s">
        <v>45</v>
      </c>
      <c r="F9" s="19" t="s">
        <v>2688</v>
      </c>
      <c r="G9" s="19" t="s">
        <v>219</v>
      </c>
      <c r="H9" s="38" t="s">
        <v>2703</v>
      </c>
      <c r="I9" s="39" t="s">
        <v>2718</v>
      </c>
      <c r="J9" s="39" t="s">
        <v>2715</v>
      </c>
      <c r="K9" s="39" t="s">
        <v>2708</v>
      </c>
      <c r="L9" s="39" t="s">
        <v>2721</v>
      </c>
      <c r="M9" s="39" t="s">
        <v>2711</v>
      </c>
      <c r="N9" s="39" t="s">
        <v>2718</v>
      </c>
      <c r="O9" s="39" t="s">
        <v>2718</v>
      </c>
      <c r="P9" s="39" t="s">
        <v>2711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2722</v>
      </c>
      <c r="C10" s="36">
        <v>46187</v>
      </c>
      <c r="D10" s="37">
        <v>0.75</v>
      </c>
      <c r="E10" s="19" t="s">
        <v>74</v>
      </c>
      <c r="F10" s="19" t="s">
        <v>2723</v>
      </c>
      <c r="G10" s="19" t="s">
        <v>219</v>
      </c>
      <c r="H10" s="38" t="s">
        <v>2724</v>
      </c>
      <c r="I10" s="39" t="s">
        <v>2725</v>
      </c>
      <c r="J10" s="39" t="s">
        <v>2726</v>
      </c>
      <c r="K10" s="39" t="s">
        <v>2727</v>
      </c>
      <c r="L10" s="39" t="s">
        <v>2727</v>
      </c>
      <c r="M10" s="39" t="s">
        <v>2728</v>
      </c>
      <c r="N10" s="39" t="s">
        <v>2727</v>
      </c>
      <c r="O10" s="39" t="s">
        <v>2729</v>
      </c>
      <c r="P10" s="39" t="s">
        <v>2729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2721</v>
      </c>
      <c r="I11" s="39" t="s">
        <v>2704</v>
      </c>
      <c r="J11" s="39" t="s">
        <v>2711</v>
      </c>
      <c r="K11" s="39" t="s">
        <v>2708</v>
      </c>
      <c r="L11" s="39" t="s">
        <v>2721</v>
      </c>
      <c r="M11" s="39" t="s">
        <v>2721</v>
      </c>
      <c r="N11" s="39" t="s">
        <v>2704</v>
      </c>
      <c r="O11" s="39" t="s">
        <v>2706</v>
      </c>
      <c r="P11" s="39" t="s">
        <v>2708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2730</v>
      </c>
      <c r="C12" s="36">
        <v>46187</v>
      </c>
      <c r="D12" s="37">
        <v>0</v>
      </c>
      <c r="E12" s="19" t="s">
        <v>2691</v>
      </c>
      <c r="F12" s="19" t="s">
        <v>146</v>
      </c>
      <c r="G12" s="19" t="s">
        <v>219</v>
      </c>
      <c r="H12" s="38" t="s">
        <v>2706</v>
      </c>
      <c r="I12" s="39" t="s">
        <v>2708</v>
      </c>
      <c r="J12" s="39" t="s">
        <v>2717</v>
      </c>
      <c r="K12" s="39" t="s">
        <v>2718</v>
      </c>
      <c r="L12" s="39" t="s">
        <v>2704</v>
      </c>
      <c r="M12" s="39" t="s">
        <v>2704</v>
      </c>
      <c r="N12" s="39" t="s">
        <v>2718</v>
      </c>
      <c r="O12" s="39" t="s">
        <v>2708</v>
      </c>
      <c r="P12" s="39" t="s">
        <v>2731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2732</v>
      </c>
      <c r="I13" s="39" t="s">
        <v>2703</v>
      </c>
      <c r="J13" s="39" t="s">
        <v>2711</v>
      </c>
      <c r="K13" s="39" t="s">
        <v>2704</v>
      </c>
      <c r="L13" s="39" t="s">
        <v>2721</v>
      </c>
      <c r="M13" s="39" t="s">
        <v>2731</v>
      </c>
      <c r="N13" s="39" t="s">
        <v>2704</v>
      </c>
      <c r="O13" s="39" t="s">
        <v>2704</v>
      </c>
      <c r="P13" s="39" t="s">
        <v>2706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2733</v>
      </c>
      <c r="C14" s="36">
        <v>46188</v>
      </c>
      <c r="D14" s="37">
        <v>0.70833333333333337</v>
      </c>
      <c r="E14" s="19" t="s">
        <v>123</v>
      </c>
      <c r="F14" s="19" t="s">
        <v>2734</v>
      </c>
      <c r="G14" s="19" t="s">
        <v>219</v>
      </c>
      <c r="H14" s="38" t="s">
        <v>2731</v>
      </c>
      <c r="I14" s="39" t="s">
        <v>2725</v>
      </c>
      <c r="J14" s="39" t="s">
        <v>2735</v>
      </c>
      <c r="K14" s="39" t="s">
        <v>2725</v>
      </c>
      <c r="L14" s="39" t="s">
        <v>2728</v>
      </c>
      <c r="M14" s="39" t="s">
        <v>2725</v>
      </c>
      <c r="N14" s="39" t="s">
        <v>2727</v>
      </c>
      <c r="O14" s="39" t="s">
        <v>2725</v>
      </c>
      <c r="P14" s="39" t="s">
        <v>2725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2708</v>
      </c>
      <c r="I15" s="39" t="s">
        <v>2703</v>
      </c>
      <c r="J15" s="39" t="s">
        <v>2703</v>
      </c>
      <c r="K15" s="39" t="s">
        <v>2704</v>
      </c>
      <c r="L15" s="39" t="s">
        <v>2704</v>
      </c>
      <c r="M15" s="39" t="s">
        <v>2703</v>
      </c>
      <c r="N15" s="39" t="s">
        <v>2704</v>
      </c>
      <c r="O15" s="39" t="s">
        <v>2704</v>
      </c>
      <c r="P15" s="39" t="s">
        <v>2706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2708</v>
      </c>
      <c r="I16" s="39" t="s">
        <v>2715</v>
      </c>
      <c r="J16" s="39" t="s">
        <v>2706</v>
      </c>
      <c r="K16" s="39" t="s">
        <v>2718</v>
      </c>
      <c r="L16" s="39" t="s">
        <v>2708</v>
      </c>
      <c r="M16" s="39" t="s">
        <v>2718</v>
      </c>
      <c r="N16" s="39" t="s">
        <v>2711</v>
      </c>
      <c r="O16" s="39" t="s">
        <v>2718</v>
      </c>
      <c r="P16" s="39" t="s">
        <v>2711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2736</v>
      </c>
      <c r="C17" s="36">
        <v>46189</v>
      </c>
      <c r="D17" s="37">
        <v>8.3333333333333329E-2</v>
      </c>
      <c r="E17" s="19" t="s">
        <v>1530</v>
      </c>
      <c r="F17" s="19" t="s">
        <v>112</v>
      </c>
      <c r="G17" s="19" t="s">
        <v>219</v>
      </c>
      <c r="H17" s="38" t="s">
        <v>2721</v>
      </c>
      <c r="I17" s="39" t="s">
        <v>2706</v>
      </c>
      <c r="J17" s="39" t="s">
        <v>2731</v>
      </c>
      <c r="K17" s="39" t="s">
        <v>2703</v>
      </c>
      <c r="L17" s="39" t="s">
        <v>2703</v>
      </c>
      <c r="M17" s="39" t="s">
        <v>2711</v>
      </c>
      <c r="N17" s="39" t="s">
        <v>2704</v>
      </c>
      <c r="O17" s="39" t="s">
        <v>2704</v>
      </c>
      <c r="P17" s="39" t="s">
        <v>2706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2705</v>
      </c>
      <c r="I18" s="39" t="s">
        <v>2703</v>
      </c>
      <c r="J18" s="39" t="s">
        <v>2729</v>
      </c>
      <c r="K18" s="39" t="s">
        <v>2704</v>
      </c>
      <c r="L18" s="39" t="s">
        <v>2705</v>
      </c>
      <c r="M18" s="39" t="s">
        <v>2708</v>
      </c>
      <c r="N18" s="39" t="s">
        <v>2705</v>
      </c>
      <c r="O18" s="39" t="s">
        <v>2703</v>
      </c>
      <c r="P18" s="39" t="s">
        <v>2706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2737</v>
      </c>
      <c r="I19" s="39" t="s">
        <v>2718</v>
      </c>
      <c r="J19" s="39" t="s">
        <v>2738</v>
      </c>
      <c r="K19" s="39" t="s">
        <v>2716</v>
      </c>
      <c r="L19" s="39" t="s">
        <v>2738</v>
      </c>
      <c r="M19" s="39" t="s">
        <v>2738</v>
      </c>
      <c r="N19" s="39" t="s">
        <v>2716</v>
      </c>
      <c r="O19" s="39" t="s">
        <v>2715</v>
      </c>
      <c r="P19" s="39" t="s">
        <v>2718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39</v>
      </c>
      <c r="F20" s="19" t="s">
        <v>87</v>
      </c>
      <c r="G20" s="19" t="s">
        <v>219</v>
      </c>
      <c r="H20" s="38" t="s">
        <v>2725</v>
      </c>
      <c r="I20" s="39" t="s">
        <v>2725</v>
      </c>
      <c r="J20" s="39" t="s">
        <v>2703</v>
      </c>
      <c r="K20" s="39" t="s">
        <v>2725</v>
      </c>
      <c r="L20" s="39" t="s">
        <v>2725</v>
      </c>
      <c r="M20" s="39" t="s">
        <v>2703</v>
      </c>
      <c r="N20" s="39" t="s">
        <v>2703</v>
      </c>
      <c r="O20" s="39" t="s">
        <v>2703</v>
      </c>
      <c r="P20" s="39" t="s">
        <v>2706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2705</v>
      </c>
      <c r="I21" s="39" t="s">
        <v>2703</v>
      </c>
      <c r="J21" s="39" t="s">
        <v>2706</v>
      </c>
      <c r="K21" s="39" t="s">
        <v>2703</v>
      </c>
      <c r="L21" s="39" t="s">
        <v>2703</v>
      </c>
      <c r="M21" s="39" t="s">
        <v>2703</v>
      </c>
      <c r="N21" s="39" t="s">
        <v>2703</v>
      </c>
      <c r="O21" s="39" t="s">
        <v>2703</v>
      </c>
      <c r="P21" s="39" t="s">
        <v>2706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2708</v>
      </c>
      <c r="I22" s="39" t="s">
        <v>2725</v>
      </c>
      <c r="J22" s="39" t="s">
        <v>2705</v>
      </c>
      <c r="K22" s="39" t="s">
        <v>2704</v>
      </c>
      <c r="L22" s="39" t="s">
        <v>2705</v>
      </c>
      <c r="M22" s="39" t="s">
        <v>2729</v>
      </c>
      <c r="N22" s="39" t="s">
        <v>2725</v>
      </c>
      <c r="O22" s="39" t="s">
        <v>2703</v>
      </c>
      <c r="P22" s="39" t="s">
        <v>2703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2714</v>
      </c>
      <c r="I23" s="39" t="s">
        <v>2704</v>
      </c>
      <c r="J23" s="39" t="s">
        <v>2703</v>
      </c>
      <c r="K23" s="39" t="s">
        <v>2704</v>
      </c>
      <c r="L23" s="39" t="s">
        <v>2705</v>
      </c>
      <c r="M23" s="39" t="s">
        <v>2703</v>
      </c>
      <c r="N23" s="39" t="s">
        <v>2703</v>
      </c>
      <c r="O23" s="39" t="s">
        <v>2704</v>
      </c>
      <c r="P23" s="39" t="s">
        <v>2706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2706</v>
      </c>
      <c r="I24" s="39" t="s">
        <v>2708</v>
      </c>
      <c r="J24" s="39" t="s">
        <v>2725</v>
      </c>
      <c r="K24" s="39" t="s">
        <v>2703</v>
      </c>
      <c r="L24" s="39" t="s">
        <v>2703</v>
      </c>
      <c r="M24" s="39" t="s">
        <v>2725</v>
      </c>
      <c r="N24" s="39" t="s">
        <v>2704</v>
      </c>
      <c r="O24" s="39" t="s">
        <v>2706</v>
      </c>
      <c r="P24" s="39" t="s">
        <v>2706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2717</v>
      </c>
      <c r="I25" s="39" t="s">
        <v>2718</v>
      </c>
      <c r="J25" s="39" t="s">
        <v>2738</v>
      </c>
      <c r="K25" s="39" t="s">
        <v>2715</v>
      </c>
      <c r="L25" s="39" t="s">
        <v>2718</v>
      </c>
      <c r="M25" s="39" t="s">
        <v>2715</v>
      </c>
      <c r="N25" s="39" t="s">
        <v>2715</v>
      </c>
      <c r="O25" s="39" t="s">
        <v>2711</v>
      </c>
      <c r="P25" s="39" t="s">
        <v>2711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2708</v>
      </c>
      <c r="I26" s="39" t="s">
        <v>2706</v>
      </c>
      <c r="J26" s="39" t="s">
        <v>2705</v>
      </c>
      <c r="K26" s="39" t="s">
        <v>2704</v>
      </c>
      <c r="L26" s="39" t="s">
        <v>2718</v>
      </c>
      <c r="M26" s="39" t="s">
        <v>2703</v>
      </c>
      <c r="N26" s="39" t="s">
        <v>2703</v>
      </c>
      <c r="O26" s="39" t="s">
        <v>2706</v>
      </c>
      <c r="P26" s="39" t="s">
        <v>2706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213</v>
      </c>
      <c r="B27" s="19" t="s">
        <v>2739</v>
      </c>
      <c r="C27" s="36">
        <v>46191</v>
      </c>
      <c r="D27" s="37">
        <v>0.83333333333333337</v>
      </c>
      <c r="E27" s="19" t="s">
        <v>165</v>
      </c>
      <c r="F27" s="19" t="s">
        <v>2710</v>
      </c>
      <c r="G27" s="19" t="s">
        <v>168</v>
      </c>
      <c r="H27" s="38" t="s">
        <v>2713</v>
      </c>
      <c r="I27" s="39" t="s">
        <v>2708</v>
      </c>
      <c r="J27" s="39" t="s">
        <v>2718</v>
      </c>
      <c r="K27" s="39" t="s">
        <v>2704</v>
      </c>
      <c r="L27" s="39" t="s">
        <v>2725</v>
      </c>
      <c r="M27" s="39" t="s">
        <v>2706</v>
      </c>
      <c r="N27" s="39" t="s">
        <v>2704</v>
      </c>
      <c r="O27" s="39" t="s">
        <v>2704</v>
      </c>
      <c r="P27" s="39" t="s">
        <v>2706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2728</v>
      </c>
      <c r="I28" s="39" t="s">
        <v>2703</v>
      </c>
      <c r="J28" s="39" t="s">
        <v>2711</v>
      </c>
      <c r="K28" s="39" t="s">
        <v>2708</v>
      </c>
      <c r="L28" s="39" t="s">
        <v>2703</v>
      </c>
      <c r="M28" s="39" t="s">
        <v>2703</v>
      </c>
      <c r="N28" s="39" t="s">
        <v>2708</v>
      </c>
      <c r="O28" s="39" t="s">
        <v>2706</v>
      </c>
      <c r="P28" s="39" t="s">
        <v>2703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209</v>
      </c>
      <c r="B29" s="19" t="s">
        <v>2740</v>
      </c>
      <c r="C29" s="36">
        <v>46192</v>
      </c>
      <c r="D29" s="37">
        <v>8.3333333333333329E-2</v>
      </c>
      <c r="E29" s="19" t="s">
        <v>153</v>
      </c>
      <c r="F29" s="19" t="s">
        <v>2689</v>
      </c>
      <c r="G29" s="19" t="s">
        <v>168</v>
      </c>
      <c r="H29" s="38" t="s">
        <v>2706</v>
      </c>
      <c r="I29" s="39" t="s">
        <v>2704</v>
      </c>
      <c r="J29" s="39" t="s">
        <v>2721</v>
      </c>
      <c r="K29" s="39" t="s">
        <v>2708</v>
      </c>
      <c r="L29" s="39" t="s">
        <v>2741</v>
      </c>
      <c r="M29" s="39" t="s">
        <v>2718</v>
      </c>
      <c r="N29" s="39" t="s">
        <v>2704</v>
      </c>
      <c r="O29" s="39" t="s">
        <v>2703</v>
      </c>
      <c r="P29" s="39" t="s">
        <v>2708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207</v>
      </c>
      <c r="B30" s="19" t="s">
        <v>2742</v>
      </c>
      <c r="C30" s="36">
        <v>46192</v>
      </c>
      <c r="D30" s="37">
        <v>0.83333333333333337</v>
      </c>
      <c r="E30" s="19" t="s">
        <v>2515</v>
      </c>
      <c r="F30" s="19" t="s">
        <v>45</v>
      </c>
      <c r="G30" s="19" t="s">
        <v>168</v>
      </c>
      <c r="H30" s="38" t="s">
        <v>2703</v>
      </c>
      <c r="I30" s="39" t="s">
        <v>2704</v>
      </c>
      <c r="J30" s="39" t="s">
        <v>2705</v>
      </c>
      <c r="K30" s="39" t="s">
        <v>2703</v>
      </c>
      <c r="L30" s="39" t="s">
        <v>2725</v>
      </c>
      <c r="M30" s="39" t="s">
        <v>2703</v>
      </c>
      <c r="N30" s="39" t="s">
        <v>2704</v>
      </c>
      <c r="O30" s="39" t="s">
        <v>2704</v>
      </c>
      <c r="P30" s="39" t="s">
        <v>2706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2711</v>
      </c>
      <c r="I31" s="39" t="s">
        <v>2708</v>
      </c>
      <c r="J31" s="39" t="s">
        <v>2708</v>
      </c>
      <c r="K31" s="39" t="s">
        <v>2715</v>
      </c>
      <c r="L31" s="39" t="s">
        <v>2718</v>
      </c>
      <c r="M31" s="39" t="s">
        <v>2711</v>
      </c>
      <c r="N31" s="39" t="s">
        <v>2718</v>
      </c>
      <c r="O31" s="39" t="s">
        <v>2718</v>
      </c>
      <c r="P31" s="39" t="s">
        <v>2711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2725</v>
      </c>
      <c r="I32" s="39" t="s">
        <v>2729</v>
      </c>
      <c r="J32" s="39" t="s">
        <v>2728</v>
      </c>
      <c r="K32" s="39" t="s">
        <v>2727</v>
      </c>
      <c r="L32" s="39" t="s">
        <v>2727</v>
      </c>
      <c r="M32" s="39" t="s">
        <v>2728</v>
      </c>
      <c r="N32" s="39" t="s">
        <v>2729</v>
      </c>
      <c r="O32" s="39" t="s">
        <v>2725</v>
      </c>
      <c r="P32" s="39" t="s">
        <v>2725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200</v>
      </c>
      <c r="B33" s="19" t="s">
        <v>2743</v>
      </c>
      <c r="C33" s="36">
        <v>46193</v>
      </c>
      <c r="D33" s="37">
        <v>0.16666666666666666</v>
      </c>
      <c r="E33" s="19" t="s">
        <v>2688</v>
      </c>
      <c r="F33" s="19" t="s">
        <v>75</v>
      </c>
      <c r="G33" s="19" t="s">
        <v>168</v>
      </c>
      <c r="H33" s="38" t="s">
        <v>2711</v>
      </c>
      <c r="I33" s="39" t="s">
        <v>2704</v>
      </c>
      <c r="J33" s="39" t="s">
        <v>2704</v>
      </c>
      <c r="K33" s="39" t="s">
        <v>2705</v>
      </c>
      <c r="L33" s="39" t="s">
        <v>2704</v>
      </c>
      <c r="M33" s="39" t="s">
        <v>2708</v>
      </c>
      <c r="N33" s="39" t="s">
        <v>2704</v>
      </c>
      <c r="O33" s="49"/>
      <c r="P33" s="39" t="s">
        <v>2708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2732</v>
      </c>
      <c r="I34" s="39" t="s">
        <v>2704</v>
      </c>
      <c r="J34" s="39" t="s">
        <v>2718</v>
      </c>
      <c r="K34" s="39" t="s">
        <v>2708</v>
      </c>
      <c r="L34" s="39" t="s">
        <v>2721</v>
      </c>
      <c r="M34" s="39" t="s">
        <v>2708</v>
      </c>
      <c r="N34" s="39" t="s">
        <v>2708</v>
      </c>
      <c r="O34" s="49"/>
      <c r="P34" s="39" t="s">
        <v>2708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196</v>
      </c>
      <c r="B35" s="19" t="s">
        <v>2744</v>
      </c>
      <c r="C35" s="36">
        <v>46193</v>
      </c>
      <c r="D35" s="37">
        <v>0.875</v>
      </c>
      <c r="E35" s="19" t="s">
        <v>74</v>
      </c>
      <c r="F35" s="19" t="s">
        <v>2691</v>
      </c>
      <c r="G35" s="19" t="s">
        <v>168</v>
      </c>
      <c r="H35" s="38" t="s">
        <v>2704</v>
      </c>
      <c r="I35" s="39" t="s">
        <v>2703</v>
      </c>
      <c r="J35" s="39" t="s">
        <v>2732</v>
      </c>
      <c r="K35" s="39" t="s">
        <v>2705</v>
      </c>
      <c r="L35" s="39" t="s">
        <v>2705</v>
      </c>
      <c r="M35" s="39" t="s">
        <v>2725</v>
      </c>
      <c r="N35" s="39" t="s">
        <v>2704</v>
      </c>
      <c r="O35" s="39" t="s">
        <v>2703</v>
      </c>
      <c r="P35" s="39" t="s">
        <v>2706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194</v>
      </c>
      <c r="B36" s="19" t="s">
        <v>2745</v>
      </c>
      <c r="C36" s="36">
        <v>46194</v>
      </c>
      <c r="D36" s="37">
        <v>4.1666666666666664E-2</v>
      </c>
      <c r="E36" s="19" t="s">
        <v>146</v>
      </c>
      <c r="F36" s="19" t="s">
        <v>2723</v>
      </c>
      <c r="G36" s="19" t="s">
        <v>168</v>
      </c>
      <c r="H36" s="38" t="s">
        <v>2731</v>
      </c>
      <c r="I36" s="39" t="s">
        <v>2703</v>
      </c>
      <c r="J36" s="39" t="s">
        <v>2725</v>
      </c>
      <c r="K36" s="39" t="s">
        <v>2725</v>
      </c>
      <c r="L36" s="39" t="s">
        <v>2713</v>
      </c>
      <c r="M36" s="39" t="s">
        <v>2703</v>
      </c>
      <c r="N36" s="39" t="s">
        <v>2725</v>
      </c>
      <c r="O36" s="39" t="s">
        <v>2725</v>
      </c>
      <c r="P36" s="39" t="s">
        <v>2703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2738</v>
      </c>
      <c r="I37" s="39" t="s">
        <v>2718</v>
      </c>
      <c r="J37" s="39" t="s">
        <v>2715</v>
      </c>
      <c r="K37" s="39" t="s">
        <v>2717</v>
      </c>
      <c r="L37" s="39" t="s">
        <v>2718</v>
      </c>
      <c r="M37" s="39" t="s">
        <v>2718</v>
      </c>
      <c r="N37" s="39" t="s">
        <v>2718</v>
      </c>
      <c r="O37" s="39" t="s">
        <v>2711</v>
      </c>
      <c r="P37" s="39" t="s">
        <v>2711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2729</v>
      </c>
      <c r="I38" s="39" t="s">
        <v>2725</v>
      </c>
      <c r="J38" s="39" t="s">
        <v>2713</v>
      </c>
      <c r="K38" s="39" t="s">
        <v>2725</v>
      </c>
      <c r="L38" s="39" t="s">
        <v>2725</v>
      </c>
      <c r="M38" s="39" t="s">
        <v>2703</v>
      </c>
      <c r="N38" s="39" t="s">
        <v>2725</v>
      </c>
      <c r="O38" s="39" t="s">
        <v>2703</v>
      </c>
      <c r="P38" s="39" t="s">
        <v>2725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187</v>
      </c>
      <c r="B39" s="19" t="s">
        <v>2746</v>
      </c>
      <c r="C39" s="36">
        <v>46194</v>
      </c>
      <c r="D39" s="37">
        <v>0.83333333333333337</v>
      </c>
      <c r="E39" s="19" t="s">
        <v>113</v>
      </c>
      <c r="F39" s="19" t="s">
        <v>1530</v>
      </c>
      <c r="G39" s="19" t="s">
        <v>168</v>
      </c>
      <c r="H39" s="38" t="s">
        <v>2731</v>
      </c>
      <c r="I39" s="39" t="s">
        <v>2725</v>
      </c>
      <c r="J39" s="39" t="s">
        <v>2705</v>
      </c>
      <c r="K39" s="39" t="s">
        <v>2705</v>
      </c>
      <c r="L39" s="39" t="s">
        <v>2705</v>
      </c>
      <c r="M39" s="39" t="s">
        <v>2704</v>
      </c>
      <c r="N39" s="39" t="s">
        <v>2703</v>
      </c>
      <c r="O39" s="39" t="s">
        <v>2703</v>
      </c>
      <c r="P39" s="39" t="s">
        <v>2703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185</v>
      </c>
      <c r="B40" s="19" t="s">
        <v>2747</v>
      </c>
      <c r="C40" s="36">
        <v>46194</v>
      </c>
      <c r="D40" s="37">
        <v>0.95833333333333337</v>
      </c>
      <c r="E40" s="19" t="s">
        <v>122</v>
      </c>
      <c r="F40" s="19" t="s">
        <v>2734</v>
      </c>
      <c r="G40" s="19" t="s">
        <v>168</v>
      </c>
      <c r="H40" s="38" t="s">
        <v>2721</v>
      </c>
      <c r="I40" s="39" t="s">
        <v>2725</v>
      </c>
      <c r="J40" s="39" t="s">
        <v>2703</v>
      </c>
      <c r="K40" s="39" t="s">
        <v>2703</v>
      </c>
      <c r="L40" s="39" t="s">
        <v>2705</v>
      </c>
      <c r="M40" s="39" t="s">
        <v>2703</v>
      </c>
      <c r="N40" s="39" t="s">
        <v>2705</v>
      </c>
      <c r="O40" s="39" t="s">
        <v>2706</v>
      </c>
      <c r="P40" s="39" t="s">
        <v>2706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2717</v>
      </c>
      <c r="I41" s="39" t="s">
        <v>2715</v>
      </c>
      <c r="J41" s="39" t="s">
        <v>2718</v>
      </c>
      <c r="K41" s="39" t="s">
        <v>2708</v>
      </c>
      <c r="L41" s="39" t="s">
        <v>2704</v>
      </c>
      <c r="M41" s="39" t="s">
        <v>2718</v>
      </c>
      <c r="N41" s="39" t="s">
        <v>2715</v>
      </c>
      <c r="O41" s="39" t="s">
        <v>2711</v>
      </c>
      <c r="P41" s="39" t="s">
        <v>2711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39</v>
      </c>
      <c r="F42" s="19" t="s">
        <v>88</v>
      </c>
      <c r="G42" s="19" t="s">
        <v>168</v>
      </c>
      <c r="H42" s="38" t="s">
        <v>2703</v>
      </c>
      <c r="I42" s="39" t="s">
        <v>2725</v>
      </c>
      <c r="J42" s="39" t="s">
        <v>2713</v>
      </c>
      <c r="K42" s="39" t="s">
        <v>2704</v>
      </c>
      <c r="L42" s="39" t="s">
        <v>2725</v>
      </c>
      <c r="M42" s="39" t="s">
        <v>2721</v>
      </c>
      <c r="N42" s="39" t="s">
        <v>2703</v>
      </c>
      <c r="O42" s="39" t="s">
        <v>2703</v>
      </c>
      <c r="P42" s="39" t="s">
        <v>2706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2725</v>
      </c>
      <c r="I43" s="39" t="s">
        <v>2729</v>
      </c>
      <c r="J43" s="39" t="s">
        <v>2725</v>
      </c>
      <c r="K43" s="39" t="s">
        <v>2729</v>
      </c>
      <c r="L43" s="39" t="s">
        <v>2727</v>
      </c>
      <c r="M43" s="39" t="s">
        <v>2748</v>
      </c>
      <c r="N43" s="39" t="s">
        <v>2729</v>
      </c>
      <c r="O43" s="39" t="s">
        <v>2725</v>
      </c>
      <c r="P43" s="39" t="s">
        <v>2725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2741</v>
      </c>
      <c r="I44" s="39" t="s">
        <v>2704</v>
      </c>
      <c r="J44" s="39" t="s">
        <v>2721</v>
      </c>
      <c r="K44" s="39" t="s">
        <v>2708</v>
      </c>
      <c r="L44" s="39" t="s">
        <v>2705</v>
      </c>
      <c r="M44" s="39" t="s">
        <v>2721</v>
      </c>
      <c r="N44" s="39" t="s">
        <v>2708</v>
      </c>
      <c r="O44" s="39" t="s">
        <v>2704</v>
      </c>
      <c r="P44" s="39" t="s">
        <v>2708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2718</v>
      </c>
      <c r="I45" s="39" t="s">
        <v>2718</v>
      </c>
      <c r="J45" s="39" t="s">
        <v>2715</v>
      </c>
      <c r="K45" s="39" t="s">
        <v>2715</v>
      </c>
      <c r="L45" s="39" t="s">
        <v>2721</v>
      </c>
      <c r="M45" s="39" t="s">
        <v>2715</v>
      </c>
      <c r="N45" s="39" t="s">
        <v>2715</v>
      </c>
      <c r="O45" s="39" t="s">
        <v>2711</v>
      </c>
      <c r="P45" s="39" t="s">
        <v>2711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2727</v>
      </c>
      <c r="I46" s="39" t="s">
        <v>2705</v>
      </c>
      <c r="J46" s="39" t="s">
        <v>2729</v>
      </c>
      <c r="K46" s="39" t="s">
        <v>2703</v>
      </c>
      <c r="L46" s="39" t="s">
        <v>2705</v>
      </c>
      <c r="M46" s="39" t="s">
        <v>2704</v>
      </c>
      <c r="N46" s="39" t="s">
        <v>2703</v>
      </c>
      <c r="O46" s="39" t="s">
        <v>2703</v>
      </c>
      <c r="P46" s="39" t="s">
        <v>2703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2731</v>
      </c>
      <c r="I47" s="39" t="s">
        <v>2703</v>
      </c>
      <c r="J47" s="39" t="s">
        <v>2713</v>
      </c>
      <c r="K47" s="39" t="s">
        <v>2725</v>
      </c>
      <c r="L47" s="39" t="s">
        <v>2713</v>
      </c>
      <c r="M47" s="39" t="s">
        <v>2703</v>
      </c>
      <c r="N47" s="39" t="s">
        <v>2703</v>
      </c>
      <c r="O47" s="39" t="s">
        <v>2725</v>
      </c>
      <c r="P47" s="39" t="s">
        <v>2706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2711</v>
      </c>
      <c r="I48" s="39" t="s">
        <v>2715</v>
      </c>
      <c r="J48" s="39" t="s">
        <v>2749</v>
      </c>
      <c r="K48" s="39" t="s">
        <v>2738</v>
      </c>
      <c r="L48" s="39" t="s">
        <v>2715</v>
      </c>
      <c r="M48" s="39" t="s">
        <v>2715</v>
      </c>
      <c r="N48" s="39" t="s">
        <v>2715</v>
      </c>
      <c r="O48" s="39" t="s">
        <v>2711</v>
      </c>
      <c r="P48" s="39" t="s">
        <v>2711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2706</v>
      </c>
      <c r="I49" s="39" t="s">
        <v>2703</v>
      </c>
      <c r="J49" s="39" t="s">
        <v>2705</v>
      </c>
      <c r="K49" s="39" t="s">
        <v>2703</v>
      </c>
      <c r="L49" s="39" t="s">
        <v>2741</v>
      </c>
      <c r="M49" s="39" t="s">
        <v>2704</v>
      </c>
      <c r="N49" s="39" t="s">
        <v>2704</v>
      </c>
      <c r="O49" s="39" t="s">
        <v>2703</v>
      </c>
      <c r="P49" s="39" t="s">
        <v>2706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160</v>
      </c>
      <c r="B50" s="19" t="s">
        <v>2750</v>
      </c>
      <c r="C50" s="36">
        <v>46197</v>
      </c>
      <c r="D50" s="37">
        <v>0.83333333333333337</v>
      </c>
      <c r="E50" s="19" t="s">
        <v>2710</v>
      </c>
      <c r="F50" s="19" t="s">
        <v>162</v>
      </c>
      <c r="G50" s="19" t="s">
        <v>89</v>
      </c>
      <c r="H50" s="38" t="s">
        <v>2705</v>
      </c>
      <c r="I50" s="39" t="s">
        <v>2708</v>
      </c>
      <c r="J50" s="39" t="s">
        <v>2705</v>
      </c>
      <c r="K50" s="39" t="s">
        <v>2703</v>
      </c>
      <c r="L50" s="39" t="s">
        <v>2704</v>
      </c>
      <c r="M50" s="39" t="s">
        <v>2708</v>
      </c>
      <c r="N50" s="39" t="s">
        <v>2703</v>
      </c>
      <c r="O50" s="39" t="s">
        <v>2706</v>
      </c>
      <c r="P50" s="39" t="s">
        <v>2703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2704</v>
      </c>
      <c r="I51" s="39" t="s">
        <v>2704</v>
      </c>
      <c r="J51" s="39" t="s">
        <v>2718</v>
      </c>
      <c r="K51" s="39" t="s">
        <v>2703</v>
      </c>
      <c r="L51" s="39" t="s">
        <v>2721</v>
      </c>
      <c r="M51" s="39" t="s">
        <v>2704</v>
      </c>
      <c r="N51" s="39" t="s">
        <v>2704</v>
      </c>
      <c r="O51" s="39" t="s">
        <v>2708</v>
      </c>
      <c r="P51" s="39" t="s">
        <v>2708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2716</v>
      </c>
      <c r="I52" s="39" t="s">
        <v>2718</v>
      </c>
      <c r="J52" s="39" t="s">
        <v>2717</v>
      </c>
      <c r="K52" s="39" t="s">
        <v>2715</v>
      </c>
      <c r="L52" s="39" t="s">
        <v>2716</v>
      </c>
      <c r="M52" s="39" t="s">
        <v>2718</v>
      </c>
      <c r="N52" s="39" t="s">
        <v>2718</v>
      </c>
      <c r="O52" s="39" t="s">
        <v>2717</v>
      </c>
      <c r="P52" s="39" t="s">
        <v>2715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2714</v>
      </c>
      <c r="I53" s="39" t="s">
        <v>2703</v>
      </c>
      <c r="J53" s="39" t="s">
        <v>2725</v>
      </c>
      <c r="K53" s="39" t="s">
        <v>2703</v>
      </c>
      <c r="L53" s="39" t="s">
        <v>2729</v>
      </c>
      <c r="M53" s="39" t="s">
        <v>2703</v>
      </c>
      <c r="N53" s="39" t="s">
        <v>2725</v>
      </c>
      <c r="O53" s="39" t="s">
        <v>2703</v>
      </c>
      <c r="P53" s="39" t="s">
        <v>2703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147</v>
      </c>
      <c r="B54" s="19" t="s">
        <v>2751</v>
      </c>
      <c r="C54" s="36">
        <v>46198</v>
      </c>
      <c r="D54" s="37">
        <v>8.3333333333333329E-2</v>
      </c>
      <c r="E54" s="19" t="s">
        <v>82</v>
      </c>
      <c r="F54" s="19" t="s">
        <v>2689</v>
      </c>
      <c r="G54" s="19" t="s">
        <v>89</v>
      </c>
      <c r="H54" s="38" t="s">
        <v>2706</v>
      </c>
      <c r="I54" s="39" t="s">
        <v>2718</v>
      </c>
      <c r="J54" s="39" t="s">
        <v>2717</v>
      </c>
      <c r="K54" s="39" t="s">
        <v>2711</v>
      </c>
      <c r="L54" s="39" t="s">
        <v>2718</v>
      </c>
      <c r="M54" s="39" t="s">
        <v>2715</v>
      </c>
      <c r="N54" s="39" t="s">
        <v>2715</v>
      </c>
      <c r="O54" s="39" t="s">
        <v>2711</v>
      </c>
      <c r="P54" s="39" t="s">
        <v>2711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2716</v>
      </c>
      <c r="I55" s="39" t="s">
        <v>2718</v>
      </c>
      <c r="J55" s="39" t="s">
        <v>2708</v>
      </c>
      <c r="K55" s="39" t="s">
        <v>2708</v>
      </c>
      <c r="L55" s="39" t="s">
        <v>2718</v>
      </c>
      <c r="M55" s="39" t="s">
        <v>2708</v>
      </c>
      <c r="N55" s="39" t="s">
        <v>2711</v>
      </c>
      <c r="O55" s="39" t="s">
        <v>2711</v>
      </c>
      <c r="P55" s="39" t="s">
        <v>2711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140</v>
      </c>
      <c r="B56" s="19" t="s">
        <v>2752</v>
      </c>
      <c r="C56" s="36">
        <v>46198</v>
      </c>
      <c r="D56" s="37">
        <v>0.875</v>
      </c>
      <c r="E56" s="19" t="s">
        <v>2723</v>
      </c>
      <c r="F56" s="19" t="s">
        <v>2691</v>
      </c>
      <c r="G56" s="19" t="s">
        <v>89</v>
      </c>
      <c r="H56" s="38" t="s">
        <v>2715</v>
      </c>
      <c r="I56" s="39" t="s">
        <v>2716</v>
      </c>
      <c r="J56" s="39" t="s">
        <v>2718</v>
      </c>
      <c r="K56" s="39" t="s">
        <v>2715</v>
      </c>
      <c r="L56" s="39" t="s">
        <v>2717</v>
      </c>
      <c r="M56" s="39" t="s">
        <v>2716</v>
      </c>
      <c r="N56" s="39" t="s">
        <v>2717</v>
      </c>
      <c r="O56" s="39" t="s">
        <v>2715</v>
      </c>
      <c r="P56" s="39" t="s">
        <v>2715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2704</v>
      </c>
      <c r="I57" s="39" t="s">
        <v>2718</v>
      </c>
      <c r="J57" s="39" t="s">
        <v>2717</v>
      </c>
      <c r="K57" s="39" t="s">
        <v>2718</v>
      </c>
      <c r="L57" s="39" t="s">
        <v>2715</v>
      </c>
      <c r="M57" s="39" t="s">
        <v>2718</v>
      </c>
      <c r="N57" s="39" t="s">
        <v>2704</v>
      </c>
      <c r="O57" s="39" t="s">
        <v>2711</v>
      </c>
      <c r="P57" s="39" t="s">
        <v>2711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2708</v>
      </c>
      <c r="I58" s="39" t="s">
        <v>2704</v>
      </c>
      <c r="J58" s="39" t="s">
        <v>2703</v>
      </c>
      <c r="K58" s="39" t="s">
        <v>2708</v>
      </c>
      <c r="L58" s="39" t="s">
        <v>2721</v>
      </c>
      <c r="M58" s="39" t="s">
        <v>2721</v>
      </c>
      <c r="N58" s="39" t="s">
        <v>2721</v>
      </c>
      <c r="O58" s="39" t="s">
        <v>2706</v>
      </c>
      <c r="P58" s="39" t="s">
        <v>2708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2717</v>
      </c>
      <c r="I59" s="39" t="s">
        <v>2718</v>
      </c>
      <c r="J59" s="39" t="s">
        <v>2716</v>
      </c>
      <c r="K59" s="39" t="s">
        <v>2715</v>
      </c>
      <c r="L59" s="39" t="s">
        <v>2717</v>
      </c>
      <c r="M59" s="39" t="s">
        <v>2738</v>
      </c>
      <c r="N59" s="39" t="s">
        <v>2716</v>
      </c>
      <c r="O59" s="39" t="s">
        <v>2715</v>
      </c>
      <c r="P59" s="39" t="s">
        <v>2716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2731</v>
      </c>
      <c r="I60" s="39" t="s">
        <v>2708</v>
      </c>
      <c r="J60" s="39" t="s">
        <v>2731</v>
      </c>
      <c r="K60" s="39" t="s">
        <v>2708</v>
      </c>
      <c r="L60" s="39" t="s">
        <v>2721</v>
      </c>
      <c r="M60" s="39" t="s">
        <v>2708</v>
      </c>
      <c r="N60" s="39" t="s">
        <v>2708</v>
      </c>
      <c r="O60" s="39" t="s">
        <v>2708</v>
      </c>
      <c r="P60" s="39" t="s">
        <v>2731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132</v>
      </c>
      <c r="B61" s="19" t="s">
        <v>2753</v>
      </c>
      <c r="C61" s="36">
        <v>46199</v>
      </c>
      <c r="D61" s="37">
        <v>0.125</v>
      </c>
      <c r="E61" s="19" t="s">
        <v>2688</v>
      </c>
      <c r="F61" s="19" t="s">
        <v>2515</v>
      </c>
      <c r="G61" s="19" t="s">
        <v>89</v>
      </c>
      <c r="H61" s="38" t="s">
        <v>2741</v>
      </c>
      <c r="I61" s="39" t="s">
        <v>2704</v>
      </c>
      <c r="J61" s="39" t="s">
        <v>2715</v>
      </c>
      <c r="K61" s="39" t="s">
        <v>2718</v>
      </c>
      <c r="L61" s="39" t="s">
        <v>2717</v>
      </c>
      <c r="M61" s="39" t="s">
        <v>2716</v>
      </c>
      <c r="N61" s="39" t="s">
        <v>2718</v>
      </c>
      <c r="O61" s="39" t="s">
        <v>2718</v>
      </c>
      <c r="P61" s="39" t="s">
        <v>2708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2727</v>
      </c>
      <c r="I62" s="39" t="s">
        <v>2718</v>
      </c>
      <c r="J62" s="39" t="s">
        <v>2703</v>
      </c>
      <c r="K62" s="39" t="s">
        <v>2703</v>
      </c>
      <c r="L62" s="39" t="s">
        <v>2725</v>
      </c>
      <c r="M62" s="39" t="s">
        <v>2725</v>
      </c>
      <c r="N62" s="39" t="s">
        <v>2703</v>
      </c>
      <c r="O62" s="39" t="s">
        <v>2703</v>
      </c>
      <c r="P62" s="39" t="s">
        <v>2703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2737</v>
      </c>
      <c r="I63" s="39" t="s">
        <v>2717</v>
      </c>
      <c r="J63" s="39" t="s">
        <v>2754</v>
      </c>
      <c r="K63" s="39" t="s">
        <v>2718</v>
      </c>
      <c r="L63" s="39" t="s">
        <v>2721</v>
      </c>
      <c r="M63" s="39" t="s">
        <v>2718</v>
      </c>
      <c r="N63" s="39" t="s">
        <v>2718</v>
      </c>
      <c r="O63" s="39" t="s">
        <v>2718</v>
      </c>
      <c r="P63" s="39" t="s">
        <v>2718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117</v>
      </c>
      <c r="B64" s="19" t="s">
        <v>2755</v>
      </c>
      <c r="C64" s="36">
        <v>46200</v>
      </c>
      <c r="D64" s="37">
        <v>4.1666666666666664E-2</v>
      </c>
      <c r="E64" s="19" t="s">
        <v>2734</v>
      </c>
      <c r="F64" s="19" t="s">
        <v>119</v>
      </c>
      <c r="G64" s="19" t="s">
        <v>89</v>
      </c>
      <c r="H64" s="38" t="s">
        <v>2731</v>
      </c>
      <c r="I64" s="39" t="s">
        <v>2715</v>
      </c>
      <c r="J64" s="39" t="s">
        <v>2731</v>
      </c>
      <c r="K64" s="39" t="s">
        <v>2708</v>
      </c>
      <c r="L64" s="39" t="s">
        <v>2704</v>
      </c>
      <c r="M64" s="39" t="s">
        <v>2718</v>
      </c>
      <c r="N64" s="39" t="s">
        <v>2706</v>
      </c>
      <c r="O64" s="39" t="s">
        <v>2708</v>
      </c>
      <c r="P64" s="39" t="s">
        <v>2708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2711</v>
      </c>
      <c r="I65" s="39" t="s">
        <v>2718</v>
      </c>
      <c r="J65" s="39" t="s">
        <v>2738</v>
      </c>
      <c r="K65" s="39" t="s">
        <v>2708</v>
      </c>
      <c r="L65" s="39" t="s">
        <v>2718</v>
      </c>
      <c r="M65" s="39" t="s">
        <v>2716</v>
      </c>
      <c r="N65" s="39" t="s">
        <v>2717</v>
      </c>
      <c r="O65" s="39" t="s">
        <v>2715</v>
      </c>
      <c r="P65" s="39" t="s">
        <v>2711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2869</v>
      </c>
      <c r="I66" s="39" t="s">
        <v>2716</v>
      </c>
      <c r="J66" s="39" t="s">
        <v>2711</v>
      </c>
      <c r="K66" s="39" t="s">
        <v>2716</v>
      </c>
      <c r="L66" s="39" t="s">
        <v>2704</v>
      </c>
      <c r="M66" s="39" t="s">
        <v>2711</v>
      </c>
      <c r="N66" s="39" t="s">
        <v>2716</v>
      </c>
      <c r="O66" s="39" t="s">
        <v>2711</v>
      </c>
      <c r="P66" s="39" t="s">
        <v>2715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114</v>
      </c>
      <c r="B67" s="19" t="s">
        <v>2756</v>
      </c>
      <c r="C67" s="36">
        <v>46200</v>
      </c>
      <c r="D67" s="37">
        <v>0.16666666666666666</v>
      </c>
      <c r="E67" s="19" t="s">
        <v>46</v>
      </c>
      <c r="F67" s="19" t="s">
        <v>1530</v>
      </c>
      <c r="G67" s="19" t="s">
        <v>89</v>
      </c>
      <c r="H67" s="38" t="s">
        <v>2708</v>
      </c>
      <c r="I67" s="39" t="s">
        <v>2704</v>
      </c>
      <c r="J67" s="39" t="s">
        <v>2708</v>
      </c>
      <c r="K67" s="39" t="s">
        <v>2708</v>
      </c>
      <c r="L67" s="39" t="s">
        <v>2704</v>
      </c>
      <c r="M67" s="39" t="s">
        <v>2706</v>
      </c>
      <c r="N67" s="39" t="s">
        <v>2706</v>
      </c>
      <c r="O67" s="39" t="s">
        <v>2706</v>
      </c>
      <c r="P67" s="39" t="s">
        <v>2708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2704</v>
      </c>
      <c r="I68" s="39" t="s">
        <v>2704</v>
      </c>
      <c r="J68" s="39" t="s">
        <v>2703</v>
      </c>
      <c r="K68" s="39" t="s">
        <v>2704</v>
      </c>
      <c r="L68" s="39" t="s">
        <v>2721</v>
      </c>
      <c r="M68" s="39" t="s">
        <v>2708</v>
      </c>
      <c r="N68" s="39" t="s">
        <v>2708</v>
      </c>
      <c r="O68" s="39" t="s">
        <v>2704</v>
      </c>
      <c r="P68" s="39" t="s">
        <v>2706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2715</v>
      </c>
      <c r="I69" s="39" t="s">
        <v>2716</v>
      </c>
      <c r="J69" s="39" t="s">
        <v>2719</v>
      </c>
      <c r="K69" s="39" t="s">
        <v>2716</v>
      </c>
      <c r="L69" s="39" t="s">
        <v>2738</v>
      </c>
      <c r="M69" s="39" t="s">
        <v>2749</v>
      </c>
      <c r="N69" s="39" t="s">
        <v>2716</v>
      </c>
      <c r="O69" s="39" t="s">
        <v>2716</v>
      </c>
      <c r="P69" s="39" t="s">
        <v>2715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2705</v>
      </c>
      <c r="I70" s="39" t="s">
        <v>2715</v>
      </c>
      <c r="J70" s="39" t="s">
        <v>2721</v>
      </c>
      <c r="K70" s="39" t="s">
        <v>2708</v>
      </c>
      <c r="L70" s="39" t="s">
        <v>2715</v>
      </c>
      <c r="M70" s="39" t="s">
        <v>2706</v>
      </c>
      <c r="N70" s="39" t="s">
        <v>2706</v>
      </c>
      <c r="O70" s="39" t="s">
        <v>2706</v>
      </c>
      <c r="P70" s="39" t="s">
        <v>2706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2731</v>
      </c>
      <c r="I71" s="39" t="s">
        <v>2718</v>
      </c>
      <c r="J71" s="39" t="s">
        <v>2708</v>
      </c>
      <c r="K71" s="39" t="s">
        <v>2718</v>
      </c>
      <c r="L71" s="39" t="s">
        <v>2721</v>
      </c>
      <c r="M71" s="39" t="s">
        <v>2721</v>
      </c>
      <c r="N71" s="39" t="s">
        <v>2721</v>
      </c>
      <c r="O71" s="39" t="s">
        <v>2708</v>
      </c>
      <c r="P71" s="39" t="s">
        <v>2711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2870</v>
      </c>
      <c r="I72" s="39" t="s">
        <v>2703</v>
      </c>
      <c r="J72" s="39" t="s">
        <v>2708</v>
      </c>
      <c r="K72" s="39" t="s">
        <v>2708</v>
      </c>
      <c r="L72" s="39" t="s">
        <v>2718</v>
      </c>
      <c r="M72" s="39" t="s">
        <v>2711</v>
      </c>
      <c r="N72" s="39" t="s">
        <v>2718</v>
      </c>
      <c r="O72" s="39" t="s">
        <v>2708</v>
      </c>
      <c r="P72" s="39" t="s">
        <v>2708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39</v>
      </c>
      <c r="G73" s="19" t="s">
        <v>89</v>
      </c>
      <c r="H73" s="38" t="s">
        <v>2717</v>
      </c>
      <c r="I73" s="39" t="s">
        <v>2716</v>
      </c>
      <c r="J73" s="39" t="s">
        <v>2738</v>
      </c>
      <c r="K73" s="39" t="s">
        <v>2738</v>
      </c>
      <c r="L73" s="39" t="s">
        <v>2737</v>
      </c>
      <c r="M73" s="39" t="s">
        <v>2738</v>
      </c>
      <c r="N73" s="39" t="s">
        <v>2716</v>
      </c>
      <c r="O73" s="39" t="s">
        <v>2715</v>
      </c>
      <c r="P73" s="39" t="s">
        <v>2715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2757</v>
      </c>
      <c r="H74" s="38" t="s">
        <v>2711</v>
      </c>
      <c r="I74" s="39" t="s">
        <v>2704</v>
      </c>
      <c r="J74" s="39" t="s">
        <v>2718</v>
      </c>
      <c r="K74" s="39" t="s">
        <v>2706</v>
      </c>
      <c r="L74" s="39" t="s">
        <v>2721</v>
      </c>
      <c r="M74" s="39" t="s">
        <v>2716</v>
      </c>
      <c r="N74" s="39" t="s">
        <v>2718</v>
      </c>
      <c r="O74" s="39" t="s">
        <v>2718</v>
      </c>
      <c r="P74" s="39" t="s">
        <v>2711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2757</v>
      </c>
      <c r="H75" s="38" t="s">
        <v>2704</v>
      </c>
      <c r="I75" s="39" t="s">
        <v>2705</v>
      </c>
      <c r="J75" s="39" t="s">
        <v>2721</v>
      </c>
      <c r="K75" s="39" t="s">
        <v>2704</v>
      </c>
      <c r="L75" s="39" t="s">
        <v>2714</v>
      </c>
      <c r="M75" s="39" t="s">
        <v>2704</v>
      </c>
      <c r="N75" s="39" t="s">
        <v>2704</v>
      </c>
      <c r="O75" s="39" t="s">
        <v>2708</v>
      </c>
      <c r="P75" s="39" t="s">
        <v>2706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2757</v>
      </c>
      <c r="H76" s="38" t="s">
        <v>2708</v>
      </c>
      <c r="I76" s="39" t="s">
        <v>2725</v>
      </c>
      <c r="J76" s="39" t="s">
        <v>2729</v>
      </c>
      <c r="K76" s="39" t="s">
        <v>2725</v>
      </c>
      <c r="L76" s="39" t="s">
        <v>2725</v>
      </c>
      <c r="M76" s="39" t="s">
        <v>2703</v>
      </c>
      <c r="N76" s="39" t="s">
        <v>2703</v>
      </c>
      <c r="O76" s="39" t="s">
        <v>2725</v>
      </c>
      <c r="P76" s="39" t="s">
        <v>2703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2757</v>
      </c>
      <c r="H77" s="38" t="s">
        <v>2708</v>
      </c>
      <c r="I77" s="39" t="s">
        <v>2704</v>
      </c>
      <c r="J77" s="39" t="s">
        <v>2705</v>
      </c>
      <c r="K77" s="39" t="s">
        <v>2704</v>
      </c>
      <c r="L77" s="39" t="s">
        <v>2721</v>
      </c>
      <c r="M77" s="39" t="s">
        <v>2708</v>
      </c>
      <c r="N77" s="39" t="s">
        <v>2708</v>
      </c>
      <c r="O77" s="39" t="s">
        <v>2708</v>
      </c>
      <c r="P77" s="39" t="s">
        <v>2708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2758</v>
      </c>
      <c r="C78" s="36">
        <v>46203</v>
      </c>
      <c r="D78" s="37">
        <v>0.75</v>
      </c>
      <c r="E78" s="19"/>
      <c r="F78" s="19"/>
      <c r="G78" s="19" t="s">
        <v>2757</v>
      </c>
      <c r="H78" s="38" t="s">
        <v>2718</v>
      </c>
      <c r="I78" s="39" t="s">
        <v>2708</v>
      </c>
      <c r="J78" s="39" t="s">
        <v>2718</v>
      </c>
      <c r="K78" s="39" t="s">
        <v>2718</v>
      </c>
      <c r="L78" s="39" t="s">
        <v>2867</v>
      </c>
      <c r="M78" s="39" t="s">
        <v>2721</v>
      </c>
      <c r="N78" s="39" t="s">
        <v>2708</v>
      </c>
      <c r="O78" s="39" t="s">
        <v>2708</v>
      </c>
      <c r="P78" s="39" t="s">
        <v>2708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2757</v>
      </c>
      <c r="H79" s="38" t="s">
        <v>2725</v>
      </c>
      <c r="I79" s="39" t="s">
        <v>2705</v>
      </c>
      <c r="J79" s="39" t="s">
        <v>2713</v>
      </c>
      <c r="K79" s="39" t="s">
        <v>2725</v>
      </c>
      <c r="L79" s="39" t="s">
        <v>2705</v>
      </c>
      <c r="M79" s="39" t="s">
        <v>2713</v>
      </c>
      <c r="N79" s="39" t="s">
        <v>2725</v>
      </c>
      <c r="O79" s="39" t="s">
        <v>2725</v>
      </c>
      <c r="P79" s="39" t="s">
        <v>2703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58</v>
      </c>
      <c r="B80" s="19" t="s">
        <v>2861</v>
      </c>
      <c r="C80" s="36">
        <v>46204</v>
      </c>
      <c r="D80" s="37">
        <v>8.3333333333333329E-2</v>
      </c>
      <c r="E80" s="19"/>
      <c r="F80" s="19"/>
      <c r="G80" s="19" t="s">
        <v>2757</v>
      </c>
      <c r="H80" s="38" t="s">
        <v>2703</v>
      </c>
      <c r="I80" s="39" t="s">
        <v>2704</v>
      </c>
      <c r="J80" s="39" t="s">
        <v>2703</v>
      </c>
      <c r="K80" s="39" t="s">
        <v>2704</v>
      </c>
      <c r="L80" s="39" t="s">
        <v>2703</v>
      </c>
      <c r="M80" s="39" t="s">
        <v>2708</v>
      </c>
      <c r="N80" s="39" t="s">
        <v>2706</v>
      </c>
      <c r="O80" s="39" t="s">
        <v>2704</v>
      </c>
      <c r="P80" s="39" t="s">
        <v>2706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57</v>
      </c>
      <c r="B81" s="19" t="s">
        <v>2862</v>
      </c>
      <c r="C81" s="36">
        <v>46204</v>
      </c>
      <c r="D81" s="37">
        <v>0.70833333333333337</v>
      </c>
      <c r="E81" s="19"/>
      <c r="F81" s="19"/>
      <c r="G81" s="19" t="s">
        <v>2757</v>
      </c>
      <c r="H81" s="38" t="s">
        <v>2704</v>
      </c>
      <c r="I81" s="39" t="s">
        <v>2705</v>
      </c>
      <c r="J81" s="39" t="s">
        <v>2725</v>
      </c>
      <c r="K81" s="39" t="s">
        <v>2704</v>
      </c>
      <c r="L81" s="39" t="s">
        <v>2708</v>
      </c>
      <c r="M81" s="39" t="s">
        <v>2703</v>
      </c>
      <c r="N81" s="39" t="s">
        <v>2706</v>
      </c>
      <c r="O81" s="39" t="s">
        <v>2703</v>
      </c>
      <c r="P81" s="39" t="s">
        <v>2703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56</v>
      </c>
      <c r="B82" s="19" t="s">
        <v>2863</v>
      </c>
      <c r="C82" s="36">
        <v>46204</v>
      </c>
      <c r="D82" s="37">
        <v>0.875</v>
      </c>
      <c r="E82" s="19"/>
      <c r="F82" s="19"/>
      <c r="G82" s="19" t="s">
        <v>2757</v>
      </c>
      <c r="H82" s="38" t="s">
        <v>2721</v>
      </c>
      <c r="I82" s="39" t="s">
        <v>2721</v>
      </c>
      <c r="J82" s="39" t="s">
        <v>2706</v>
      </c>
      <c r="K82" s="39" t="s">
        <v>2704</v>
      </c>
      <c r="L82" s="39" t="s">
        <v>2704</v>
      </c>
      <c r="M82" s="39" t="s">
        <v>2708</v>
      </c>
      <c r="N82" s="39" t="s">
        <v>2704</v>
      </c>
      <c r="O82" s="39" t="s">
        <v>2708</v>
      </c>
      <c r="P82" s="39" t="s">
        <v>2708</v>
      </c>
      <c r="Q82" s="3" t="str">
        <f t="shared" si="19"/>
        <v>D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str">
        <f t="shared" si="28"/>
        <v>W</v>
      </c>
      <c r="AA82" s="3" t="str">
        <f t="shared" si="29"/>
        <v>L</v>
      </c>
      <c r="AB82" s="3" t="str">
        <f t="shared" si="30"/>
        <v>L</v>
      </c>
      <c r="AC82" s="3" t="str">
        <f t="shared" si="31"/>
        <v>L</v>
      </c>
      <c r="AD82" s="3" t="str">
        <f t="shared" si="32"/>
        <v>D</v>
      </c>
      <c r="AE82" s="3" t="str">
        <f t="shared" si="33"/>
        <v>L</v>
      </c>
      <c r="AF82" s="3" t="str">
        <f t="shared" si="34"/>
        <v>D</v>
      </c>
      <c r="AG82" s="3" t="str">
        <f t="shared" si="35"/>
        <v>D</v>
      </c>
    </row>
    <row r="83" spans="1:33" x14ac:dyDescent="0.25">
      <c r="A83" s="28" t="s">
        <v>52</v>
      </c>
      <c r="B83" s="19" t="s">
        <v>2759</v>
      </c>
      <c r="C83" s="36">
        <v>46205</v>
      </c>
      <c r="D83" s="37">
        <v>4.1666666666666664E-2</v>
      </c>
      <c r="E83" s="19"/>
      <c r="F83" s="19"/>
      <c r="G83" s="19" t="s">
        <v>2757</v>
      </c>
      <c r="H83" s="38" t="s">
        <v>2703</v>
      </c>
      <c r="I83" s="39" t="s">
        <v>2704</v>
      </c>
      <c r="J83" s="39" t="s">
        <v>2705</v>
      </c>
      <c r="K83" s="39" t="s">
        <v>2705</v>
      </c>
      <c r="L83" s="39" t="s">
        <v>2725</v>
      </c>
      <c r="M83" s="39" t="s">
        <v>2725</v>
      </c>
      <c r="N83" s="39" t="s">
        <v>2703</v>
      </c>
      <c r="O83" s="39" t="s">
        <v>2704</v>
      </c>
      <c r="P83" s="39" t="s">
        <v>2703</v>
      </c>
      <c r="Q83" s="3" t="str">
        <f t="shared" si="19"/>
        <v>H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str">
        <f t="shared" si="28"/>
        <v>D</v>
      </c>
      <c r="AA83" s="3" t="str">
        <f t="shared" si="29"/>
        <v>D</v>
      </c>
      <c r="AB83" s="3" t="str">
        <f t="shared" si="30"/>
        <v>D</v>
      </c>
      <c r="AC83" s="3" t="str">
        <f t="shared" si="31"/>
        <v>D</v>
      </c>
      <c r="AD83" s="3" t="str">
        <f t="shared" si="32"/>
        <v>D</v>
      </c>
      <c r="AE83" s="3" t="str">
        <f t="shared" si="33"/>
        <v>W</v>
      </c>
      <c r="AF83" s="3" t="str">
        <f t="shared" si="34"/>
        <v>D</v>
      </c>
      <c r="AG83" s="3" t="str">
        <f t="shared" si="35"/>
        <v>W</v>
      </c>
    </row>
    <row r="84" spans="1:33" x14ac:dyDescent="0.25">
      <c r="A84" s="28" t="s">
        <v>51</v>
      </c>
      <c r="B84" s="19" t="s">
        <v>2864</v>
      </c>
      <c r="C84" s="36">
        <v>46205</v>
      </c>
      <c r="D84" s="37">
        <v>0.83333333333333337</v>
      </c>
      <c r="E84" s="19"/>
      <c r="F84" s="19"/>
      <c r="G84" s="19" t="s">
        <v>2757</v>
      </c>
      <c r="H84" s="38"/>
      <c r="I84" s="39" t="s">
        <v>2703</v>
      </c>
      <c r="J84" s="39" t="s">
        <v>2729</v>
      </c>
      <c r="K84" s="39" t="s">
        <v>2703</v>
      </c>
      <c r="L84" s="39" t="s">
        <v>2725</v>
      </c>
      <c r="M84" s="39" t="s">
        <v>2725</v>
      </c>
      <c r="N84" s="39" t="s">
        <v>2703</v>
      </c>
      <c r="O84" s="39" t="s">
        <v>2703</v>
      </c>
      <c r="P84" s="39" t="s">
        <v>2703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49</v>
      </c>
      <c r="B85" s="19" t="s">
        <v>2865</v>
      </c>
      <c r="C85" s="36">
        <v>46205</v>
      </c>
      <c r="D85" s="37">
        <v>0</v>
      </c>
      <c r="E85" s="19"/>
      <c r="F85" s="19"/>
      <c r="G85" s="19" t="s">
        <v>2757</v>
      </c>
      <c r="H85" s="38"/>
      <c r="I85" s="39" t="s">
        <v>2708</v>
      </c>
      <c r="J85" s="39" t="s">
        <v>2718</v>
      </c>
      <c r="K85" s="39" t="s">
        <v>2708</v>
      </c>
      <c r="L85" s="39" t="s">
        <v>2718</v>
      </c>
      <c r="M85" s="39" t="s">
        <v>2708</v>
      </c>
      <c r="N85" s="39" t="s">
        <v>2708</v>
      </c>
      <c r="O85" s="39" t="s">
        <v>2708</v>
      </c>
      <c r="P85" s="39" t="s">
        <v>2706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47</v>
      </c>
      <c r="B86" s="19" t="s">
        <v>2868</v>
      </c>
      <c r="C86" s="36">
        <v>46206</v>
      </c>
      <c r="D86" s="37">
        <v>0.16666666666666666</v>
      </c>
      <c r="E86" s="19"/>
      <c r="F86" s="19"/>
      <c r="G86" s="19" t="s">
        <v>2757</v>
      </c>
      <c r="H86" s="38"/>
      <c r="I86" s="39" t="s">
        <v>2704</v>
      </c>
      <c r="J86" s="39" t="s">
        <v>2703</v>
      </c>
      <c r="K86" s="39" t="s">
        <v>2718</v>
      </c>
      <c r="L86" s="39" t="s">
        <v>2705</v>
      </c>
      <c r="M86" s="39" t="s">
        <v>2706</v>
      </c>
      <c r="N86" s="39" t="s">
        <v>2706</v>
      </c>
      <c r="O86" s="39" t="s">
        <v>2706</v>
      </c>
      <c r="P86" s="39" t="s">
        <v>2708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2757</v>
      </c>
      <c r="H87" s="38"/>
      <c r="I87" s="39" t="s">
        <v>2708</v>
      </c>
      <c r="J87" s="39" t="s">
        <v>2706</v>
      </c>
      <c r="K87" s="39" t="s">
        <v>2706</v>
      </c>
      <c r="L87" s="39" t="s">
        <v>2721</v>
      </c>
      <c r="M87" s="39" t="s">
        <v>2731</v>
      </c>
      <c r="N87" s="39" t="s">
        <v>2708</v>
      </c>
      <c r="O87" s="39" t="s">
        <v>2718</v>
      </c>
      <c r="P87" s="39" t="s">
        <v>2731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36</v>
      </c>
      <c r="B88" s="19" t="s">
        <v>37</v>
      </c>
      <c r="C88" s="36">
        <v>46206</v>
      </c>
      <c r="D88" s="37">
        <v>0.95833333333333337</v>
      </c>
      <c r="E88" s="19"/>
      <c r="F88" s="19"/>
      <c r="G88" s="19" t="s">
        <v>2757</v>
      </c>
      <c r="H88" s="38"/>
      <c r="I88" s="39" t="s">
        <v>2729</v>
      </c>
      <c r="J88" s="39" t="s">
        <v>2725</v>
      </c>
      <c r="K88" s="39" t="s">
        <v>2725</v>
      </c>
      <c r="L88" s="39" t="s">
        <v>2727</v>
      </c>
      <c r="M88" s="39" t="s">
        <v>2704</v>
      </c>
      <c r="N88" s="39" t="s">
        <v>2725</v>
      </c>
      <c r="O88" s="39" t="s">
        <v>2703</v>
      </c>
      <c r="P88" s="39" t="s">
        <v>2703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34</v>
      </c>
      <c r="B89" s="19" t="s">
        <v>2866</v>
      </c>
      <c r="C89" s="36">
        <v>46207</v>
      </c>
      <c r="D89" s="37">
        <v>0.10416666666666667</v>
      </c>
      <c r="E89" s="19"/>
      <c r="F89" s="19"/>
      <c r="G89" s="19" t="s">
        <v>2757</v>
      </c>
      <c r="H89" s="38"/>
      <c r="I89" s="39" t="s">
        <v>2704</v>
      </c>
      <c r="J89" s="39" t="s">
        <v>2706</v>
      </c>
      <c r="K89" s="39" t="s">
        <v>2731</v>
      </c>
      <c r="L89" s="39" t="s">
        <v>2704</v>
      </c>
      <c r="M89" s="39" t="s">
        <v>2711</v>
      </c>
      <c r="N89" s="39" t="s">
        <v>2704</v>
      </c>
      <c r="O89" s="39" t="s">
        <v>2704</v>
      </c>
      <c r="P89" s="39" t="s">
        <v>2706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32</v>
      </c>
      <c r="B90" s="19" t="s">
        <v>2871</v>
      </c>
      <c r="C90" s="36">
        <v>46207</v>
      </c>
      <c r="D90" s="37">
        <v>0.75</v>
      </c>
      <c r="E90" s="19"/>
      <c r="F90" s="19"/>
      <c r="G90" s="19" t="s">
        <v>2760</v>
      </c>
      <c r="H90" s="38"/>
      <c r="I90" s="39" t="s">
        <v>2716</v>
      </c>
      <c r="J90" s="39" t="s">
        <v>2711</v>
      </c>
      <c r="K90" s="39" t="s">
        <v>2711</v>
      </c>
      <c r="L90" s="39" t="s">
        <v>2721</v>
      </c>
      <c r="M90" s="39" t="s">
        <v>2708</v>
      </c>
      <c r="N90" s="39"/>
      <c r="O90" s="39" t="s">
        <v>2708</v>
      </c>
      <c r="P90" s="39" t="s">
        <v>2711</v>
      </c>
      <c r="Q90" s="3" t="e">
        <f t="shared" si="19"/>
        <v>#VALUE!</v>
      </c>
      <c r="R90" s="3" t="str">
        <f t="shared" si="20"/>
        <v>A</v>
      </c>
      <c r="S90" s="3" t="str">
        <f t="shared" si="21"/>
        <v>A</v>
      </c>
      <c r="T90" s="3" t="str">
        <f t="shared" si="22"/>
        <v>A</v>
      </c>
      <c r="U90" s="3" t="str">
        <f t="shared" si="23"/>
        <v>D</v>
      </c>
      <c r="V90" s="3" t="str">
        <f t="shared" si="24"/>
        <v>D</v>
      </c>
      <c r="W90" s="3" t="e">
        <f t="shared" si="25"/>
        <v>#VALUE!</v>
      </c>
      <c r="X90" s="3" t="str">
        <f t="shared" si="26"/>
        <v>D</v>
      </c>
      <c r="Y90" s="3" t="str">
        <f t="shared" si="27"/>
        <v>A</v>
      </c>
      <c r="Z90" s="3" t="e">
        <f t="shared" si="28"/>
        <v>#VALUE!</v>
      </c>
      <c r="AA90" s="3" t="e">
        <f t="shared" si="29"/>
        <v>#VALUE!</v>
      </c>
      <c r="AB90" s="3" t="e">
        <f t="shared" si="30"/>
        <v>#VALUE!</v>
      </c>
      <c r="AC90" s="3" t="e">
        <f t="shared" si="31"/>
        <v>#VALUE!</v>
      </c>
      <c r="AD90" s="3" t="e">
        <f t="shared" si="32"/>
        <v>#VALUE!</v>
      </c>
      <c r="AE90" s="3" t="str">
        <f t="shared" si="33"/>
        <v/>
      </c>
      <c r="AF90" s="3" t="e">
        <f t="shared" si="34"/>
        <v>#VALUE!</v>
      </c>
      <c r="AG90" s="3" t="e">
        <f t="shared" si="35"/>
        <v>#VALUE!</v>
      </c>
    </row>
    <row r="91" spans="1:33" x14ac:dyDescent="0.25">
      <c r="A91" s="28" t="s">
        <v>31</v>
      </c>
      <c r="B91" s="19" t="s">
        <v>2873</v>
      </c>
      <c r="C91" s="36">
        <v>46207</v>
      </c>
      <c r="D91" s="37">
        <v>0.91666666666666663</v>
      </c>
      <c r="E91" s="19"/>
      <c r="F91" s="19"/>
      <c r="G91" s="19" t="s">
        <v>2760</v>
      </c>
      <c r="H91" s="38"/>
      <c r="I91" s="39" t="s">
        <v>2737</v>
      </c>
      <c r="J91" s="39" t="s">
        <v>2738</v>
      </c>
      <c r="K91" s="39" t="s">
        <v>2725</v>
      </c>
      <c r="L91" s="39" t="s">
        <v>2716</v>
      </c>
      <c r="M91" s="39" t="s">
        <v>2725</v>
      </c>
      <c r="N91" s="39"/>
      <c r="O91" s="39" t="s">
        <v>2715</v>
      </c>
      <c r="P91" s="39" t="s">
        <v>2715</v>
      </c>
      <c r="Q91" s="3" t="e">
        <f t="shared" si="19"/>
        <v>#VALUE!</v>
      </c>
      <c r="R91" s="3" t="str">
        <f t="shared" si="20"/>
        <v>A</v>
      </c>
      <c r="S91" s="3" t="str">
        <f t="shared" si="21"/>
        <v>A</v>
      </c>
      <c r="T91" s="3" t="str">
        <f t="shared" si="22"/>
        <v>H</v>
      </c>
      <c r="U91" s="3" t="str">
        <f t="shared" si="23"/>
        <v>A</v>
      </c>
      <c r="V91" s="3" t="str">
        <f t="shared" si="24"/>
        <v>H</v>
      </c>
      <c r="W91" s="3" t="e">
        <f t="shared" si="25"/>
        <v>#VALUE!</v>
      </c>
      <c r="X91" s="3" t="str">
        <f t="shared" si="26"/>
        <v>A</v>
      </c>
      <c r="Y91" s="3" t="str">
        <f t="shared" si="27"/>
        <v>A</v>
      </c>
      <c r="Z91" s="3" t="e">
        <f t="shared" si="28"/>
        <v>#VALUE!</v>
      </c>
      <c r="AA91" s="3" t="e">
        <f t="shared" si="29"/>
        <v>#VALUE!</v>
      </c>
      <c r="AB91" s="3" t="e">
        <f t="shared" si="30"/>
        <v>#VALUE!</v>
      </c>
      <c r="AC91" s="3" t="e">
        <f t="shared" si="31"/>
        <v>#VALUE!</v>
      </c>
      <c r="AD91" s="3" t="e">
        <f t="shared" si="32"/>
        <v>#VALUE!</v>
      </c>
      <c r="AE91" s="3" t="str">
        <f t="shared" si="33"/>
        <v/>
      </c>
      <c r="AF91" s="3" t="e">
        <f t="shared" si="34"/>
        <v>#VALUE!</v>
      </c>
      <c r="AG91" s="3" t="e">
        <f t="shared" si="35"/>
        <v>#VALUE!</v>
      </c>
    </row>
    <row r="92" spans="1:33" x14ac:dyDescent="0.25">
      <c r="A92" s="28" t="s">
        <v>30</v>
      </c>
      <c r="B92" s="19" t="s">
        <v>2872</v>
      </c>
      <c r="C92" s="36">
        <v>46208</v>
      </c>
      <c r="D92" s="37">
        <v>0.875</v>
      </c>
      <c r="E92" s="19"/>
      <c r="F92" s="19"/>
      <c r="G92" s="19" t="s">
        <v>2760</v>
      </c>
      <c r="H92" s="38"/>
      <c r="I92" s="39" t="s">
        <v>2721</v>
      </c>
      <c r="J92" s="39" t="s">
        <v>2721</v>
      </c>
      <c r="K92" s="39" t="s">
        <v>2704</v>
      </c>
      <c r="L92" s="39" t="s">
        <v>2741</v>
      </c>
      <c r="M92" s="39" t="s">
        <v>2708</v>
      </c>
      <c r="N92" s="39" t="s">
        <v>2708</v>
      </c>
      <c r="O92" s="39" t="s">
        <v>2704</v>
      </c>
      <c r="P92" s="39" t="s">
        <v>2708</v>
      </c>
      <c r="Q92" s="3" t="e">
        <f t="shared" si="19"/>
        <v>#VALUE!</v>
      </c>
      <c r="R92" s="3" t="str">
        <f t="shared" si="20"/>
        <v>D</v>
      </c>
      <c r="S92" s="3" t="str">
        <f t="shared" si="21"/>
        <v>D</v>
      </c>
      <c r="T92" s="3" t="str">
        <f t="shared" si="22"/>
        <v>H</v>
      </c>
      <c r="U92" s="3" t="str">
        <f t="shared" si="23"/>
        <v>H</v>
      </c>
      <c r="V92" s="3" t="str">
        <f t="shared" si="24"/>
        <v>D</v>
      </c>
      <c r="W92" s="3" t="str">
        <f t="shared" si="25"/>
        <v>D</v>
      </c>
      <c r="X92" s="3" t="str">
        <f t="shared" si="26"/>
        <v>H</v>
      </c>
      <c r="Y92" s="3" t="str">
        <f t="shared" si="27"/>
        <v>D</v>
      </c>
      <c r="Z92" s="3" t="e">
        <f t="shared" si="28"/>
        <v>#VALUE!</v>
      </c>
      <c r="AA92" s="3" t="e">
        <f t="shared" si="29"/>
        <v>#VALUE!</v>
      </c>
      <c r="AB92" s="3" t="e">
        <f t="shared" si="30"/>
        <v>#VALUE!</v>
      </c>
      <c r="AC92" s="3" t="e">
        <f t="shared" si="31"/>
        <v>#VALUE!</v>
      </c>
      <c r="AD92" s="3" t="e">
        <f t="shared" si="32"/>
        <v>#VALUE!</v>
      </c>
      <c r="AE92" s="3" t="e">
        <f t="shared" si="33"/>
        <v>#VALUE!</v>
      </c>
      <c r="AF92" s="3" t="e">
        <f t="shared" si="34"/>
        <v>#VALUE!</v>
      </c>
      <c r="AG92" s="3" t="e">
        <f t="shared" si="35"/>
        <v>#VALUE!</v>
      </c>
    </row>
    <row r="93" spans="1:33" x14ac:dyDescent="0.25">
      <c r="A93" s="28" t="s">
        <v>29</v>
      </c>
      <c r="B93" s="19" t="s">
        <v>2874</v>
      </c>
      <c r="C93" s="36">
        <v>46209</v>
      </c>
      <c r="D93" s="37">
        <v>4.1666666666666664E-2</v>
      </c>
      <c r="E93" s="19"/>
      <c r="F93" s="19"/>
      <c r="G93" s="19" t="s">
        <v>2760</v>
      </c>
      <c r="H93" s="38"/>
      <c r="I93" s="39" t="s">
        <v>2721</v>
      </c>
      <c r="J93" s="39" t="s">
        <v>2718</v>
      </c>
      <c r="K93" s="39" t="s">
        <v>2708</v>
      </c>
      <c r="L93" s="39" t="s">
        <v>2867</v>
      </c>
      <c r="M93" s="39" t="s">
        <v>2706</v>
      </c>
      <c r="N93" s="39" t="s">
        <v>2708</v>
      </c>
      <c r="O93" s="39" t="s">
        <v>2708</v>
      </c>
      <c r="P93" s="39" t="s">
        <v>2708</v>
      </c>
      <c r="Q93" s="3" t="e">
        <f t="shared" si="19"/>
        <v>#VALUE!</v>
      </c>
      <c r="R93" s="3" t="str">
        <f t="shared" si="20"/>
        <v>D</v>
      </c>
      <c r="S93" s="3" t="str">
        <f t="shared" si="21"/>
        <v>A</v>
      </c>
      <c r="T93" s="3" t="str">
        <f t="shared" si="22"/>
        <v>D</v>
      </c>
      <c r="U93" s="3" t="str">
        <f t="shared" si="23"/>
        <v>A</v>
      </c>
      <c r="V93" s="3" t="str">
        <f t="shared" si="24"/>
        <v>H</v>
      </c>
      <c r="W93" s="3" t="str">
        <f t="shared" si="25"/>
        <v>D</v>
      </c>
      <c r="X93" s="3" t="str">
        <f t="shared" si="26"/>
        <v>D</v>
      </c>
      <c r="Y93" s="3" t="str">
        <f t="shared" si="27"/>
        <v>D</v>
      </c>
      <c r="Z93" s="3" t="e">
        <f t="shared" si="28"/>
        <v>#VALUE!</v>
      </c>
      <c r="AA93" s="3" t="e">
        <f t="shared" si="29"/>
        <v>#VALUE!</v>
      </c>
      <c r="AB93" s="3" t="e">
        <f t="shared" si="30"/>
        <v>#VALUE!</v>
      </c>
      <c r="AC93" s="3" t="e">
        <f t="shared" si="31"/>
        <v>#VALUE!</v>
      </c>
      <c r="AD93" s="3" t="e">
        <f t="shared" si="32"/>
        <v>#VALUE!</v>
      </c>
      <c r="AE93" s="3" t="e">
        <f t="shared" si="33"/>
        <v>#VALUE!</v>
      </c>
      <c r="AF93" s="3" t="e">
        <f t="shared" si="34"/>
        <v>#VALUE!</v>
      </c>
      <c r="AG93" s="3" t="e">
        <f t="shared" si="35"/>
        <v>#VALUE!</v>
      </c>
    </row>
    <row r="94" spans="1:33" x14ac:dyDescent="0.25">
      <c r="A94" s="28" t="s">
        <v>28</v>
      </c>
      <c r="B94" s="19" t="s">
        <v>2877</v>
      </c>
      <c r="C94" s="36">
        <v>46209</v>
      </c>
      <c r="D94" s="37">
        <v>0.83333333333333337</v>
      </c>
      <c r="E94" s="19"/>
      <c r="F94" s="19"/>
      <c r="G94" s="19" t="s">
        <v>2760</v>
      </c>
      <c r="H94" s="38"/>
      <c r="I94" s="39" t="s">
        <v>2867</v>
      </c>
      <c r="J94" s="39" t="s">
        <v>2708</v>
      </c>
      <c r="K94" s="39" t="s">
        <v>2711</v>
      </c>
      <c r="L94" s="39" t="s">
        <v>2717</v>
      </c>
      <c r="M94" s="39" t="s">
        <v>2715</v>
      </c>
      <c r="N94" s="39" t="s">
        <v>2718</v>
      </c>
      <c r="O94" s="39" t="s">
        <v>2718</v>
      </c>
      <c r="P94" s="39" t="s">
        <v>2718</v>
      </c>
      <c r="Q94" s="3" t="e">
        <f t="shared" si="19"/>
        <v>#VALUE!</v>
      </c>
      <c r="R94" s="3" t="str">
        <f t="shared" si="20"/>
        <v>A</v>
      </c>
      <c r="S94" s="3" t="str">
        <f t="shared" si="21"/>
        <v>D</v>
      </c>
      <c r="T94" s="3" t="str">
        <f t="shared" si="22"/>
        <v>A</v>
      </c>
      <c r="U94" s="3" t="str">
        <f t="shared" si="23"/>
        <v>A</v>
      </c>
      <c r="V94" s="3" t="str">
        <f t="shared" si="24"/>
        <v>A</v>
      </c>
      <c r="W94" s="3" t="str">
        <f t="shared" si="25"/>
        <v>A</v>
      </c>
      <c r="X94" s="3" t="str">
        <f t="shared" si="26"/>
        <v>A</v>
      </c>
      <c r="Y94" s="3" t="str">
        <f t="shared" si="27"/>
        <v>A</v>
      </c>
      <c r="Z94" s="3" t="e">
        <f t="shared" si="28"/>
        <v>#VALUE!</v>
      </c>
      <c r="AA94" s="3" t="e">
        <f t="shared" si="29"/>
        <v>#VALUE!</v>
      </c>
      <c r="AB94" s="3" t="e">
        <f t="shared" si="30"/>
        <v>#VALUE!</v>
      </c>
      <c r="AC94" s="3" t="e">
        <f t="shared" si="31"/>
        <v>#VALUE!</v>
      </c>
      <c r="AD94" s="3" t="e">
        <f t="shared" si="32"/>
        <v>#VALUE!</v>
      </c>
      <c r="AE94" s="3" t="e">
        <f t="shared" si="33"/>
        <v>#VALUE!</v>
      </c>
      <c r="AF94" s="3" t="e">
        <f t="shared" si="34"/>
        <v>#VALUE!</v>
      </c>
      <c r="AG94" s="3" t="e">
        <f t="shared" si="35"/>
        <v>#VALUE!</v>
      </c>
    </row>
    <row r="95" spans="1:33" x14ac:dyDescent="0.25">
      <c r="A95" s="28" t="s">
        <v>26</v>
      </c>
      <c r="B95" s="19" t="s">
        <v>2878</v>
      </c>
      <c r="C95" s="36">
        <v>46210</v>
      </c>
      <c r="D95" s="37">
        <v>4.1666666666666664E-2</v>
      </c>
      <c r="E95" s="19"/>
      <c r="F95" s="19"/>
      <c r="G95" s="19" t="s">
        <v>2760</v>
      </c>
      <c r="H95" s="38"/>
      <c r="I95" s="39" t="s">
        <v>2867</v>
      </c>
      <c r="J95" s="39" t="s">
        <v>2705</v>
      </c>
      <c r="K95" s="39" t="s">
        <v>2704</v>
      </c>
      <c r="L95" s="39" t="s">
        <v>2704</v>
      </c>
      <c r="M95" s="39" t="s">
        <v>2703</v>
      </c>
      <c r="N95" s="39" t="s">
        <v>2708</v>
      </c>
      <c r="O95" s="39" t="s">
        <v>2708</v>
      </c>
      <c r="P95" s="39" t="s">
        <v>2708</v>
      </c>
      <c r="Q95" s="3" t="e">
        <f t="shared" si="19"/>
        <v>#VALUE!</v>
      </c>
      <c r="R95" s="3" t="str">
        <f t="shared" si="20"/>
        <v>A</v>
      </c>
      <c r="S95" s="3" t="str">
        <f t="shared" si="21"/>
        <v>H</v>
      </c>
      <c r="T95" s="3" t="str">
        <f t="shared" si="22"/>
        <v>H</v>
      </c>
      <c r="U95" s="3" t="str">
        <f t="shared" si="23"/>
        <v>H</v>
      </c>
      <c r="V95" s="3" t="str">
        <f t="shared" si="24"/>
        <v>H</v>
      </c>
      <c r="W95" s="3" t="str">
        <f t="shared" si="25"/>
        <v>D</v>
      </c>
      <c r="X95" s="3" t="str">
        <f t="shared" si="26"/>
        <v>D</v>
      </c>
      <c r="Y95" s="3" t="str">
        <f t="shared" si="27"/>
        <v>D</v>
      </c>
      <c r="Z95" s="3" t="e">
        <f t="shared" si="28"/>
        <v>#VALUE!</v>
      </c>
      <c r="AA95" s="3" t="e">
        <f t="shared" si="29"/>
        <v>#VALUE!</v>
      </c>
      <c r="AB95" s="3" t="e">
        <f t="shared" si="30"/>
        <v>#VALUE!</v>
      </c>
      <c r="AC95" s="3" t="e">
        <f t="shared" si="31"/>
        <v>#VALUE!</v>
      </c>
      <c r="AD95" s="3" t="e">
        <f t="shared" si="32"/>
        <v>#VALUE!</v>
      </c>
      <c r="AE95" s="3" t="e">
        <f t="shared" si="33"/>
        <v>#VALUE!</v>
      </c>
      <c r="AF95" s="3" t="e">
        <f t="shared" si="34"/>
        <v>#VALUE!</v>
      </c>
      <c r="AG95" s="3" t="e">
        <f t="shared" si="35"/>
        <v>#VALUE!</v>
      </c>
    </row>
    <row r="96" spans="1:33" x14ac:dyDescent="0.25">
      <c r="A96" s="28" t="s">
        <v>24</v>
      </c>
      <c r="B96" s="63" t="s">
        <v>2880</v>
      </c>
      <c r="C96" s="36">
        <v>46210</v>
      </c>
      <c r="D96" s="37">
        <v>0.70833333333333337</v>
      </c>
      <c r="E96" s="19"/>
      <c r="F96" s="19"/>
      <c r="G96" s="19" t="s">
        <v>2760</v>
      </c>
      <c r="H96" s="38"/>
      <c r="I96" s="39" t="s">
        <v>2704</v>
      </c>
      <c r="J96" s="39" t="s">
        <v>2713</v>
      </c>
      <c r="K96" s="39" t="s">
        <v>2725</v>
      </c>
      <c r="L96" s="39" t="s">
        <v>2729</v>
      </c>
      <c r="M96" s="39" t="s">
        <v>2706</v>
      </c>
      <c r="N96" s="39" t="s">
        <v>2703</v>
      </c>
      <c r="O96" s="39" t="s">
        <v>2703</v>
      </c>
      <c r="P96" s="39" t="s">
        <v>2703</v>
      </c>
      <c r="Q96" s="3" t="e">
        <f t="shared" si="19"/>
        <v>#VALUE!</v>
      </c>
      <c r="R96" s="3" t="str">
        <f t="shared" si="20"/>
        <v>H</v>
      </c>
      <c r="S96" s="3" t="str">
        <f t="shared" si="21"/>
        <v>H</v>
      </c>
      <c r="T96" s="3" t="str">
        <f t="shared" si="22"/>
        <v>H</v>
      </c>
      <c r="U96" s="3" t="str">
        <f t="shared" si="23"/>
        <v>H</v>
      </c>
      <c r="V96" s="3" t="str">
        <f t="shared" si="24"/>
        <v>H</v>
      </c>
      <c r="W96" s="3" t="str">
        <f t="shared" si="25"/>
        <v>H</v>
      </c>
      <c r="X96" s="3" t="str">
        <f t="shared" si="26"/>
        <v>H</v>
      </c>
      <c r="Y96" s="3" t="str">
        <f t="shared" si="27"/>
        <v>H</v>
      </c>
      <c r="Z96" s="3" t="e">
        <f t="shared" si="28"/>
        <v>#VALUE!</v>
      </c>
      <c r="AA96" s="3" t="e">
        <f t="shared" si="29"/>
        <v>#VALUE!</v>
      </c>
      <c r="AB96" s="3" t="e">
        <f t="shared" si="30"/>
        <v>#VALUE!</v>
      </c>
      <c r="AC96" s="3" t="e">
        <f t="shared" si="31"/>
        <v>#VALUE!</v>
      </c>
      <c r="AD96" s="3" t="e">
        <f t="shared" si="32"/>
        <v>#VALUE!</v>
      </c>
      <c r="AE96" s="3" t="e">
        <f t="shared" si="33"/>
        <v>#VALUE!</v>
      </c>
      <c r="AF96" s="3" t="e">
        <f t="shared" si="34"/>
        <v>#VALUE!</v>
      </c>
      <c r="AG96" s="3" t="e">
        <f t="shared" si="35"/>
        <v>#VALUE!</v>
      </c>
    </row>
    <row r="97" spans="1:33" x14ac:dyDescent="0.25">
      <c r="A97" s="28" t="s">
        <v>22</v>
      </c>
      <c r="B97" s="19" t="s">
        <v>2881</v>
      </c>
      <c r="C97" s="36">
        <v>46210</v>
      </c>
      <c r="D97" s="37">
        <v>0.875</v>
      </c>
      <c r="E97" s="19"/>
      <c r="F97" s="19"/>
      <c r="G97" s="19" t="s">
        <v>2760</v>
      </c>
      <c r="H97" s="38"/>
      <c r="I97" s="39" t="s">
        <v>2704</v>
      </c>
      <c r="J97" s="39" t="s">
        <v>2718</v>
      </c>
      <c r="K97" s="39" t="s">
        <v>2706</v>
      </c>
      <c r="L97" s="39" t="s">
        <v>2704</v>
      </c>
      <c r="M97" s="39" t="s">
        <v>2704</v>
      </c>
      <c r="N97" s="39" t="s">
        <v>2708</v>
      </c>
      <c r="O97" s="39" t="s">
        <v>2708</v>
      </c>
      <c r="P97" s="39" t="s">
        <v>2708</v>
      </c>
      <c r="Q97" s="3" t="e">
        <f t="shared" si="19"/>
        <v>#VALUE!</v>
      </c>
      <c r="R97" s="3" t="str">
        <f t="shared" si="20"/>
        <v>H</v>
      </c>
      <c r="S97" s="3" t="str">
        <f t="shared" si="21"/>
        <v>A</v>
      </c>
      <c r="T97" s="3" t="str">
        <f t="shared" si="22"/>
        <v>H</v>
      </c>
      <c r="U97" s="3" t="str">
        <f t="shared" si="23"/>
        <v>H</v>
      </c>
      <c r="V97" s="3" t="str">
        <f t="shared" si="24"/>
        <v>H</v>
      </c>
      <c r="W97" s="3" t="str">
        <f t="shared" si="25"/>
        <v>D</v>
      </c>
      <c r="X97" s="3" t="str">
        <f t="shared" si="26"/>
        <v>D</v>
      </c>
      <c r="Y97" s="3" t="str">
        <f t="shared" si="27"/>
        <v>D</v>
      </c>
      <c r="Z97" s="3" t="e">
        <f t="shared" si="28"/>
        <v>#VALUE!</v>
      </c>
      <c r="AA97" s="3" t="e">
        <f t="shared" si="29"/>
        <v>#VALUE!</v>
      </c>
      <c r="AB97" s="3" t="e">
        <f t="shared" si="30"/>
        <v>#VALUE!</v>
      </c>
      <c r="AC97" s="3" t="e">
        <f t="shared" si="31"/>
        <v>#VALUE!</v>
      </c>
      <c r="AD97" s="3" t="e">
        <f t="shared" si="32"/>
        <v>#VALUE!</v>
      </c>
      <c r="AE97" s="3" t="e">
        <f t="shared" si="33"/>
        <v>#VALUE!</v>
      </c>
      <c r="AF97" s="3" t="e">
        <f t="shared" si="34"/>
        <v>#VALUE!</v>
      </c>
      <c r="AG97" s="3" t="e">
        <f t="shared" si="35"/>
        <v>#VALUE!</v>
      </c>
    </row>
    <row r="98" spans="1:33" x14ac:dyDescent="0.25">
      <c r="A98" s="28" t="s">
        <v>20</v>
      </c>
      <c r="B98" s="19" t="s">
        <v>2883</v>
      </c>
      <c r="C98" s="36">
        <v>46212</v>
      </c>
      <c r="D98" s="37">
        <v>0.875</v>
      </c>
      <c r="E98" s="19"/>
      <c r="F98" s="19"/>
      <c r="G98" s="19" t="s">
        <v>2761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 t="s">
        <v>2885</v>
      </c>
      <c r="C99" s="36">
        <v>46213</v>
      </c>
      <c r="D99" s="37">
        <v>0.83333333333333337</v>
      </c>
      <c r="E99" s="19"/>
      <c r="F99" s="19"/>
      <c r="G99" s="19" t="s">
        <v>2761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 t="s">
        <v>2884</v>
      </c>
      <c r="C100" s="36">
        <v>46214</v>
      </c>
      <c r="D100" s="37">
        <v>0.91666666666666663</v>
      </c>
      <c r="E100" s="19"/>
      <c r="F100" s="19"/>
      <c r="G100" s="19" t="s">
        <v>2761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 t="s">
        <v>2886</v>
      </c>
      <c r="C101" s="36">
        <v>46215</v>
      </c>
      <c r="D101" s="37">
        <v>8.3333333333333329E-2</v>
      </c>
      <c r="E101" s="19"/>
      <c r="F101" s="19"/>
      <c r="G101" s="19" t="s">
        <v>2761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2762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2762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2763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2763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18" workbookViewId="0">
      <selection activeCell="G48" sqref="G48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2764</v>
      </c>
      <c r="F1" s="3" t="s">
        <v>2765</v>
      </c>
      <c r="G1" s="3" t="s">
        <v>2761</v>
      </c>
      <c r="H1" s="3" t="s">
        <v>2762</v>
      </c>
      <c r="I1" s="3" t="s">
        <v>2766</v>
      </c>
    </row>
    <row r="2" spans="1:9" x14ac:dyDescent="0.25">
      <c r="A2" s="3" t="s">
        <v>87</v>
      </c>
      <c r="B2" s="3" t="s">
        <v>2767</v>
      </c>
      <c r="C2" s="3" t="s">
        <v>2768</v>
      </c>
      <c r="D2" s="3" t="s">
        <v>2769</v>
      </c>
      <c r="E2" s="3" t="s">
        <v>2779</v>
      </c>
      <c r="F2" s="3" t="s">
        <v>2860</v>
      </c>
      <c r="G2" s="3" t="s">
        <v>2860</v>
      </c>
      <c r="H2" s="3" t="s">
        <v>2860</v>
      </c>
      <c r="I2" s="3" t="s">
        <v>2860</v>
      </c>
    </row>
    <row r="3" spans="1:9" x14ac:dyDescent="0.25">
      <c r="A3" s="3" t="s">
        <v>39</v>
      </c>
      <c r="B3" s="3" t="s">
        <v>2771</v>
      </c>
      <c r="C3" s="3" t="s">
        <v>2769</v>
      </c>
      <c r="D3" s="3" t="s">
        <v>2768</v>
      </c>
      <c r="E3" s="3" t="s">
        <v>2817</v>
      </c>
      <c r="F3" s="3" t="s">
        <v>2774</v>
      </c>
      <c r="G3" s="3" t="s">
        <v>2779</v>
      </c>
      <c r="H3" s="3" t="s">
        <v>2770</v>
      </c>
      <c r="I3" s="3" t="s">
        <v>2770</v>
      </c>
    </row>
    <row r="4" spans="1:9" x14ac:dyDescent="0.25">
      <c r="A4" s="3" t="s">
        <v>45</v>
      </c>
      <c r="B4" s="3" t="s">
        <v>2772</v>
      </c>
      <c r="C4" s="3" t="s">
        <v>2515</v>
      </c>
      <c r="D4" s="3" t="s">
        <v>2773</v>
      </c>
      <c r="E4" s="3" t="s">
        <v>2774</v>
      </c>
      <c r="F4" s="3" t="s">
        <v>2860</v>
      </c>
      <c r="G4" s="3" t="s">
        <v>2860</v>
      </c>
      <c r="H4" s="3" t="s">
        <v>2860</v>
      </c>
      <c r="I4" s="3" t="s">
        <v>2860</v>
      </c>
    </row>
    <row r="5" spans="1:9" x14ac:dyDescent="0.25">
      <c r="A5" s="3" t="s">
        <v>88</v>
      </c>
      <c r="B5" s="3" t="s">
        <v>2768</v>
      </c>
      <c r="C5" s="3" t="s">
        <v>2767</v>
      </c>
      <c r="D5" s="3" t="s">
        <v>2771</v>
      </c>
      <c r="E5" s="3" t="s">
        <v>2787</v>
      </c>
      <c r="F5" s="3" t="s">
        <v>2860</v>
      </c>
      <c r="G5" s="3" t="s">
        <v>2860</v>
      </c>
      <c r="H5" s="3" t="s">
        <v>2860</v>
      </c>
      <c r="I5" s="3" t="s">
        <v>2860</v>
      </c>
    </row>
    <row r="6" spans="1:9" x14ac:dyDescent="0.25">
      <c r="A6" s="3" t="s">
        <v>113</v>
      </c>
      <c r="B6" s="3" t="s">
        <v>2774</v>
      </c>
      <c r="C6" s="3" t="s">
        <v>2775</v>
      </c>
      <c r="D6" s="3" t="s">
        <v>2776</v>
      </c>
      <c r="E6" s="3" t="s">
        <v>2807</v>
      </c>
      <c r="F6" s="3" t="s">
        <v>2515</v>
      </c>
      <c r="G6" s="3" t="s">
        <v>2787</v>
      </c>
      <c r="H6" s="3" t="s">
        <v>2770</v>
      </c>
      <c r="I6" s="3" t="s">
        <v>2770</v>
      </c>
    </row>
    <row r="7" spans="1:9" x14ac:dyDescent="0.25">
      <c r="A7" s="3" t="s">
        <v>2777</v>
      </c>
      <c r="B7" s="3" t="s">
        <v>2778</v>
      </c>
      <c r="C7" s="3" t="s">
        <v>2779</v>
      </c>
      <c r="D7" s="3" t="s">
        <v>2780</v>
      </c>
      <c r="E7" s="3" t="s">
        <v>2515</v>
      </c>
      <c r="F7" s="3" t="s">
        <v>2860</v>
      </c>
      <c r="G7" s="3" t="s">
        <v>2860</v>
      </c>
      <c r="H7" s="3" t="s">
        <v>2860</v>
      </c>
      <c r="I7" s="3" t="s">
        <v>2860</v>
      </c>
    </row>
    <row r="8" spans="1:9" x14ac:dyDescent="0.25">
      <c r="A8" s="3" t="s">
        <v>78</v>
      </c>
      <c r="B8" s="3" t="s">
        <v>2781</v>
      </c>
      <c r="C8" s="3" t="s">
        <v>2782</v>
      </c>
      <c r="D8" s="3" t="s">
        <v>2783</v>
      </c>
      <c r="E8" s="3" t="s">
        <v>2784</v>
      </c>
      <c r="F8" s="3" t="s">
        <v>2809</v>
      </c>
      <c r="G8" s="3" t="s">
        <v>2860</v>
      </c>
      <c r="H8" s="3" t="s">
        <v>2860</v>
      </c>
      <c r="I8" s="3" t="s">
        <v>2860</v>
      </c>
    </row>
    <row r="9" spans="1:9" x14ac:dyDescent="0.25">
      <c r="A9" s="3" t="s">
        <v>83</v>
      </c>
      <c r="B9" s="3" t="s">
        <v>2785</v>
      </c>
      <c r="C9" s="3" t="s">
        <v>2780</v>
      </c>
      <c r="D9" s="3" t="s">
        <v>2779</v>
      </c>
      <c r="E9" s="3" t="s">
        <v>2786</v>
      </c>
      <c r="F9" s="3" t="s">
        <v>2781</v>
      </c>
      <c r="G9" s="3" t="s">
        <v>2860</v>
      </c>
      <c r="H9" s="3" t="s">
        <v>2860</v>
      </c>
      <c r="I9" s="3" t="s">
        <v>2860</v>
      </c>
    </row>
    <row r="10" spans="1:9" x14ac:dyDescent="0.25">
      <c r="A10" s="3" t="s">
        <v>2734</v>
      </c>
      <c r="B10" s="3" t="s">
        <v>2787</v>
      </c>
      <c r="C10" s="3" t="s">
        <v>2788</v>
      </c>
      <c r="D10" s="3" t="s">
        <v>2789</v>
      </c>
      <c r="E10" s="3" t="s">
        <v>2767</v>
      </c>
      <c r="F10" s="3" t="s">
        <v>2860</v>
      </c>
      <c r="G10" s="3" t="s">
        <v>2860</v>
      </c>
      <c r="H10" s="3" t="s">
        <v>2860</v>
      </c>
      <c r="I10" s="3" t="s">
        <v>2860</v>
      </c>
    </row>
    <row r="11" spans="1:9" x14ac:dyDescent="0.25">
      <c r="A11" s="3" t="s">
        <v>100</v>
      </c>
      <c r="B11" s="3" t="s">
        <v>2790</v>
      </c>
      <c r="C11" s="3" t="s">
        <v>2791</v>
      </c>
      <c r="D11" s="3" t="s">
        <v>2792</v>
      </c>
      <c r="E11" s="3" t="s">
        <v>2795</v>
      </c>
      <c r="F11" s="3" t="s">
        <v>2779</v>
      </c>
      <c r="G11" s="3" t="s">
        <v>2860</v>
      </c>
      <c r="H11" s="3" t="s">
        <v>2770</v>
      </c>
      <c r="I11" s="3" t="s">
        <v>2770</v>
      </c>
    </row>
    <row r="12" spans="1:9" x14ac:dyDescent="0.25">
      <c r="A12" s="3" t="s">
        <v>104</v>
      </c>
      <c r="B12" s="3" t="s">
        <v>2793</v>
      </c>
      <c r="C12" s="3" t="s">
        <v>2794</v>
      </c>
      <c r="D12" s="3" t="s">
        <v>2795</v>
      </c>
      <c r="E12" s="3" t="s">
        <v>2792</v>
      </c>
      <c r="F12" s="3" t="s">
        <v>2860</v>
      </c>
      <c r="G12" s="3" t="s">
        <v>2860</v>
      </c>
      <c r="H12" s="3" t="s">
        <v>2860</v>
      </c>
      <c r="I12" s="3" t="s">
        <v>2860</v>
      </c>
    </row>
    <row r="13" spans="1:9" x14ac:dyDescent="0.25">
      <c r="A13" s="3" t="s">
        <v>2796</v>
      </c>
      <c r="B13" s="3" t="s">
        <v>2797</v>
      </c>
      <c r="C13" s="3" t="s">
        <v>2798</v>
      </c>
      <c r="D13" s="3" t="s">
        <v>2799</v>
      </c>
      <c r="E13" s="3" t="s">
        <v>2860</v>
      </c>
      <c r="F13" s="3" t="s">
        <v>2860</v>
      </c>
      <c r="G13" s="3" t="s">
        <v>2860</v>
      </c>
      <c r="H13" s="3" t="s">
        <v>2860</v>
      </c>
      <c r="I13" s="3" t="s">
        <v>2860</v>
      </c>
    </row>
    <row r="14" spans="1:9" x14ac:dyDescent="0.25">
      <c r="A14" s="3" t="s">
        <v>152</v>
      </c>
      <c r="B14" s="3" t="s">
        <v>2800</v>
      </c>
      <c r="C14" s="3" t="s">
        <v>2786</v>
      </c>
      <c r="D14" s="3" t="s">
        <v>2801</v>
      </c>
      <c r="E14" s="3" t="s">
        <v>2860</v>
      </c>
      <c r="F14" s="3" t="s">
        <v>2860</v>
      </c>
      <c r="G14" s="3" t="s">
        <v>2860</v>
      </c>
      <c r="H14" s="3" t="s">
        <v>2860</v>
      </c>
      <c r="I14" s="3" t="s">
        <v>2860</v>
      </c>
    </row>
    <row r="15" spans="1:9" x14ac:dyDescent="0.25">
      <c r="A15" s="3" t="s">
        <v>2802</v>
      </c>
      <c r="B15" s="3" t="s">
        <v>2792</v>
      </c>
      <c r="C15" s="3" t="s">
        <v>2803</v>
      </c>
      <c r="D15" s="3" t="s">
        <v>2790</v>
      </c>
      <c r="E15" s="3" t="s">
        <v>2793</v>
      </c>
      <c r="F15" s="3" t="s">
        <v>2860</v>
      </c>
      <c r="G15" s="3" t="s">
        <v>2860</v>
      </c>
      <c r="H15" s="3" t="s">
        <v>2860</v>
      </c>
      <c r="I15" s="3" t="s">
        <v>2860</v>
      </c>
    </row>
    <row r="16" spans="1:9" x14ac:dyDescent="0.25">
      <c r="A16" s="3" t="s">
        <v>146</v>
      </c>
      <c r="B16" s="3" t="s">
        <v>2799</v>
      </c>
      <c r="C16" s="3" t="s">
        <v>2804</v>
      </c>
      <c r="D16" s="3" t="s">
        <v>2797</v>
      </c>
      <c r="E16" s="3" t="s">
        <v>2801</v>
      </c>
      <c r="F16" s="3" t="s">
        <v>2860</v>
      </c>
      <c r="G16" s="3" t="s">
        <v>2860</v>
      </c>
      <c r="H16" s="3" t="s">
        <v>2860</v>
      </c>
      <c r="I16" s="3" t="s">
        <v>2860</v>
      </c>
    </row>
    <row r="17" spans="1:9" x14ac:dyDescent="0.25">
      <c r="A17" s="3" t="s">
        <v>46</v>
      </c>
      <c r="B17" s="3" t="s">
        <v>2805</v>
      </c>
      <c r="C17" s="3" t="s">
        <v>2776</v>
      </c>
      <c r="D17" s="3" t="s">
        <v>2775</v>
      </c>
      <c r="E17" s="3" t="s">
        <v>2816</v>
      </c>
      <c r="F17" s="3" t="s">
        <v>2767</v>
      </c>
      <c r="G17" s="3" t="s">
        <v>2860</v>
      </c>
      <c r="H17" s="3" t="s">
        <v>2770</v>
      </c>
      <c r="I17" s="3" t="s">
        <v>2770</v>
      </c>
    </row>
    <row r="18" spans="1:9" x14ac:dyDescent="0.25">
      <c r="A18" s="3" t="s">
        <v>109</v>
      </c>
      <c r="B18" s="3" t="s">
        <v>2806</v>
      </c>
      <c r="C18" s="3" t="s">
        <v>2795</v>
      </c>
      <c r="D18" s="3" t="s">
        <v>2794</v>
      </c>
      <c r="E18" s="3" t="s">
        <v>2791</v>
      </c>
      <c r="F18" s="3" t="s">
        <v>2801</v>
      </c>
      <c r="G18" s="3" t="s">
        <v>2809</v>
      </c>
      <c r="H18" s="3" t="s">
        <v>2770</v>
      </c>
      <c r="I18" s="3" t="s">
        <v>2770</v>
      </c>
    </row>
    <row r="19" spans="1:9" x14ac:dyDescent="0.25">
      <c r="A19" s="3" t="s">
        <v>61</v>
      </c>
      <c r="B19" s="3" t="s">
        <v>2807</v>
      </c>
      <c r="C19" s="3" t="s">
        <v>2808</v>
      </c>
      <c r="D19" s="3" t="s">
        <v>2809</v>
      </c>
      <c r="E19" s="3" t="s">
        <v>2810</v>
      </c>
      <c r="F19" s="3" t="s">
        <v>2773</v>
      </c>
      <c r="G19" s="3" t="s">
        <v>2781</v>
      </c>
      <c r="H19" s="3" t="s">
        <v>2770</v>
      </c>
      <c r="I19" s="3" t="s">
        <v>2770</v>
      </c>
    </row>
    <row r="20" spans="1:9" x14ac:dyDescent="0.25">
      <c r="A20" s="3" t="s">
        <v>74</v>
      </c>
      <c r="B20" s="3" t="s">
        <v>2804</v>
      </c>
      <c r="C20" s="3" t="s">
        <v>2799</v>
      </c>
      <c r="D20" s="3" t="s">
        <v>2798</v>
      </c>
      <c r="E20" s="3" t="s">
        <v>2773</v>
      </c>
      <c r="F20" s="3" t="s">
        <v>2860</v>
      </c>
      <c r="G20" s="3" t="s">
        <v>2860</v>
      </c>
      <c r="H20" s="3" t="s">
        <v>2860</v>
      </c>
      <c r="I20" s="3" t="s">
        <v>2860</v>
      </c>
    </row>
    <row r="21" spans="1:9" x14ac:dyDescent="0.25">
      <c r="A21" s="3" t="s">
        <v>105</v>
      </c>
      <c r="B21" s="3" t="s">
        <v>2794</v>
      </c>
      <c r="C21" s="3" t="s">
        <v>2793</v>
      </c>
      <c r="D21" s="3" t="s">
        <v>2806</v>
      </c>
      <c r="E21" s="3" t="s">
        <v>2803</v>
      </c>
      <c r="F21" s="3" t="s">
        <v>2860</v>
      </c>
      <c r="G21" s="3" t="s">
        <v>2860</v>
      </c>
      <c r="H21" s="3" t="s">
        <v>2860</v>
      </c>
      <c r="I21" s="3" t="s">
        <v>2860</v>
      </c>
    </row>
    <row r="22" spans="1:9" x14ac:dyDescent="0.25">
      <c r="A22" s="3" t="s">
        <v>159</v>
      </c>
      <c r="B22" s="3" t="s">
        <v>2783</v>
      </c>
      <c r="C22" s="3" t="s">
        <v>2811</v>
      </c>
      <c r="D22" s="3" t="s">
        <v>2781</v>
      </c>
      <c r="E22" s="3" t="s">
        <v>2860</v>
      </c>
      <c r="F22" s="3" t="s">
        <v>2860</v>
      </c>
      <c r="G22" s="3" t="s">
        <v>2860</v>
      </c>
      <c r="H22" s="3" t="s">
        <v>2860</v>
      </c>
      <c r="I22" s="3" t="s">
        <v>2860</v>
      </c>
    </row>
    <row r="23" spans="1:9" x14ac:dyDescent="0.25">
      <c r="A23" s="3" t="s">
        <v>1530</v>
      </c>
      <c r="B23" s="3" t="s">
        <v>2776</v>
      </c>
      <c r="C23" s="3" t="s">
        <v>2805</v>
      </c>
      <c r="D23" s="3" t="s">
        <v>2774</v>
      </c>
      <c r="E23" s="3" t="s">
        <v>2860</v>
      </c>
      <c r="F23" s="3" t="s">
        <v>2860</v>
      </c>
      <c r="G23" s="3" t="s">
        <v>2860</v>
      </c>
      <c r="H23" s="3" t="s">
        <v>2860</v>
      </c>
      <c r="I23" s="3" t="s">
        <v>2860</v>
      </c>
    </row>
    <row r="24" spans="1:9" x14ac:dyDescent="0.25">
      <c r="A24" s="3" t="s">
        <v>127</v>
      </c>
      <c r="B24" s="3" t="s">
        <v>2809</v>
      </c>
      <c r="C24" s="3" t="s">
        <v>2812</v>
      </c>
      <c r="D24" s="3" t="s">
        <v>2807</v>
      </c>
      <c r="E24" s="3" t="s">
        <v>2860</v>
      </c>
      <c r="F24" s="3" t="s">
        <v>2860</v>
      </c>
      <c r="G24" s="3" t="s">
        <v>2860</v>
      </c>
      <c r="H24" s="3" t="s">
        <v>2860</v>
      </c>
      <c r="I24" s="3" t="s">
        <v>2860</v>
      </c>
    </row>
    <row r="25" spans="1:9" x14ac:dyDescent="0.25">
      <c r="A25" s="3" t="s">
        <v>2691</v>
      </c>
      <c r="B25" s="3" t="s">
        <v>2798</v>
      </c>
      <c r="C25" s="3" t="s">
        <v>2797</v>
      </c>
      <c r="D25" s="3" t="s">
        <v>2804</v>
      </c>
      <c r="E25" s="3" t="s">
        <v>2809</v>
      </c>
      <c r="F25" s="3" t="s">
        <v>2860</v>
      </c>
      <c r="G25" s="3" t="s">
        <v>2860</v>
      </c>
      <c r="H25" s="3" t="s">
        <v>2860</v>
      </c>
      <c r="I25" s="3" t="s">
        <v>2860</v>
      </c>
    </row>
    <row r="26" spans="1:9" x14ac:dyDescent="0.25">
      <c r="A26" s="3" t="s">
        <v>79</v>
      </c>
      <c r="B26" s="3" t="s">
        <v>2813</v>
      </c>
      <c r="C26" s="3" t="s">
        <v>2814</v>
      </c>
      <c r="D26" s="3" t="s">
        <v>2810</v>
      </c>
      <c r="E26" s="3" t="s">
        <v>2811</v>
      </c>
      <c r="F26" s="3" t="s">
        <v>2860</v>
      </c>
      <c r="G26" s="3" t="s">
        <v>2860</v>
      </c>
      <c r="H26" s="3" t="s">
        <v>2860</v>
      </c>
      <c r="I26" s="3" t="s">
        <v>2860</v>
      </c>
    </row>
    <row r="27" spans="1:9" x14ac:dyDescent="0.25">
      <c r="A27" s="3" t="s">
        <v>92</v>
      </c>
      <c r="B27" s="3" t="s">
        <v>2769</v>
      </c>
      <c r="C27" s="3" t="s">
        <v>2771</v>
      </c>
      <c r="D27" s="3" t="s">
        <v>2767</v>
      </c>
      <c r="E27" s="3" t="s">
        <v>2860</v>
      </c>
      <c r="F27" s="3" t="s">
        <v>2860</v>
      </c>
      <c r="G27" s="3" t="s">
        <v>2860</v>
      </c>
      <c r="H27" s="3" t="s">
        <v>2860</v>
      </c>
      <c r="I27" s="3" t="s">
        <v>2860</v>
      </c>
    </row>
    <row r="28" spans="1:9" x14ac:dyDescent="0.25">
      <c r="A28" s="3" t="s">
        <v>153</v>
      </c>
      <c r="B28" s="3" t="s">
        <v>2786</v>
      </c>
      <c r="C28" s="3" t="s">
        <v>2800</v>
      </c>
      <c r="D28" s="3" t="s">
        <v>2815</v>
      </c>
      <c r="E28" s="3" t="s">
        <v>2798</v>
      </c>
      <c r="F28" s="3" t="s">
        <v>2793</v>
      </c>
      <c r="G28" s="3" t="s">
        <v>2860</v>
      </c>
      <c r="H28" s="3" t="s">
        <v>2860</v>
      </c>
      <c r="I28" s="3" t="s">
        <v>2860</v>
      </c>
    </row>
    <row r="29" spans="1:9" x14ac:dyDescent="0.25">
      <c r="A29" s="3" t="s">
        <v>70</v>
      </c>
      <c r="B29" s="3" t="s">
        <v>2811</v>
      </c>
      <c r="C29" s="3" t="s">
        <v>2783</v>
      </c>
      <c r="D29" s="3" t="s">
        <v>2782</v>
      </c>
      <c r="E29" s="3" t="s">
        <v>2813</v>
      </c>
      <c r="F29" s="3" t="s">
        <v>2778</v>
      </c>
      <c r="G29" s="3" t="s">
        <v>2812</v>
      </c>
      <c r="H29" s="3" t="s">
        <v>2770</v>
      </c>
      <c r="I29" s="3" t="s">
        <v>2770</v>
      </c>
    </row>
    <row r="30" spans="1:9" x14ac:dyDescent="0.25">
      <c r="A30" s="3" t="s">
        <v>69</v>
      </c>
      <c r="B30" s="3" t="s">
        <v>2784</v>
      </c>
      <c r="C30" s="3" t="s">
        <v>2810</v>
      </c>
      <c r="D30" s="3" t="s">
        <v>2814</v>
      </c>
      <c r="E30" s="3" t="s">
        <v>2781</v>
      </c>
      <c r="F30" s="3" t="s">
        <v>2860</v>
      </c>
      <c r="G30" s="3" t="s">
        <v>2860</v>
      </c>
      <c r="H30" s="3" t="s">
        <v>2860</v>
      </c>
      <c r="I30" s="3" t="s">
        <v>2860</v>
      </c>
    </row>
    <row r="31" spans="1:9" x14ac:dyDescent="0.25">
      <c r="A31" s="3" t="s">
        <v>112</v>
      </c>
      <c r="B31" s="3" t="s">
        <v>2775</v>
      </c>
      <c r="C31" s="3" t="s">
        <v>2774</v>
      </c>
      <c r="D31" s="3" t="s">
        <v>2805</v>
      </c>
      <c r="E31" s="3" t="s">
        <v>2860</v>
      </c>
      <c r="F31" s="3" t="s">
        <v>2860</v>
      </c>
      <c r="G31" s="3" t="s">
        <v>2860</v>
      </c>
      <c r="H31" s="3" t="s">
        <v>2860</v>
      </c>
      <c r="I31" s="3" t="s">
        <v>2860</v>
      </c>
    </row>
    <row r="32" spans="1:9" x14ac:dyDescent="0.25">
      <c r="A32" s="3" t="s">
        <v>66</v>
      </c>
      <c r="B32" s="3" t="s">
        <v>2808</v>
      </c>
      <c r="C32" s="3" t="s">
        <v>2807</v>
      </c>
      <c r="D32" s="3" t="s">
        <v>2812</v>
      </c>
      <c r="E32" s="3" t="s">
        <v>2799</v>
      </c>
      <c r="F32" s="3" t="s">
        <v>2811</v>
      </c>
      <c r="G32" s="3" t="s">
        <v>2793</v>
      </c>
      <c r="H32" s="3" t="s">
        <v>2770</v>
      </c>
      <c r="I32" s="3" t="s">
        <v>2770</v>
      </c>
    </row>
    <row r="33" spans="1:9" x14ac:dyDescent="0.25">
      <c r="A33" s="3" t="s">
        <v>108</v>
      </c>
      <c r="B33" s="3" t="s">
        <v>2795</v>
      </c>
      <c r="C33" s="3" t="s">
        <v>2806</v>
      </c>
      <c r="D33" s="3" t="s">
        <v>2793</v>
      </c>
      <c r="E33" s="3" t="s">
        <v>2860</v>
      </c>
      <c r="F33" s="3" t="s">
        <v>2860</v>
      </c>
      <c r="G33" s="3" t="s">
        <v>2860</v>
      </c>
      <c r="H33" s="3" t="s">
        <v>2860</v>
      </c>
      <c r="I33" s="3" t="s">
        <v>2860</v>
      </c>
    </row>
    <row r="34" spans="1:9" x14ac:dyDescent="0.25">
      <c r="A34" s="3" t="s">
        <v>75</v>
      </c>
      <c r="B34" s="3" t="s">
        <v>2515</v>
      </c>
      <c r="C34" s="3" t="s">
        <v>2772</v>
      </c>
      <c r="D34" s="3" t="s">
        <v>2816</v>
      </c>
      <c r="E34" s="3" t="s">
        <v>2797</v>
      </c>
      <c r="F34" s="3" t="s">
        <v>2812</v>
      </c>
      <c r="G34" s="3" t="s">
        <v>2860</v>
      </c>
      <c r="H34" s="3" t="s">
        <v>2860</v>
      </c>
      <c r="I34" s="3" t="s">
        <v>2860</v>
      </c>
    </row>
    <row r="35" spans="1:9" x14ac:dyDescent="0.25">
      <c r="A35" s="3" t="s">
        <v>101</v>
      </c>
      <c r="B35" s="3" t="s">
        <v>2791</v>
      </c>
      <c r="C35" s="3" t="s">
        <v>2790</v>
      </c>
      <c r="D35" s="3" t="s">
        <v>2803</v>
      </c>
      <c r="E35" s="3" t="s">
        <v>2806</v>
      </c>
      <c r="F35" s="3" t="s">
        <v>2787</v>
      </c>
      <c r="G35" s="3" t="s">
        <v>2860</v>
      </c>
      <c r="H35" s="3" t="s">
        <v>2860</v>
      </c>
      <c r="I35" s="3" t="s">
        <v>2860</v>
      </c>
    </row>
    <row r="36" spans="1:9" x14ac:dyDescent="0.25">
      <c r="A36" s="3" t="s">
        <v>162</v>
      </c>
      <c r="B36" s="3" t="s">
        <v>2779</v>
      </c>
      <c r="C36" s="3" t="s">
        <v>2778</v>
      </c>
      <c r="D36" s="3" t="s">
        <v>2785</v>
      </c>
      <c r="E36" s="3" t="s">
        <v>2860</v>
      </c>
      <c r="F36" s="3" t="s">
        <v>2860</v>
      </c>
      <c r="G36" s="3" t="s">
        <v>2860</v>
      </c>
      <c r="H36" s="3" t="s">
        <v>2860</v>
      </c>
      <c r="I36" s="3" t="s">
        <v>2860</v>
      </c>
    </row>
    <row r="37" spans="1:9" x14ac:dyDescent="0.25">
      <c r="A37" s="3" t="s">
        <v>119</v>
      </c>
      <c r="B37" s="3" t="s">
        <v>2788</v>
      </c>
      <c r="C37" s="3" t="s">
        <v>2787</v>
      </c>
      <c r="D37" s="3" t="s">
        <v>2817</v>
      </c>
      <c r="E37" s="3" t="s">
        <v>2860</v>
      </c>
      <c r="F37" s="3" t="s">
        <v>2860</v>
      </c>
      <c r="G37" s="3" t="s">
        <v>2860</v>
      </c>
      <c r="H37" s="3" t="s">
        <v>2860</v>
      </c>
      <c r="I37" s="3" t="s">
        <v>2860</v>
      </c>
    </row>
    <row r="38" spans="1:9" x14ac:dyDescent="0.25">
      <c r="A38" s="3" t="s">
        <v>156</v>
      </c>
      <c r="B38" s="3" t="s">
        <v>2782</v>
      </c>
      <c r="C38" s="3" t="s">
        <v>2781</v>
      </c>
      <c r="D38" s="3" t="s">
        <v>2811</v>
      </c>
      <c r="E38" s="3" t="s">
        <v>2860</v>
      </c>
      <c r="F38" s="3" t="s">
        <v>2860</v>
      </c>
      <c r="G38" s="3" t="s">
        <v>2860</v>
      </c>
      <c r="H38" s="3" t="s">
        <v>2860</v>
      </c>
      <c r="I38" s="3" t="s">
        <v>2860</v>
      </c>
    </row>
    <row r="39" spans="1:9" x14ac:dyDescent="0.25">
      <c r="A39" s="3" t="s">
        <v>126</v>
      </c>
      <c r="B39" s="3" t="s">
        <v>2812</v>
      </c>
      <c r="C39" s="3" t="s">
        <v>2809</v>
      </c>
      <c r="D39" s="3" t="s">
        <v>2808</v>
      </c>
      <c r="E39" s="3" t="s">
        <v>2805</v>
      </c>
      <c r="F39" s="3" t="s">
        <v>2860</v>
      </c>
      <c r="G39" s="3" t="s">
        <v>2860</v>
      </c>
      <c r="H39" s="3" t="s">
        <v>2860</v>
      </c>
      <c r="I39" s="3" t="s">
        <v>2860</v>
      </c>
    </row>
    <row r="40" spans="1:9" x14ac:dyDescent="0.25">
      <c r="A40" s="3" t="s">
        <v>82</v>
      </c>
      <c r="B40" s="3" t="s">
        <v>2801</v>
      </c>
      <c r="C40" s="3" t="s">
        <v>2815</v>
      </c>
      <c r="D40" s="3" t="s">
        <v>2800</v>
      </c>
      <c r="E40" s="3" t="s">
        <v>2778</v>
      </c>
      <c r="F40" s="3" t="s">
        <v>2860</v>
      </c>
      <c r="G40" s="3" t="s">
        <v>2860</v>
      </c>
      <c r="H40" s="3" t="s">
        <v>2860</v>
      </c>
      <c r="I40" s="3" t="s">
        <v>2860</v>
      </c>
    </row>
    <row r="41" spans="1:9" x14ac:dyDescent="0.25">
      <c r="A41" s="3" t="s">
        <v>2689</v>
      </c>
      <c r="B41" s="3" t="s">
        <v>2815</v>
      </c>
      <c r="C41" s="3" t="s">
        <v>2801</v>
      </c>
      <c r="D41" s="3" t="s">
        <v>2786</v>
      </c>
      <c r="E41" s="3" t="s">
        <v>2860</v>
      </c>
      <c r="F41" s="3" t="s">
        <v>2860</v>
      </c>
      <c r="G41" s="3" t="s">
        <v>2860</v>
      </c>
      <c r="H41" s="3" t="s">
        <v>2860</v>
      </c>
      <c r="I41" s="3" t="s">
        <v>2860</v>
      </c>
    </row>
    <row r="42" spans="1:9" x14ac:dyDescent="0.25">
      <c r="A42" s="3" t="s">
        <v>123</v>
      </c>
      <c r="B42" s="3" t="s">
        <v>2817</v>
      </c>
      <c r="C42" s="3" t="s">
        <v>2789</v>
      </c>
      <c r="D42" s="3" t="s">
        <v>2788</v>
      </c>
      <c r="E42" s="3" t="s">
        <v>2816</v>
      </c>
      <c r="F42" s="3" t="s">
        <v>2792</v>
      </c>
      <c r="G42" s="3" t="s">
        <v>2805</v>
      </c>
      <c r="H42" s="3" t="s">
        <v>2770</v>
      </c>
      <c r="I42" s="3" t="s">
        <v>2770</v>
      </c>
    </row>
    <row r="43" spans="1:9" x14ac:dyDescent="0.25">
      <c r="A43" s="3" t="s">
        <v>62</v>
      </c>
      <c r="B43" s="3" t="s">
        <v>2814</v>
      </c>
      <c r="C43" s="3" t="s">
        <v>2813</v>
      </c>
      <c r="D43" s="3" t="s">
        <v>2784</v>
      </c>
      <c r="E43" s="3" t="s">
        <v>2812</v>
      </c>
      <c r="F43" s="3" t="s">
        <v>2860</v>
      </c>
      <c r="G43" s="3" t="s">
        <v>2860</v>
      </c>
      <c r="H43" s="3" t="s">
        <v>2860</v>
      </c>
      <c r="I43" s="3" t="s">
        <v>2860</v>
      </c>
    </row>
    <row r="44" spans="1:9" x14ac:dyDescent="0.25">
      <c r="A44" s="3" t="s">
        <v>165</v>
      </c>
      <c r="B44" s="3" t="s">
        <v>2780</v>
      </c>
      <c r="C44" s="3" t="s">
        <v>2785</v>
      </c>
      <c r="D44" s="3" t="s">
        <v>2778</v>
      </c>
      <c r="E44" s="3" t="s">
        <v>2771</v>
      </c>
      <c r="F44" s="3" t="s">
        <v>2803</v>
      </c>
      <c r="G44" s="3" t="s">
        <v>2767</v>
      </c>
      <c r="H44" s="3" t="s">
        <v>2770</v>
      </c>
      <c r="I44" s="3" t="s">
        <v>2770</v>
      </c>
    </row>
    <row r="45" spans="1:9" x14ac:dyDescent="0.25">
      <c r="A45" s="3" t="s">
        <v>139</v>
      </c>
      <c r="B45" s="3" t="s">
        <v>2810</v>
      </c>
      <c r="C45" s="3" t="s">
        <v>2784</v>
      </c>
      <c r="D45" s="3" t="s">
        <v>2813</v>
      </c>
      <c r="E45" s="3" t="s">
        <v>2860</v>
      </c>
      <c r="F45" s="3" t="s">
        <v>2860</v>
      </c>
      <c r="G45" s="3" t="s">
        <v>2860</v>
      </c>
      <c r="H45" s="3" t="s">
        <v>2860</v>
      </c>
      <c r="I45" s="3" t="s">
        <v>2860</v>
      </c>
    </row>
    <row r="46" spans="1:9" x14ac:dyDescent="0.25">
      <c r="A46" s="3" t="s">
        <v>2688</v>
      </c>
      <c r="B46" s="3" t="s">
        <v>2816</v>
      </c>
      <c r="C46" s="3" t="s">
        <v>2773</v>
      </c>
      <c r="D46" s="3" t="s">
        <v>2515</v>
      </c>
      <c r="E46" s="3" t="s">
        <v>2860</v>
      </c>
      <c r="F46" s="3" t="s">
        <v>2860</v>
      </c>
      <c r="G46" s="3" t="s">
        <v>2860</v>
      </c>
      <c r="H46" s="3" t="s">
        <v>2860</v>
      </c>
      <c r="I46" s="3" t="s">
        <v>2860</v>
      </c>
    </row>
    <row r="47" spans="1:9" x14ac:dyDescent="0.25">
      <c r="A47" s="3" t="s">
        <v>2515</v>
      </c>
      <c r="B47" s="3" t="s">
        <v>2773</v>
      </c>
      <c r="C47" s="3" t="s">
        <v>2816</v>
      </c>
      <c r="D47" s="3" t="s">
        <v>2772</v>
      </c>
      <c r="E47" s="3" t="s">
        <v>2785</v>
      </c>
      <c r="F47" s="3" t="s">
        <v>2805</v>
      </c>
      <c r="G47" s="3" t="s">
        <v>2860</v>
      </c>
      <c r="H47" s="3" t="s">
        <v>2770</v>
      </c>
      <c r="I47" s="3" t="s">
        <v>2770</v>
      </c>
    </row>
    <row r="48" spans="1:9" x14ac:dyDescent="0.25">
      <c r="A48" s="3" t="s">
        <v>122</v>
      </c>
      <c r="B48" s="3" t="s">
        <v>2789</v>
      </c>
      <c r="C48" s="3" t="s">
        <v>2817</v>
      </c>
      <c r="D48" s="3" t="s">
        <v>2787</v>
      </c>
      <c r="E48" s="3" t="s">
        <v>2860</v>
      </c>
      <c r="F48" s="3" t="s">
        <v>2860</v>
      </c>
      <c r="G48" s="3" t="s">
        <v>2860</v>
      </c>
      <c r="H48" s="3" t="s">
        <v>2860</v>
      </c>
      <c r="I48" s="3" t="s">
        <v>2860</v>
      </c>
    </row>
    <row r="49" spans="1:9" x14ac:dyDescent="0.25">
      <c r="A49" s="3" t="s">
        <v>97</v>
      </c>
      <c r="B49" s="3" t="s">
        <v>2803</v>
      </c>
      <c r="C49" s="3" t="s">
        <v>2792</v>
      </c>
      <c r="D49" s="3" t="s">
        <v>2791</v>
      </c>
      <c r="E49" s="3" t="s">
        <v>2860</v>
      </c>
      <c r="F49" s="3" t="s">
        <v>2860</v>
      </c>
      <c r="G49" s="3" t="s">
        <v>2860</v>
      </c>
      <c r="H49" s="3" t="s">
        <v>2860</v>
      </c>
      <c r="I49" s="3" t="s">
        <v>2860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75" workbookViewId="0">
      <selection activeCell="C1110" sqref="C1110"/>
    </sheetView>
  </sheetViews>
  <sheetFormatPr defaultColWidth="9.140625" defaultRowHeight="15" x14ac:dyDescent="0.25"/>
  <cols>
    <col min="1" max="1" width="12.71093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2818</v>
      </c>
      <c r="C1" s="3" t="s">
        <v>2819</v>
      </c>
      <c r="D1" s="3" t="s">
        <v>270</v>
      </c>
      <c r="E1" s="3" t="s">
        <v>271</v>
      </c>
      <c r="F1" s="3" t="s">
        <v>2820</v>
      </c>
      <c r="G1" s="3" t="s">
        <v>2820</v>
      </c>
    </row>
    <row r="2" spans="1:7" hidden="1" x14ac:dyDescent="0.25">
      <c r="A2" s="3" t="s">
        <v>537</v>
      </c>
      <c r="B2" s="3" t="s">
        <v>540</v>
      </c>
      <c r="C2" s="3" t="s">
        <v>541</v>
      </c>
      <c r="D2" s="3" t="s">
        <v>87</v>
      </c>
      <c r="E2" s="3" t="s">
        <v>2667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537</v>
      </c>
      <c r="B3" s="3" t="s">
        <v>538</v>
      </c>
      <c r="C3" s="3" t="s">
        <v>539</v>
      </c>
      <c r="D3" s="3" t="s">
        <v>87</v>
      </c>
      <c r="E3" s="3" t="s">
        <v>2667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537</v>
      </c>
      <c r="B4" s="3" t="s">
        <v>542</v>
      </c>
      <c r="C4" s="3" t="s">
        <v>543</v>
      </c>
      <c r="D4" s="3" t="s">
        <v>87</v>
      </c>
      <c r="E4" s="3" t="s">
        <v>2667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544</v>
      </c>
      <c r="B5" s="3" t="s">
        <v>549</v>
      </c>
      <c r="C5" s="3" t="s">
        <v>550</v>
      </c>
      <c r="D5" s="3" t="s">
        <v>87</v>
      </c>
      <c r="E5" s="3" t="s">
        <v>2668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544</v>
      </c>
      <c r="B6" s="3" t="s">
        <v>545</v>
      </c>
      <c r="C6" s="3" t="s">
        <v>546</v>
      </c>
      <c r="D6" s="3" t="s">
        <v>87</v>
      </c>
      <c r="E6" s="3" t="s">
        <v>2668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544</v>
      </c>
      <c r="B7" s="3" t="s">
        <v>561</v>
      </c>
      <c r="C7" s="3" t="s">
        <v>562</v>
      </c>
      <c r="D7" s="3" t="s">
        <v>87</v>
      </c>
      <c r="E7" s="3" t="s">
        <v>2668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544</v>
      </c>
      <c r="B8" s="3" t="s">
        <v>553</v>
      </c>
      <c r="C8" s="3" t="s">
        <v>554</v>
      </c>
      <c r="D8" s="3" t="s">
        <v>87</v>
      </c>
      <c r="E8" s="3" t="s">
        <v>2668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544</v>
      </c>
      <c r="B9" s="3" t="s">
        <v>547</v>
      </c>
      <c r="C9" s="3" t="s">
        <v>548</v>
      </c>
      <c r="D9" s="3" t="s">
        <v>87</v>
      </c>
      <c r="E9" s="3" t="s">
        <v>2668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544</v>
      </c>
      <c r="B10" s="3" t="s">
        <v>551</v>
      </c>
      <c r="C10" s="3" t="s">
        <v>552</v>
      </c>
      <c r="D10" s="3" t="s">
        <v>87</v>
      </c>
      <c r="E10" s="3" t="s">
        <v>2668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544</v>
      </c>
      <c r="B11" s="3" t="s">
        <v>555</v>
      </c>
      <c r="C11" s="3" t="s">
        <v>556</v>
      </c>
      <c r="D11" s="3" t="s">
        <v>87</v>
      </c>
      <c r="E11" s="3" t="s">
        <v>2668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544</v>
      </c>
      <c r="B12" s="3" t="s">
        <v>559</v>
      </c>
      <c r="C12" s="3" t="s">
        <v>560</v>
      </c>
      <c r="D12" s="3" t="s">
        <v>87</v>
      </c>
      <c r="E12" s="3" t="s">
        <v>2668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544</v>
      </c>
      <c r="B13" s="3" t="s">
        <v>557</v>
      </c>
      <c r="C13" s="3" t="s">
        <v>558</v>
      </c>
      <c r="D13" s="3" t="s">
        <v>87</v>
      </c>
      <c r="E13" s="3" t="s">
        <v>2668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563</v>
      </c>
      <c r="B14" s="3" t="s">
        <v>572</v>
      </c>
      <c r="C14" s="3" t="s">
        <v>573</v>
      </c>
      <c r="D14" s="3" t="s">
        <v>87</v>
      </c>
      <c r="E14" s="3" t="s">
        <v>2669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563</v>
      </c>
      <c r="B15" s="3" t="s">
        <v>568</v>
      </c>
      <c r="C15" s="3" t="s">
        <v>569</v>
      </c>
      <c r="D15" s="3" t="s">
        <v>87</v>
      </c>
      <c r="E15" s="3" t="s">
        <v>2669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563</v>
      </c>
      <c r="B16" s="3" t="s">
        <v>576</v>
      </c>
      <c r="C16" s="3" t="s">
        <v>577</v>
      </c>
      <c r="D16" s="3" t="s">
        <v>87</v>
      </c>
      <c r="E16" s="3" t="s">
        <v>2669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563</v>
      </c>
      <c r="B17" s="3" t="s">
        <v>570</v>
      </c>
      <c r="C17" s="3" t="s">
        <v>571</v>
      </c>
      <c r="D17" s="3" t="s">
        <v>87</v>
      </c>
      <c r="E17" s="3" t="s">
        <v>2669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563</v>
      </c>
      <c r="B18" s="3" t="s">
        <v>566</v>
      </c>
      <c r="C18" s="3" t="s">
        <v>567</v>
      </c>
      <c r="D18" s="3" t="s">
        <v>87</v>
      </c>
      <c r="E18" s="3" t="s">
        <v>2669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563</v>
      </c>
      <c r="B19" s="3" t="s">
        <v>564</v>
      </c>
      <c r="C19" s="3" t="s">
        <v>565</v>
      </c>
      <c r="D19" s="3" t="s">
        <v>87</v>
      </c>
      <c r="E19" s="3" t="s">
        <v>2669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563</v>
      </c>
      <c r="B20" s="3" t="s">
        <v>574</v>
      </c>
      <c r="C20" s="3" t="s">
        <v>575</v>
      </c>
      <c r="D20" s="3" t="s">
        <v>87</v>
      </c>
      <c r="E20" s="3" t="s">
        <v>2669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578</v>
      </c>
      <c r="B21" s="3" t="s">
        <v>585</v>
      </c>
      <c r="C21" s="3" t="s">
        <v>586</v>
      </c>
      <c r="D21" s="3" t="s">
        <v>87</v>
      </c>
      <c r="E21" s="3" t="s">
        <v>2671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578</v>
      </c>
      <c r="B22" s="3" t="s">
        <v>583</v>
      </c>
      <c r="C22" s="3" t="s">
        <v>584</v>
      </c>
      <c r="D22" s="3" t="s">
        <v>87</v>
      </c>
      <c r="E22" s="3" t="s">
        <v>2671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578</v>
      </c>
      <c r="B23" s="3" t="s">
        <v>587</v>
      </c>
      <c r="C23" s="3" t="s">
        <v>588</v>
      </c>
      <c r="D23" s="3" t="s">
        <v>87</v>
      </c>
      <c r="E23" s="3" t="s">
        <v>2671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578</v>
      </c>
      <c r="B24" s="3" t="s">
        <v>589</v>
      </c>
      <c r="C24" s="3" t="s">
        <v>590</v>
      </c>
      <c r="D24" s="3" t="s">
        <v>87</v>
      </c>
      <c r="E24" s="3" t="s">
        <v>2671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578</v>
      </c>
      <c r="B25" s="3" t="s">
        <v>581</v>
      </c>
      <c r="C25" s="3" t="s">
        <v>582</v>
      </c>
      <c r="D25" s="3" t="s">
        <v>87</v>
      </c>
      <c r="E25" s="3" t="s">
        <v>2671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578</v>
      </c>
      <c r="B26" s="3" t="s">
        <v>591</v>
      </c>
      <c r="C26" s="3" t="s">
        <v>592</v>
      </c>
      <c r="D26" s="3" t="s">
        <v>87</v>
      </c>
      <c r="E26" s="3" t="s">
        <v>2671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578</v>
      </c>
      <c r="B27" s="3" t="s">
        <v>579</v>
      </c>
      <c r="C27" s="3" t="s">
        <v>580</v>
      </c>
      <c r="D27" s="3" t="s">
        <v>87</v>
      </c>
      <c r="E27" s="3" t="s">
        <v>2671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537</v>
      </c>
      <c r="B28" s="3" t="s">
        <v>595</v>
      </c>
      <c r="C28" s="3" t="s">
        <v>340</v>
      </c>
      <c r="D28" s="3" t="s">
        <v>39</v>
      </c>
      <c r="E28" s="3" t="s">
        <v>2667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537</v>
      </c>
      <c r="B29" s="3" t="s">
        <v>596</v>
      </c>
      <c r="C29" s="3" t="s">
        <v>597</v>
      </c>
      <c r="D29" s="3" t="s">
        <v>39</v>
      </c>
      <c r="E29" s="3" t="s">
        <v>2667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537</v>
      </c>
      <c r="B30" s="3" t="s">
        <v>593</v>
      </c>
      <c r="C30" s="3" t="s">
        <v>594</v>
      </c>
      <c r="D30" s="3" t="s">
        <v>39</v>
      </c>
      <c r="E30" s="3" t="s">
        <v>2667</v>
      </c>
      <c r="F30" s="3">
        <f>COUNTIF(C30,PickedPlayers!D:D)</f>
        <v>0</v>
      </c>
      <c r="G30" s="3" t="str">
        <f t="shared" si="0"/>
        <v>Yes</v>
      </c>
    </row>
    <row r="31" spans="1:7" hidden="1" x14ac:dyDescent="0.25">
      <c r="A31" s="3" t="s">
        <v>544</v>
      </c>
      <c r="B31" s="3" t="s">
        <v>606</v>
      </c>
      <c r="C31" s="3" t="s">
        <v>444</v>
      </c>
      <c r="D31" s="3" t="s">
        <v>39</v>
      </c>
      <c r="E31" s="3" t="s">
        <v>2668</v>
      </c>
      <c r="F31" s="3">
        <f>COUNTIF(C31,PickedPlayers!D:D)</f>
        <v>0</v>
      </c>
      <c r="G31" s="3" t="str">
        <f t="shared" si="0"/>
        <v>Yes</v>
      </c>
    </row>
    <row r="32" spans="1:7" hidden="1" x14ac:dyDescent="0.25">
      <c r="A32" s="3" t="s">
        <v>544</v>
      </c>
      <c r="B32" s="3" t="s">
        <v>603</v>
      </c>
      <c r="C32" s="3" t="s">
        <v>604</v>
      </c>
      <c r="D32" s="3" t="s">
        <v>39</v>
      </c>
      <c r="E32" s="3" t="s">
        <v>2668</v>
      </c>
      <c r="F32" s="3">
        <f>COUNTIF(C32,PickedPlayers!D:D)</f>
        <v>0</v>
      </c>
      <c r="G32" s="3" t="str">
        <f t="shared" si="0"/>
        <v>Yes</v>
      </c>
    </row>
    <row r="33" spans="1:7" hidden="1" x14ac:dyDescent="0.25">
      <c r="A33" s="3" t="s">
        <v>544</v>
      </c>
      <c r="B33" s="3" t="s">
        <v>601</v>
      </c>
      <c r="C33" s="3" t="s">
        <v>602</v>
      </c>
      <c r="D33" s="3" t="s">
        <v>39</v>
      </c>
      <c r="E33" s="3" t="s">
        <v>2668</v>
      </c>
      <c r="F33" s="3">
        <f>COUNTIF(C33,PickedPlayers!D:D)</f>
        <v>0</v>
      </c>
      <c r="G33" s="3" t="str">
        <f t="shared" si="0"/>
        <v>Yes</v>
      </c>
    </row>
    <row r="34" spans="1:7" hidden="1" x14ac:dyDescent="0.25">
      <c r="A34" s="3" t="s">
        <v>544</v>
      </c>
      <c r="B34" s="3" t="s">
        <v>477</v>
      </c>
      <c r="C34" s="3" t="s">
        <v>477</v>
      </c>
      <c r="D34" s="3" t="s">
        <v>39</v>
      </c>
      <c r="E34" s="3" t="s">
        <v>2668</v>
      </c>
      <c r="F34" s="3">
        <f>COUNTIF(C34,PickedPlayers!D:D)</f>
        <v>0</v>
      </c>
      <c r="G34" s="3" t="str">
        <f t="shared" si="0"/>
        <v>Yes</v>
      </c>
    </row>
    <row r="35" spans="1:7" hidden="1" x14ac:dyDescent="0.25">
      <c r="A35" s="3" t="s">
        <v>544</v>
      </c>
      <c r="B35" s="3" t="s">
        <v>605</v>
      </c>
      <c r="C35" s="3" t="s">
        <v>509</v>
      </c>
      <c r="D35" s="3" t="s">
        <v>39</v>
      </c>
      <c r="E35" s="3" t="s">
        <v>2668</v>
      </c>
      <c r="F35" s="3">
        <f>COUNTIF(C35,PickedPlayers!D:D)</f>
        <v>0</v>
      </c>
      <c r="G35" s="3" t="str">
        <f t="shared" si="0"/>
        <v>Yes</v>
      </c>
    </row>
    <row r="36" spans="1:7" hidden="1" x14ac:dyDescent="0.25">
      <c r="A36" s="3" t="s">
        <v>544</v>
      </c>
      <c r="B36" s="3" t="s">
        <v>599</v>
      </c>
      <c r="C36" s="3" t="s">
        <v>600</v>
      </c>
      <c r="D36" s="3" t="s">
        <v>39</v>
      </c>
      <c r="E36" s="3" t="s">
        <v>2668</v>
      </c>
      <c r="F36" s="3">
        <f>COUNTIF(C36,PickedPlayers!D:D)</f>
        <v>0</v>
      </c>
      <c r="G36" s="3" t="str">
        <f t="shared" si="0"/>
        <v>Yes</v>
      </c>
    </row>
    <row r="37" spans="1:7" hidden="1" x14ac:dyDescent="0.25">
      <c r="A37" s="3" t="s">
        <v>544</v>
      </c>
      <c r="B37" s="3" t="s">
        <v>598</v>
      </c>
      <c r="C37" s="3" t="s">
        <v>424</v>
      </c>
      <c r="D37" s="3" t="s">
        <v>39</v>
      </c>
      <c r="E37" s="3" t="s">
        <v>2668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563</v>
      </c>
      <c r="B38" s="3" t="s">
        <v>617</v>
      </c>
      <c r="C38" s="3" t="s">
        <v>420</v>
      </c>
      <c r="D38" s="3" t="s">
        <v>39</v>
      </c>
      <c r="E38" s="3" t="s">
        <v>2669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563</v>
      </c>
      <c r="B39" s="3" t="s">
        <v>620</v>
      </c>
      <c r="C39" s="3" t="s">
        <v>328</v>
      </c>
      <c r="D39" s="3" t="s">
        <v>39</v>
      </c>
      <c r="E39" s="3" t="s">
        <v>2669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563</v>
      </c>
      <c r="B40" s="3" t="s">
        <v>609</v>
      </c>
      <c r="C40" s="3" t="s">
        <v>610</v>
      </c>
      <c r="D40" s="3" t="s">
        <v>39</v>
      </c>
      <c r="E40" s="3" t="s">
        <v>2669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563</v>
      </c>
      <c r="B41" s="3" t="s">
        <v>618</v>
      </c>
      <c r="C41" s="3" t="s">
        <v>619</v>
      </c>
      <c r="D41" s="3" t="s">
        <v>39</v>
      </c>
      <c r="E41" s="3" t="s">
        <v>2669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563</v>
      </c>
      <c r="B42" s="3" t="s">
        <v>607</v>
      </c>
      <c r="C42" s="3" t="s">
        <v>608</v>
      </c>
      <c r="D42" s="3" t="s">
        <v>39</v>
      </c>
      <c r="E42" s="3" t="s">
        <v>2669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563</v>
      </c>
      <c r="B43" s="3" t="s">
        <v>611</v>
      </c>
      <c r="C43" s="3" t="s">
        <v>612</v>
      </c>
      <c r="D43" s="3" t="s">
        <v>39</v>
      </c>
      <c r="E43" s="3" t="s">
        <v>2669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563</v>
      </c>
      <c r="B44" s="3" t="s">
        <v>613</v>
      </c>
      <c r="C44" s="3" t="s">
        <v>614</v>
      </c>
      <c r="D44" s="3" t="s">
        <v>39</v>
      </c>
      <c r="E44" s="3" t="s">
        <v>2669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563</v>
      </c>
      <c r="B45" s="3" t="s">
        <v>615</v>
      </c>
      <c r="C45" s="3" t="s">
        <v>616</v>
      </c>
      <c r="D45" s="3" t="s">
        <v>39</v>
      </c>
      <c r="E45" s="3" t="s">
        <v>2669</v>
      </c>
      <c r="F45" s="3">
        <f>COUNTIF(C45,PickedPlayers!D:D)</f>
        <v>0</v>
      </c>
      <c r="G45" s="3" t="str">
        <f t="shared" si="0"/>
        <v>Yes</v>
      </c>
    </row>
    <row r="46" spans="1:7" hidden="1" x14ac:dyDescent="0.25">
      <c r="A46" s="3" t="s">
        <v>578</v>
      </c>
      <c r="B46" s="3" t="s">
        <v>629</v>
      </c>
      <c r="C46" s="3" t="s">
        <v>630</v>
      </c>
      <c r="D46" s="3" t="s">
        <v>39</v>
      </c>
      <c r="E46" s="3" t="s">
        <v>2671</v>
      </c>
      <c r="F46" s="3">
        <f>COUNTIF(C46,PickedPlayers!D:D)</f>
        <v>0</v>
      </c>
      <c r="G46" s="3" t="str">
        <f t="shared" si="0"/>
        <v>Yes</v>
      </c>
    </row>
    <row r="47" spans="1:7" hidden="1" x14ac:dyDescent="0.25">
      <c r="A47" s="3" t="s">
        <v>578</v>
      </c>
      <c r="B47" s="3" t="s">
        <v>621</v>
      </c>
      <c r="C47" s="3" t="s">
        <v>300</v>
      </c>
      <c r="D47" s="3" t="s">
        <v>39</v>
      </c>
      <c r="E47" s="3" t="s">
        <v>2671</v>
      </c>
      <c r="F47" s="3">
        <f>COUNTIF(C47,PickedPlayers!D:D)</f>
        <v>0</v>
      </c>
      <c r="G47" s="3" t="str">
        <f t="shared" si="0"/>
        <v>Yes</v>
      </c>
    </row>
    <row r="48" spans="1:7" hidden="1" x14ac:dyDescent="0.25">
      <c r="A48" s="3" t="s">
        <v>578</v>
      </c>
      <c r="B48" s="3" t="s">
        <v>625</v>
      </c>
      <c r="C48" s="3" t="s">
        <v>626</v>
      </c>
      <c r="D48" s="3" t="s">
        <v>39</v>
      </c>
      <c r="E48" s="3" t="s">
        <v>2671</v>
      </c>
      <c r="F48" s="3">
        <f>COUNTIF(C48,PickedPlayers!D:D)</f>
        <v>0</v>
      </c>
      <c r="G48" s="3" t="str">
        <f t="shared" si="0"/>
        <v>Yes</v>
      </c>
    </row>
    <row r="49" spans="1:7" hidden="1" x14ac:dyDescent="0.25">
      <c r="A49" s="3" t="s">
        <v>578</v>
      </c>
      <c r="B49" s="3" t="s">
        <v>624</v>
      </c>
      <c r="C49" s="3" t="s">
        <v>290</v>
      </c>
      <c r="D49" s="3" t="s">
        <v>39</v>
      </c>
      <c r="E49" s="3" t="s">
        <v>2671</v>
      </c>
      <c r="F49" s="3">
        <f>COUNTIF(C49,PickedPlayers!D:D)</f>
        <v>0</v>
      </c>
      <c r="G49" s="3" t="str">
        <f t="shared" si="0"/>
        <v>Yes</v>
      </c>
    </row>
    <row r="50" spans="1:7" hidden="1" x14ac:dyDescent="0.25">
      <c r="A50" s="3" t="s">
        <v>578</v>
      </c>
      <c r="B50" s="3" t="s">
        <v>374</v>
      </c>
      <c r="C50" s="3" t="s">
        <v>374</v>
      </c>
      <c r="D50" s="3" t="s">
        <v>39</v>
      </c>
      <c r="E50" s="3" t="s">
        <v>2671</v>
      </c>
      <c r="F50" s="3">
        <f>COUNTIF(C50,PickedPlayers!D:D)</f>
        <v>0</v>
      </c>
      <c r="G50" s="3" t="str">
        <f t="shared" si="0"/>
        <v>Yes</v>
      </c>
    </row>
    <row r="51" spans="1:7" hidden="1" x14ac:dyDescent="0.25">
      <c r="A51" s="3" t="s">
        <v>578</v>
      </c>
      <c r="B51" s="3" t="s">
        <v>627</v>
      </c>
      <c r="C51" s="3" t="s">
        <v>628</v>
      </c>
      <c r="D51" s="3" t="s">
        <v>39</v>
      </c>
      <c r="E51" s="3" t="s">
        <v>2671</v>
      </c>
      <c r="F51" s="3">
        <f>COUNTIF(C51,PickedPlayers!D:D)</f>
        <v>0</v>
      </c>
      <c r="G51" s="3" t="str">
        <f t="shared" si="0"/>
        <v>Yes</v>
      </c>
    </row>
    <row r="52" spans="1:7" hidden="1" x14ac:dyDescent="0.25">
      <c r="A52" s="3" t="s">
        <v>578</v>
      </c>
      <c r="B52" s="3" t="s">
        <v>622</v>
      </c>
      <c r="C52" s="3" t="s">
        <v>623</v>
      </c>
      <c r="D52" s="3" t="s">
        <v>39</v>
      </c>
      <c r="E52" s="3" t="s">
        <v>2671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537</v>
      </c>
      <c r="B53" s="3" t="s">
        <v>631</v>
      </c>
      <c r="C53" s="3" t="s">
        <v>632</v>
      </c>
      <c r="D53" s="3" t="s">
        <v>45</v>
      </c>
      <c r="E53" s="3" t="s">
        <v>2667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537</v>
      </c>
      <c r="B54" s="3" t="s">
        <v>633</v>
      </c>
      <c r="C54" s="3" t="s">
        <v>634</v>
      </c>
      <c r="D54" s="3" t="s">
        <v>45</v>
      </c>
      <c r="E54" s="3" t="s">
        <v>2667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537</v>
      </c>
      <c r="B55" s="3" t="s">
        <v>635</v>
      </c>
      <c r="C55" s="3" t="s">
        <v>636</v>
      </c>
      <c r="D55" s="3" t="s">
        <v>45</v>
      </c>
      <c r="E55" s="3" t="s">
        <v>2667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544</v>
      </c>
      <c r="B56" s="3" t="s">
        <v>643</v>
      </c>
      <c r="C56" s="3" t="s">
        <v>644</v>
      </c>
      <c r="D56" s="3" t="s">
        <v>45</v>
      </c>
      <c r="E56" s="3" t="s">
        <v>2668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544</v>
      </c>
      <c r="B57" s="3" t="s">
        <v>641</v>
      </c>
      <c r="C57" s="3" t="s">
        <v>642</v>
      </c>
      <c r="D57" s="3" t="s">
        <v>45</v>
      </c>
      <c r="E57" s="3" t="s">
        <v>2668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544</v>
      </c>
      <c r="B58" s="3" t="s">
        <v>651</v>
      </c>
      <c r="C58" s="3" t="s">
        <v>652</v>
      </c>
      <c r="D58" s="3" t="s">
        <v>45</v>
      </c>
      <c r="E58" s="3" t="s">
        <v>2668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544</v>
      </c>
      <c r="B59" s="3" t="s">
        <v>647</v>
      </c>
      <c r="C59" s="3" t="s">
        <v>648</v>
      </c>
      <c r="D59" s="3" t="s">
        <v>45</v>
      </c>
      <c r="E59" s="3" t="s">
        <v>2668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544</v>
      </c>
      <c r="B60" s="3" t="s">
        <v>649</v>
      </c>
      <c r="C60" s="3" t="s">
        <v>650</v>
      </c>
      <c r="D60" s="3" t="s">
        <v>45</v>
      </c>
      <c r="E60" s="3" t="s">
        <v>2668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544</v>
      </c>
      <c r="B61" s="3" t="s">
        <v>653</v>
      </c>
      <c r="C61" s="3" t="s">
        <v>654</v>
      </c>
      <c r="D61" s="3" t="s">
        <v>45</v>
      </c>
      <c r="E61" s="3" t="s">
        <v>2668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544</v>
      </c>
      <c r="B62" s="3" t="s">
        <v>645</v>
      </c>
      <c r="C62" s="3" t="s">
        <v>646</v>
      </c>
      <c r="D62" s="3" t="s">
        <v>45</v>
      </c>
      <c r="E62" s="3" t="s">
        <v>2668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544</v>
      </c>
      <c r="B63" s="3" t="s">
        <v>639</v>
      </c>
      <c r="C63" s="3" t="s">
        <v>640</v>
      </c>
      <c r="D63" s="3" t="s">
        <v>45</v>
      </c>
      <c r="E63" s="3" t="s">
        <v>2668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544</v>
      </c>
      <c r="B64" s="3" t="s">
        <v>655</v>
      </c>
      <c r="C64" s="3" t="s">
        <v>656</v>
      </c>
      <c r="D64" s="3" t="s">
        <v>45</v>
      </c>
      <c r="E64" s="3" t="s">
        <v>2668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544</v>
      </c>
      <c r="B65" s="3" t="s">
        <v>637</v>
      </c>
      <c r="C65" s="3" t="s">
        <v>638</v>
      </c>
      <c r="D65" s="3" t="s">
        <v>45</v>
      </c>
      <c r="E65" s="3" t="s">
        <v>2668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563</v>
      </c>
      <c r="B66" s="3" t="s">
        <v>661</v>
      </c>
      <c r="C66" s="3" t="s">
        <v>662</v>
      </c>
      <c r="D66" s="3" t="s">
        <v>45</v>
      </c>
      <c r="E66" s="3" t="s">
        <v>2669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563</v>
      </c>
      <c r="B67" s="3" t="s">
        <v>665</v>
      </c>
      <c r="C67" s="3" t="s">
        <v>666</v>
      </c>
      <c r="D67" s="3" t="s">
        <v>45</v>
      </c>
      <c r="E67" s="3" t="s">
        <v>2669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563</v>
      </c>
      <c r="B68" s="3" t="s">
        <v>669</v>
      </c>
      <c r="C68" s="3" t="s">
        <v>670</v>
      </c>
      <c r="D68" s="3" t="s">
        <v>45</v>
      </c>
      <c r="E68" s="3" t="s">
        <v>2669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563</v>
      </c>
      <c r="B69" s="3" t="s">
        <v>659</v>
      </c>
      <c r="C69" s="3" t="s">
        <v>660</v>
      </c>
      <c r="D69" s="3" t="s">
        <v>45</v>
      </c>
      <c r="E69" s="3" t="s">
        <v>2669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563</v>
      </c>
      <c r="B70" s="3" t="s">
        <v>657</v>
      </c>
      <c r="C70" s="3" t="s">
        <v>658</v>
      </c>
      <c r="D70" s="3" t="s">
        <v>45</v>
      </c>
      <c r="E70" s="3" t="s">
        <v>2669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563</v>
      </c>
      <c r="B71" s="3" t="s">
        <v>663</v>
      </c>
      <c r="C71" s="3" t="s">
        <v>664</v>
      </c>
      <c r="D71" s="3" t="s">
        <v>45</v>
      </c>
      <c r="E71" s="3" t="s">
        <v>2669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563</v>
      </c>
      <c r="B72" s="3" t="s">
        <v>667</v>
      </c>
      <c r="C72" s="3" t="s">
        <v>668</v>
      </c>
      <c r="D72" s="3" t="s">
        <v>45</v>
      </c>
      <c r="E72" s="3" t="s">
        <v>2669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563</v>
      </c>
      <c r="B73" s="3" t="s">
        <v>671</v>
      </c>
      <c r="C73" s="3" t="s">
        <v>672</v>
      </c>
      <c r="D73" s="3" t="s">
        <v>45</v>
      </c>
      <c r="E73" s="3" t="s">
        <v>2669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578</v>
      </c>
      <c r="B74" s="3" t="s">
        <v>673</v>
      </c>
      <c r="C74" s="3" t="s">
        <v>674</v>
      </c>
      <c r="D74" s="3" t="s">
        <v>45</v>
      </c>
      <c r="E74" s="3" t="s">
        <v>2671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578</v>
      </c>
      <c r="B75" s="3" t="s">
        <v>677</v>
      </c>
      <c r="C75" s="3" t="s">
        <v>678</v>
      </c>
      <c r="D75" s="3" t="s">
        <v>45</v>
      </c>
      <c r="E75" s="3" t="s">
        <v>2671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578</v>
      </c>
      <c r="B76" s="3" t="s">
        <v>681</v>
      </c>
      <c r="C76" s="3" t="s">
        <v>682</v>
      </c>
      <c r="D76" s="3" t="s">
        <v>45</v>
      </c>
      <c r="E76" s="3" t="s">
        <v>2671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578</v>
      </c>
      <c r="B77" s="3" t="s">
        <v>675</v>
      </c>
      <c r="C77" s="3" t="s">
        <v>676</v>
      </c>
      <c r="D77" s="3" t="s">
        <v>45</v>
      </c>
      <c r="E77" s="3" t="s">
        <v>2671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578</v>
      </c>
      <c r="B78" s="3" t="s">
        <v>679</v>
      </c>
      <c r="C78" s="3" t="s">
        <v>680</v>
      </c>
      <c r="D78" s="3" t="s">
        <v>45</v>
      </c>
      <c r="E78" s="3" t="s">
        <v>2671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537</v>
      </c>
      <c r="B79" s="3" t="s">
        <v>683</v>
      </c>
      <c r="C79" s="3" t="s">
        <v>684</v>
      </c>
      <c r="D79" s="3" t="s">
        <v>88</v>
      </c>
      <c r="E79" s="3" t="s">
        <v>2667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537</v>
      </c>
      <c r="B80" s="3" t="s">
        <v>687</v>
      </c>
      <c r="C80" s="3" t="s">
        <v>688</v>
      </c>
      <c r="D80" s="3" t="s">
        <v>88</v>
      </c>
      <c r="E80" s="3" t="s">
        <v>2667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537</v>
      </c>
      <c r="B81" s="3" t="s">
        <v>685</v>
      </c>
      <c r="C81" s="3" t="s">
        <v>686</v>
      </c>
      <c r="D81" s="3" t="s">
        <v>88</v>
      </c>
      <c r="E81" s="3" t="s">
        <v>2667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544</v>
      </c>
      <c r="B82" s="3" t="s">
        <v>695</v>
      </c>
      <c r="C82" s="3" t="s">
        <v>696</v>
      </c>
      <c r="D82" s="3" t="s">
        <v>88</v>
      </c>
      <c r="E82" s="3" t="s">
        <v>2668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544</v>
      </c>
      <c r="B83" s="3" t="s">
        <v>689</v>
      </c>
      <c r="C83" s="3" t="s">
        <v>690</v>
      </c>
      <c r="D83" s="3" t="s">
        <v>88</v>
      </c>
      <c r="E83" s="3" t="s">
        <v>2668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544</v>
      </c>
      <c r="B84" s="3" t="s">
        <v>701</v>
      </c>
      <c r="C84" s="3" t="s">
        <v>702</v>
      </c>
      <c r="D84" s="3" t="s">
        <v>88</v>
      </c>
      <c r="E84" s="3" t="s">
        <v>2668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544</v>
      </c>
      <c r="B85" s="3" t="s">
        <v>693</v>
      </c>
      <c r="C85" s="3" t="s">
        <v>694</v>
      </c>
      <c r="D85" s="3" t="s">
        <v>88</v>
      </c>
      <c r="E85" s="3" t="s">
        <v>2668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544</v>
      </c>
      <c r="B86" s="3" t="s">
        <v>699</v>
      </c>
      <c r="C86" s="3" t="s">
        <v>700</v>
      </c>
      <c r="D86" s="3" t="s">
        <v>88</v>
      </c>
      <c r="E86" s="3" t="s">
        <v>2668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544</v>
      </c>
      <c r="B87" s="3" t="s">
        <v>703</v>
      </c>
      <c r="C87" s="3" t="s">
        <v>704</v>
      </c>
      <c r="D87" s="3" t="s">
        <v>88</v>
      </c>
      <c r="E87" s="3" t="s">
        <v>2668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544</v>
      </c>
      <c r="B88" s="3" t="s">
        <v>705</v>
      </c>
      <c r="C88" s="3" t="s">
        <v>706</v>
      </c>
      <c r="D88" s="3" t="s">
        <v>88</v>
      </c>
      <c r="E88" s="3" t="s">
        <v>2668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544</v>
      </c>
      <c r="B89" s="3" t="s">
        <v>691</v>
      </c>
      <c r="C89" s="3" t="s">
        <v>692</v>
      </c>
      <c r="D89" s="3" t="s">
        <v>88</v>
      </c>
      <c r="E89" s="3" t="s">
        <v>2668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544</v>
      </c>
      <c r="B90" s="3" t="s">
        <v>697</v>
      </c>
      <c r="C90" s="3" t="s">
        <v>698</v>
      </c>
      <c r="D90" s="3" t="s">
        <v>88</v>
      </c>
      <c r="E90" s="3" t="s">
        <v>2668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563</v>
      </c>
      <c r="B91" s="3" t="s">
        <v>725</v>
      </c>
      <c r="C91" s="3" t="s">
        <v>726</v>
      </c>
      <c r="D91" s="3" t="s">
        <v>88</v>
      </c>
      <c r="E91" s="3" t="s">
        <v>2669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563</v>
      </c>
      <c r="B92" s="3" t="s">
        <v>723</v>
      </c>
      <c r="C92" s="3" t="s">
        <v>724</v>
      </c>
      <c r="D92" s="3" t="s">
        <v>88</v>
      </c>
      <c r="E92" s="3" t="s">
        <v>2669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563</v>
      </c>
      <c r="B93" s="3" t="s">
        <v>719</v>
      </c>
      <c r="C93" s="3" t="s">
        <v>720</v>
      </c>
      <c r="D93" s="3" t="s">
        <v>88</v>
      </c>
      <c r="E93" s="3" t="s">
        <v>2669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563</v>
      </c>
      <c r="B94" s="3" t="s">
        <v>713</v>
      </c>
      <c r="C94" s="3" t="s">
        <v>714</v>
      </c>
      <c r="D94" s="3" t="s">
        <v>88</v>
      </c>
      <c r="E94" s="3" t="s">
        <v>2669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563</v>
      </c>
      <c r="B95" s="3" t="s">
        <v>715</v>
      </c>
      <c r="C95" s="3" t="s">
        <v>716</v>
      </c>
      <c r="D95" s="3" t="s">
        <v>88</v>
      </c>
      <c r="E95" s="3" t="s">
        <v>2669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563</v>
      </c>
      <c r="B96" s="3" t="s">
        <v>711</v>
      </c>
      <c r="C96" s="3" t="s">
        <v>712</v>
      </c>
      <c r="D96" s="3" t="s">
        <v>88</v>
      </c>
      <c r="E96" s="3" t="s">
        <v>2669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563</v>
      </c>
      <c r="B97" s="3" t="s">
        <v>721</v>
      </c>
      <c r="C97" s="3" t="s">
        <v>722</v>
      </c>
      <c r="D97" s="3" t="s">
        <v>88</v>
      </c>
      <c r="E97" s="3" t="s">
        <v>2669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563</v>
      </c>
      <c r="B98" s="3" t="s">
        <v>717</v>
      </c>
      <c r="C98" s="3" t="s">
        <v>718</v>
      </c>
      <c r="D98" s="3" t="s">
        <v>88</v>
      </c>
      <c r="E98" s="3" t="s">
        <v>2669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563</v>
      </c>
      <c r="B99" s="3" t="s">
        <v>709</v>
      </c>
      <c r="C99" s="3" t="s">
        <v>710</v>
      </c>
      <c r="D99" s="3" t="s">
        <v>88</v>
      </c>
      <c r="E99" s="3" t="s">
        <v>2669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563</v>
      </c>
      <c r="B100" s="3" t="s">
        <v>707</v>
      </c>
      <c r="C100" s="3" t="s">
        <v>708</v>
      </c>
      <c r="D100" s="3" t="s">
        <v>88</v>
      </c>
      <c r="E100" s="3" t="s">
        <v>2669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578</v>
      </c>
      <c r="B101" s="3" t="s">
        <v>727</v>
      </c>
      <c r="C101" s="3" t="s">
        <v>728</v>
      </c>
      <c r="D101" s="3" t="s">
        <v>88</v>
      </c>
      <c r="E101" s="3" t="s">
        <v>2671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578</v>
      </c>
      <c r="B102" s="3" t="s">
        <v>731</v>
      </c>
      <c r="C102" s="3" t="s">
        <v>732</v>
      </c>
      <c r="D102" s="3" t="s">
        <v>88</v>
      </c>
      <c r="E102" s="3" t="s">
        <v>2671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578</v>
      </c>
      <c r="B103" s="3" t="s">
        <v>729</v>
      </c>
      <c r="C103" s="3" t="s">
        <v>730</v>
      </c>
      <c r="D103" s="3" t="s">
        <v>88</v>
      </c>
      <c r="E103" s="3" t="s">
        <v>2671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537</v>
      </c>
      <c r="B104" s="3" t="s">
        <v>734</v>
      </c>
      <c r="C104" s="3" t="s">
        <v>735</v>
      </c>
      <c r="D104" s="3" t="s">
        <v>113</v>
      </c>
      <c r="E104" s="3" t="s">
        <v>2667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537</v>
      </c>
      <c r="B105" s="3" t="s">
        <v>736</v>
      </c>
      <c r="C105" s="3" t="s">
        <v>737</v>
      </c>
      <c r="D105" s="3" t="s">
        <v>113</v>
      </c>
      <c r="E105" s="3" t="s">
        <v>2667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537</v>
      </c>
      <c r="B106" s="3" t="s">
        <v>733</v>
      </c>
      <c r="C106" s="3" t="s">
        <v>344</v>
      </c>
      <c r="D106" s="3" t="s">
        <v>113</v>
      </c>
      <c r="E106" s="3" t="s">
        <v>2667</v>
      </c>
      <c r="F106" s="3">
        <f>COUNTIF(C106,PickedPlayers!D:D)</f>
        <v>0</v>
      </c>
      <c r="G106" s="3" t="str">
        <f t="shared" si="1"/>
        <v>Yes</v>
      </c>
    </row>
    <row r="107" spans="1:7" hidden="1" x14ac:dyDescent="0.25">
      <c r="A107" s="3" t="s">
        <v>544</v>
      </c>
      <c r="B107" s="3" t="s">
        <v>742</v>
      </c>
      <c r="C107" s="3" t="s">
        <v>743</v>
      </c>
      <c r="D107" s="3" t="s">
        <v>113</v>
      </c>
      <c r="E107" s="3" t="s">
        <v>2668</v>
      </c>
      <c r="F107" s="3">
        <f>COUNTIF(C107,PickedPlayers!D:D)</f>
        <v>0</v>
      </c>
      <c r="G107" s="3" t="str">
        <f t="shared" si="1"/>
        <v>Yes</v>
      </c>
    </row>
    <row r="108" spans="1:7" hidden="1" x14ac:dyDescent="0.25">
      <c r="A108" s="3" t="s">
        <v>544</v>
      </c>
      <c r="B108" s="3" t="s">
        <v>746</v>
      </c>
      <c r="C108" s="3" t="s">
        <v>747</v>
      </c>
      <c r="D108" s="3" t="s">
        <v>113</v>
      </c>
      <c r="E108" s="3" t="s">
        <v>2668</v>
      </c>
      <c r="F108" s="3">
        <f>COUNTIF(C108,PickedPlayers!D:D)</f>
        <v>0</v>
      </c>
      <c r="G108" s="3" t="str">
        <f t="shared" si="1"/>
        <v>Yes</v>
      </c>
    </row>
    <row r="109" spans="1:7" hidden="1" x14ac:dyDescent="0.25">
      <c r="A109" s="3" t="s">
        <v>544</v>
      </c>
      <c r="B109" s="3" t="s">
        <v>744</v>
      </c>
      <c r="C109" s="3" t="s">
        <v>745</v>
      </c>
      <c r="D109" s="3" t="s">
        <v>113</v>
      </c>
      <c r="E109" s="3" t="s">
        <v>2668</v>
      </c>
      <c r="F109" s="3">
        <f>COUNTIF(C109,PickedPlayers!D:D)</f>
        <v>0</v>
      </c>
      <c r="G109" s="3" t="str">
        <f t="shared" si="1"/>
        <v>Yes</v>
      </c>
    </row>
    <row r="110" spans="1:7" hidden="1" x14ac:dyDescent="0.25">
      <c r="A110" s="3" t="s">
        <v>544</v>
      </c>
      <c r="B110" s="3" t="s">
        <v>740</v>
      </c>
      <c r="C110" s="3" t="s">
        <v>741</v>
      </c>
      <c r="D110" s="3" t="s">
        <v>113</v>
      </c>
      <c r="E110" s="3" t="s">
        <v>2668</v>
      </c>
      <c r="F110" s="3">
        <f>COUNTIF(C110,PickedPlayers!D:D)</f>
        <v>0</v>
      </c>
      <c r="G110" s="3" t="str">
        <f t="shared" si="1"/>
        <v>Yes</v>
      </c>
    </row>
    <row r="111" spans="1:7" hidden="1" x14ac:dyDescent="0.25">
      <c r="A111" s="3" t="s">
        <v>544</v>
      </c>
      <c r="B111" s="3" t="s">
        <v>750</v>
      </c>
      <c r="C111" s="3" t="s">
        <v>432</v>
      </c>
      <c r="D111" s="3" t="s">
        <v>113</v>
      </c>
      <c r="E111" s="3" t="s">
        <v>2668</v>
      </c>
      <c r="F111" s="3">
        <f>COUNTIF(C111,PickedPlayers!D:D)</f>
        <v>0</v>
      </c>
      <c r="G111" s="3" t="str">
        <f t="shared" si="1"/>
        <v>Yes</v>
      </c>
    </row>
    <row r="112" spans="1:7" hidden="1" x14ac:dyDescent="0.25">
      <c r="A112" s="3" t="s">
        <v>544</v>
      </c>
      <c r="B112" s="3" t="s">
        <v>751</v>
      </c>
      <c r="C112" s="3" t="s">
        <v>752</v>
      </c>
      <c r="D112" s="3" t="s">
        <v>113</v>
      </c>
      <c r="E112" s="3" t="s">
        <v>2668</v>
      </c>
      <c r="F112" s="3">
        <f>COUNTIF(C112,PickedPlayers!D:D)</f>
        <v>0</v>
      </c>
      <c r="G112" s="3" t="str">
        <f t="shared" si="1"/>
        <v>Yes</v>
      </c>
    </row>
    <row r="113" spans="1:7" hidden="1" x14ac:dyDescent="0.25">
      <c r="A113" s="3" t="s">
        <v>544</v>
      </c>
      <c r="B113" s="3" t="s">
        <v>748</v>
      </c>
      <c r="C113" s="3" t="s">
        <v>749</v>
      </c>
      <c r="D113" s="3" t="s">
        <v>113</v>
      </c>
      <c r="E113" s="3" t="s">
        <v>2668</v>
      </c>
      <c r="F113" s="3">
        <f>COUNTIF(C113,PickedPlayers!D:D)</f>
        <v>0</v>
      </c>
      <c r="G113" s="3" t="str">
        <f t="shared" si="1"/>
        <v>Yes</v>
      </c>
    </row>
    <row r="114" spans="1:7" hidden="1" x14ac:dyDescent="0.25">
      <c r="A114" s="3" t="s">
        <v>544</v>
      </c>
      <c r="B114" s="3" t="s">
        <v>753</v>
      </c>
      <c r="C114" s="3" t="s">
        <v>754</v>
      </c>
      <c r="D114" s="3" t="s">
        <v>113</v>
      </c>
      <c r="E114" s="3" t="s">
        <v>2668</v>
      </c>
      <c r="F114" s="3">
        <f>COUNTIF(C114,PickedPlayers!D:D)</f>
        <v>0</v>
      </c>
      <c r="G114" s="3" t="str">
        <f t="shared" si="1"/>
        <v>Yes</v>
      </c>
    </row>
    <row r="115" spans="1:7" hidden="1" x14ac:dyDescent="0.25">
      <c r="A115" s="3" t="s">
        <v>544</v>
      </c>
      <c r="B115" s="3" t="s">
        <v>738</v>
      </c>
      <c r="C115" s="3" t="s">
        <v>739</v>
      </c>
      <c r="D115" s="3" t="s">
        <v>113</v>
      </c>
      <c r="E115" s="3" t="s">
        <v>2668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563</v>
      </c>
      <c r="B116" s="3" t="s">
        <v>763</v>
      </c>
      <c r="C116" s="3" t="s">
        <v>764</v>
      </c>
      <c r="D116" s="3" t="s">
        <v>113</v>
      </c>
      <c r="E116" s="3" t="s">
        <v>2669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563</v>
      </c>
      <c r="B117" s="3" t="s">
        <v>755</v>
      </c>
      <c r="C117" s="3" t="s">
        <v>756</v>
      </c>
      <c r="D117" s="3" t="s">
        <v>113</v>
      </c>
      <c r="E117" s="3" t="s">
        <v>2669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563</v>
      </c>
      <c r="B118" s="3" t="s">
        <v>757</v>
      </c>
      <c r="C118" s="3" t="s">
        <v>758</v>
      </c>
      <c r="D118" s="3" t="s">
        <v>113</v>
      </c>
      <c r="E118" s="3" t="s">
        <v>2669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563</v>
      </c>
      <c r="B119" s="3" t="s">
        <v>759</v>
      </c>
      <c r="C119" s="3" t="s">
        <v>322</v>
      </c>
      <c r="D119" s="3" t="s">
        <v>113</v>
      </c>
      <c r="E119" s="3" t="s">
        <v>2669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563</v>
      </c>
      <c r="B120" s="3" t="s">
        <v>760</v>
      </c>
      <c r="C120" s="3" t="s">
        <v>761</v>
      </c>
      <c r="D120" s="3" t="s">
        <v>113</v>
      </c>
      <c r="E120" s="3" t="s">
        <v>2669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563</v>
      </c>
      <c r="B121" s="3" t="s">
        <v>762</v>
      </c>
      <c r="C121" s="3" t="s">
        <v>448</v>
      </c>
      <c r="D121" s="3" t="s">
        <v>113</v>
      </c>
      <c r="E121" s="3" t="s">
        <v>2669</v>
      </c>
      <c r="F121" s="3">
        <f>COUNTIF(C121,PickedPlayers!D:D)</f>
        <v>0</v>
      </c>
      <c r="G121" s="3" t="str">
        <f t="shared" si="1"/>
        <v>Yes</v>
      </c>
    </row>
    <row r="122" spans="1:7" hidden="1" x14ac:dyDescent="0.25">
      <c r="A122" s="3" t="s">
        <v>578</v>
      </c>
      <c r="B122" s="3" t="s">
        <v>772</v>
      </c>
      <c r="C122" s="3" t="s">
        <v>773</v>
      </c>
      <c r="D122" s="3" t="s">
        <v>113</v>
      </c>
      <c r="E122" s="3" t="s">
        <v>2671</v>
      </c>
      <c r="F122" s="3">
        <f>COUNTIF(C122,PickedPlayers!D:D)</f>
        <v>0</v>
      </c>
      <c r="G122" s="3" t="str">
        <f t="shared" si="1"/>
        <v>Yes</v>
      </c>
    </row>
    <row r="123" spans="1:7" hidden="1" x14ac:dyDescent="0.25">
      <c r="A123" s="3" t="s">
        <v>578</v>
      </c>
      <c r="B123" s="3" t="s">
        <v>766</v>
      </c>
      <c r="C123" s="3" t="s">
        <v>767</v>
      </c>
      <c r="D123" s="3" t="s">
        <v>113</v>
      </c>
      <c r="E123" s="3" t="s">
        <v>2671</v>
      </c>
      <c r="F123" s="3">
        <f>COUNTIF(C123,PickedPlayers!D:D)</f>
        <v>0</v>
      </c>
      <c r="G123" s="3" t="str">
        <f t="shared" si="1"/>
        <v>Yes</v>
      </c>
    </row>
    <row r="124" spans="1:7" hidden="1" x14ac:dyDescent="0.25">
      <c r="A124" s="3" t="s">
        <v>578</v>
      </c>
      <c r="B124" s="3" t="s">
        <v>774</v>
      </c>
      <c r="C124" s="3" t="s">
        <v>775</v>
      </c>
      <c r="D124" s="3" t="s">
        <v>113</v>
      </c>
      <c r="E124" s="3" t="s">
        <v>2671</v>
      </c>
      <c r="F124" s="3">
        <f>COUNTIF(C124,PickedPlayers!D:D)</f>
        <v>0</v>
      </c>
      <c r="G124" s="3" t="str">
        <f t="shared" si="1"/>
        <v>Yes</v>
      </c>
    </row>
    <row r="125" spans="1:7" hidden="1" x14ac:dyDescent="0.25">
      <c r="A125" s="3" t="s">
        <v>578</v>
      </c>
      <c r="B125" s="3" t="s">
        <v>769</v>
      </c>
      <c r="C125" s="3" t="s">
        <v>770</v>
      </c>
      <c r="D125" s="3" t="s">
        <v>113</v>
      </c>
      <c r="E125" s="3" t="s">
        <v>2671</v>
      </c>
      <c r="F125" s="3">
        <f>COUNTIF(C125,PickedPlayers!D:D)</f>
        <v>0</v>
      </c>
      <c r="G125" s="3" t="str">
        <f t="shared" si="1"/>
        <v>Yes</v>
      </c>
    </row>
    <row r="126" spans="1:7" hidden="1" x14ac:dyDescent="0.25">
      <c r="A126" s="3" t="s">
        <v>578</v>
      </c>
      <c r="B126" s="3" t="s">
        <v>771</v>
      </c>
      <c r="C126" s="3" t="s">
        <v>324</v>
      </c>
      <c r="D126" s="3" t="s">
        <v>113</v>
      </c>
      <c r="E126" s="3" t="s">
        <v>2671</v>
      </c>
      <c r="F126" s="3">
        <f>COUNTIF(C126,PickedPlayers!D:D)</f>
        <v>0</v>
      </c>
      <c r="G126" s="3" t="str">
        <f t="shared" si="1"/>
        <v>Yes</v>
      </c>
    </row>
    <row r="127" spans="1:7" hidden="1" x14ac:dyDescent="0.25">
      <c r="A127" s="3" t="s">
        <v>578</v>
      </c>
      <c r="B127" s="3" t="s">
        <v>768</v>
      </c>
      <c r="C127" s="3" t="s">
        <v>460</v>
      </c>
      <c r="D127" s="3" t="s">
        <v>113</v>
      </c>
      <c r="E127" s="3" t="s">
        <v>2671</v>
      </c>
      <c r="F127" s="3">
        <f>COUNTIF(C127,PickedPlayers!D:D)</f>
        <v>0</v>
      </c>
      <c r="G127" s="3" t="str">
        <f t="shared" si="1"/>
        <v>Yes</v>
      </c>
    </row>
    <row r="128" spans="1:7" hidden="1" x14ac:dyDescent="0.25">
      <c r="A128" s="3" t="s">
        <v>578</v>
      </c>
      <c r="B128" s="3" t="s">
        <v>776</v>
      </c>
      <c r="C128" s="3" t="s">
        <v>777</v>
      </c>
      <c r="D128" s="3" t="s">
        <v>113</v>
      </c>
      <c r="E128" s="3" t="s">
        <v>2671</v>
      </c>
      <c r="F128" s="3">
        <f>COUNTIF(C128,PickedPlayers!D:D)</f>
        <v>0</v>
      </c>
      <c r="G128" s="3" t="str">
        <f t="shared" si="1"/>
        <v>Yes</v>
      </c>
    </row>
    <row r="129" spans="1:7" hidden="1" x14ac:dyDescent="0.25">
      <c r="A129" s="3" t="s">
        <v>578</v>
      </c>
      <c r="B129" s="3" t="s">
        <v>765</v>
      </c>
      <c r="C129" s="3" t="s">
        <v>535</v>
      </c>
      <c r="D129" s="3" t="s">
        <v>113</v>
      </c>
      <c r="E129" s="3" t="s">
        <v>2671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537</v>
      </c>
      <c r="B130" s="3" t="s">
        <v>783</v>
      </c>
      <c r="C130" s="3" t="s">
        <v>784</v>
      </c>
      <c r="D130" s="3" t="s">
        <v>2777</v>
      </c>
      <c r="E130" s="3" t="s">
        <v>2667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537</v>
      </c>
      <c r="B131" s="3" t="s">
        <v>781</v>
      </c>
      <c r="C131" s="3" t="s">
        <v>782</v>
      </c>
      <c r="D131" s="3" t="s">
        <v>2777</v>
      </c>
      <c r="E131" s="3" t="s">
        <v>2667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537</v>
      </c>
      <c r="B132" s="3" t="s">
        <v>778</v>
      </c>
      <c r="C132" s="3" t="s">
        <v>779</v>
      </c>
      <c r="D132" s="3" t="s">
        <v>2777</v>
      </c>
      <c r="E132" s="3" t="s">
        <v>2667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544</v>
      </c>
      <c r="B133" s="3" t="s">
        <v>787</v>
      </c>
      <c r="C133" s="3" t="s">
        <v>788</v>
      </c>
      <c r="D133" s="3" t="s">
        <v>2777</v>
      </c>
      <c r="E133" s="3" t="s">
        <v>2668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544</v>
      </c>
      <c r="B134" s="3" t="s">
        <v>789</v>
      </c>
      <c r="C134" s="3" t="s">
        <v>790</v>
      </c>
      <c r="D134" s="3" t="s">
        <v>2777</v>
      </c>
      <c r="E134" s="3" t="s">
        <v>2668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544</v>
      </c>
      <c r="B135" s="3" t="s">
        <v>799</v>
      </c>
      <c r="C135" s="3" t="s">
        <v>800</v>
      </c>
      <c r="D135" s="3" t="s">
        <v>2777</v>
      </c>
      <c r="E135" s="3" t="s">
        <v>2668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544</v>
      </c>
      <c r="B136" s="3" t="s">
        <v>791</v>
      </c>
      <c r="C136" s="3" t="s">
        <v>792</v>
      </c>
      <c r="D136" s="3" t="s">
        <v>2777</v>
      </c>
      <c r="E136" s="3" t="s">
        <v>2668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544</v>
      </c>
      <c r="B137" s="3" t="s">
        <v>785</v>
      </c>
      <c r="C137" s="3" t="s">
        <v>786</v>
      </c>
      <c r="D137" s="3" t="s">
        <v>2777</v>
      </c>
      <c r="E137" s="3" t="s">
        <v>2668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544</v>
      </c>
      <c r="B138" s="3" t="s">
        <v>797</v>
      </c>
      <c r="C138" s="3" t="s">
        <v>798</v>
      </c>
      <c r="D138" s="3" t="s">
        <v>2777</v>
      </c>
      <c r="E138" s="3" t="s">
        <v>2668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544</v>
      </c>
      <c r="B139" s="3" t="s">
        <v>795</v>
      </c>
      <c r="C139" s="3" t="s">
        <v>796</v>
      </c>
      <c r="D139" s="3" t="s">
        <v>2777</v>
      </c>
      <c r="E139" s="3" t="s">
        <v>2668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544</v>
      </c>
      <c r="B140" s="3" t="s">
        <v>793</v>
      </c>
      <c r="C140" s="3" t="s">
        <v>794</v>
      </c>
      <c r="D140" s="3" t="s">
        <v>2777</v>
      </c>
      <c r="E140" s="3" t="s">
        <v>2668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563</v>
      </c>
      <c r="B141" s="3" t="s">
        <v>805</v>
      </c>
      <c r="C141" s="3" t="s">
        <v>806</v>
      </c>
      <c r="D141" s="3" t="s">
        <v>2777</v>
      </c>
      <c r="E141" s="3" t="s">
        <v>2669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563</v>
      </c>
      <c r="B142" s="3" t="s">
        <v>807</v>
      </c>
      <c r="C142" s="3" t="s">
        <v>808</v>
      </c>
      <c r="D142" s="3" t="s">
        <v>2777</v>
      </c>
      <c r="E142" s="3" t="s">
        <v>2669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563</v>
      </c>
      <c r="B143" s="3" t="s">
        <v>803</v>
      </c>
      <c r="C143" s="3" t="s">
        <v>804</v>
      </c>
      <c r="D143" s="3" t="s">
        <v>2777</v>
      </c>
      <c r="E143" s="3" t="s">
        <v>2669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563</v>
      </c>
      <c r="B144" s="3" t="s">
        <v>801</v>
      </c>
      <c r="C144" s="3" t="s">
        <v>802</v>
      </c>
      <c r="D144" s="3" t="s">
        <v>2777</v>
      </c>
      <c r="E144" s="3" t="s">
        <v>2669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563</v>
      </c>
      <c r="B145" s="3" t="s">
        <v>811</v>
      </c>
      <c r="C145" s="3" t="s">
        <v>812</v>
      </c>
      <c r="D145" s="3" t="s">
        <v>2777</v>
      </c>
      <c r="E145" s="3" t="s">
        <v>2669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563</v>
      </c>
      <c r="B146" s="3" t="s">
        <v>815</v>
      </c>
      <c r="C146" s="3" t="s">
        <v>816</v>
      </c>
      <c r="D146" s="3" t="s">
        <v>2777</v>
      </c>
      <c r="E146" s="3" t="s">
        <v>2669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563</v>
      </c>
      <c r="B147" s="3" t="s">
        <v>809</v>
      </c>
      <c r="C147" s="3" t="s">
        <v>810</v>
      </c>
      <c r="D147" s="3" t="s">
        <v>2777</v>
      </c>
      <c r="E147" s="3" t="s">
        <v>2669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563</v>
      </c>
      <c r="B148" s="3" t="s">
        <v>813</v>
      </c>
      <c r="C148" s="3" t="s">
        <v>814</v>
      </c>
      <c r="D148" s="3" t="s">
        <v>2777</v>
      </c>
      <c r="E148" s="3" t="s">
        <v>2669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578</v>
      </c>
      <c r="B149" s="3" t="s">
        <v>819</v>
      </c>
      <c r="C149" s="3" t="s">
        <v>820</v>
      </c>
      <c r="D149" s="3" t="s">
        <v>2777</v>
      </c>
      <c r="E149" s="3" t="s">
        <v>2671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578</v>
      </c>
      <c r="B150" s="3" t="s">
        <v>821</v>
      </c>
      <c r="C150" s="3" t="s">
        <v>822</v>
      </c>
      <c r="D150" s="3" t="s">
        <v>2777</v>
      </c>
      <c r="E150" s="3" t="s">
        <v>2671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578</v>
      </c>
      <c r="B151" s="3" t="s">
        <v>825</v>
      </c>
      <c r="C151" s="3" t="s">
        <v>826</v>
      </c>
      <c r="D151" s="3" t="s">
        <v>2777</v>
      </c>
      <c r="E151" s="3" t="s">
        <v>2671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578</v>
      </c>
      <c r="B152" s="3" t="s">
        <v>823</v>
      </c>
      <c r="C152" s="3" t="s">
        <v>824</v>
      </c>
      <c r="D152" s="3" t="s">
        <v>2777</v>
      </c>
      <c r="E152" s="3" t="s">
        <v>2671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578</v>
      </c>
      <c r="B153" s="3" t="s">
        <v>827</v>
      </c>
      <c r="C153" s="3" t="s">
        <v>828</v>
      </c>
      <c r="D153" s="3" t="s">
        <v>2777</v>
      </c>
      <c r="E153" s="3" t="s">
        <v>2671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578</v>
      </c>
      <c r="B154" s="3" t="s">
        <v>829</v>
      </c>
      <c r="C154" s="3" t="s">
        <v>830</v>
      </c>
      <c r="D154" s="3" t="s">
        <v>2777</v>
      </c>
      <c r="E154" s="3" t="s">
        <v>2671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578</v>
      </c>
      <c r="B155" s="3" t="s">
        <v>817</v>
      </c>
      <c r="C155" s="3" t="s">
        <v>818</v>
      </c>
      <c r="D155" s="3" t="s">
        <v>2777</v>
      </c>
      <c r="E155" s="3" t="s">
        <v>2671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537</v>
      </c>
      <c r="B156" s="3" t="s">
        <v>372</v>
      </c>
      <c r="C156" s="3" t="s">
        <v>372</v>
      </c>
      <c r="D156" s="3" t="s">
        <v>78</v>
      </c>
      <c r="E156" s="3" t="s">
        <v>2667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537</v>
      </c>
      <c r="B157" s="3" t="s">
        <v>497</v>
      </c>
      <c r="C157" s="3" t="s">
        <v>497</v>
      </c>
      <c r="D157" s="3" t="s">
        <v>78</v>
      </c>
      <c r="E157" s="3" t="s">
        <v>2667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537</v>
      </c>
      <c r="B158" s="3" t="s">
        <v>831</v>
      </c>
      <c r="C158" s="3" t="s">
        <v>831</v>
      </c>
      <c r="D158" s="3" t="s">
        <v>78</v>
      </c>
      <c r="E158" s="3" t="s">
        <v>2667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544</v>
      </c>
      <c r="B159" s="3" t="s">
        <v>422</v>
      </c>
      <c r="C159" s="3" t="s">
        <v>422</v>
      </c>
      <c r="D159" s="3" t="s">
        <v>78</v>
      </c>
      <c r="E159" s="3" t="s">
        <v>2668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544</v>
      </c>
      <c r="B160" s="3" t="s">
        <v>833</v>
      </c>
      <c r="C160" s="3" t="s">
        <v>833</v>
      </c>
      <c r="D160" s="3" t="s">
        <v>78</v>
      </c>
      <c r="E160" s="3" t="s">
        <v>2668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544</v>
      </c>
      <c r="B161" s="3" t="s">
        <v>531</v>
      </c>
      <c r="C161" s="3" t="s">
        <v>531</v>
      </c>
      <c r="D161" s="3" t="s">
        <v>78</v>
      </c>
      <c r="E161" s="3" t="s">
        <v>2668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544</v>
      </c>
      <c r="B162" s="3" t="s">
        <v>835</v>
      </c>
      <c r="C162" s="3" t="s">
        <v>835</v>
      </c>
      <c r="D162" s="3" t="s">
        <v>78</v>
      </c>
      <c r="E162" s="3" t="s">
        <v>2668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544</v>
      </c>
      <c r="B163" s="3" t="s">
        <v>314</v>
      </c>
      <c r="C163" s="3" t="s">
        <v>314</v>
      </c>
      <c r="D163" s="3" t="s">
        <v>78</v>
      </c>
      <c r="E163" s="3" t="s">
        <v>2668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544</v>
      </c>
      <c r="B164" s="3" t="s">
        <v>836</v>
      </c>
      <c r="C164" s="3" t="s">
        <v>836</v>
      </c>
      <c r="D164" s="3" t="s">
        <v>78</v>
      </c>
      <c r="E164" s="3" t="s">
        <v>2668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544</v>
      </c>
      <c r="B165" s="3" t="s">
        <v>834</v>
      </c>
      <c r="C165" s="3" t="s">
        <v>834</v>
      </c>
      <c r="D165" s="3" t="s">
        <v>78</v>
      </c>
      <c r="E165" s="3" t="s">
        <v>2668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544</v>
      </c>
      <c r="B166" s="3" t="s">
        <v>452</v>
      </c>
      <c r="C166" s="3" t="s">
        <v>452</v>
      </c>
      <c r="D166" s="3" t="s">
        <v>78</v>
      </c>
      <c r="E166" s="3" t="s">
        <v>2668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544</v>
      </c>
      <c r="B167" s="3" t="s">
        <v>832</v>
      </c>
      <c r="C167" s="3" t="s">
        <v>832</v>
      </c>
      <c r="D167" s="3" t="s">
        <v>78</v>
      </c>
      <c r="E167" s="3" t="s">
        <v>2668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563</v>
      </c>
      <c r="B168" s="3" t="s">
        <v>408</v>
      </c>
      <c r="C168" s="3" t="s">
        <v>408</v>
      </c>
      <c r="D168" s="3" t="s">
        <v>78</v>
      </c>
      <c r="E168" s="3" t="s">
        <v>2669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563</v>
      </c>
      <c r="B169" s="3" t="s">
        <v>837</v>
      </c>
      <c r="C169" s="3" t="s">
        <v>837</v>
      </c>
      <c r="D169" s="3" t="s">
        <v>78</v>
      </c>
      <c r="E169" s="3" t="s">
        <v>2669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563</v>
      </c>
      <c r="B170" s="3" t="s">
        <v>838</v>
      </c>
      <c r="C170" s="3" t="s">
        <v>838</v>
      </c>
      <c r="D170" s="3" t="s">
        <v>78</v>
      </c>
      <c r="E170" s="3" t="s">
        <v>2669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563</v>
      </c>
      <c r="B171" s="3" t="s">
        <v>840</v>
      </c>
      <c r="C171" s="3" t="s">
        <v>840</v>
      </c>
      <c r="D171" s="3" t="s">
        <v>78</v>
      </c>
      <c r="E171" s="3" t="s">
        <v>2669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563</v>
      </c>
      <c r="B172" s="3" t="s">
        <v>839</v>
      </c>
      <c r="C172" s="3" t="s">
        <v>839</v>
      </c>
      <c r="D172" s="3" t="s">
        <v>78</v>
      </c>
      <c r="E172" s="3" t="s">
        <v>2669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578</v>
      </c>
      <c r="B173" s="3" t="s">
        <v>846</v>
      </c>
      <c r="C173" s="3" t="s">
        <v>846</v>
      </c>
      <c r="D173" s="3" t="s">
        <v>78</v>
      </c>
      <c r="E173" s="3" t="s">
        <v>2671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578</v>
      </c>
      <c r="B174" s="3" t="s">
        <v>842</v>
      </c>
      <c r="C174" s="3" t="s">
        <v>842</v>
      </c>
      <c r="D174" s="3" t="s">
        <v>78</v>
      </c>
      <c r="E174" s="3" t="s">
        <v>2671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578</v>
      </c>
      <c r="B175" s="3" t="s">
        <v>844</v>
      </c>
      <c r="C175" s="3" t="s">
        <v>844</v>
      </c>
      <c r="D175" s="3" t="s">
        <v>78</v>
      </c>
      <c r="E175" s="3" t="s">
        <v>2671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578</v>
      </c>
      <c r="B176" s="3" t="s">
        <v>841</v>
      </c>
      <c r="C176" s="3" t="s">
        <v>841</v>
      </c>
      <c r="D176" s="3" t="s">
        <v>78</v>
      </c>
      <c r="E176" s="3" t="s">
        <v>2671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578</v>
      </c>
      <c r="B177" s="3" t="s">
        <v>400</v>
      </c>
      <c r="C177" s="3" t="s">
        <v>400</v>
      </c>
      <c r="D177" s="3" t="s">
        <v>78</v>
      </c>
      <c r="E177" s="3" t="s">
        <v>2671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578</v>
      </c>
      <c r="B178" s="3" t="s">
        <v>843</v>
      </c>
      <c r="C178" s="3" t="s">
        <v>843</v>
      </c>
      <c r="D178" s="3" t="s">
        <v>78</v>
      </c>
      <c r="E178" s="3" t="s">
        <v>2671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578</v>
      </c>
      <c r="B179" s="3" t="s">
        <v>302</v>
      </c>
      <c r="C179" s="3" t="s">
        <v>302</v>
      </c>
      <c r="D179" s="3" t="s">
        <v>78</v>
      </c>
      <c r="E179" s="3" t="s">
        <v>2671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578</v>
      </c>
      <c r="B180" s="3" t="s">
        <v>845</v>
      </c>
      <c r="C180" s="3" t="s">
        <v>845</v>
      </c>
      <c r="D180" s="3" t="s">
        <v>78</v>
      </c>
      <c r="E180" s="3" t="s">
        <v>2671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578</v>
      </c>
      <c r="B181" s="3" t="s">
        <v>304</v>
      </c>
      <c r="C181" s="3" t="s">
        <v>304</v>
      </c>
      <c r="D181" s="3" t="s">
        <v>78</v>
      </c>
      <c r="E181" s="3" t="s">
        <v>2671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537</v>
      </c>
      <c r="B182" s="3" t="s">
        <v>873</v>
      </c>
      <c r="C182" s="3" t="s">
        <v>874</v>
      </c>
      <c r="D182" s="3" t="s">
        <v>83</v>
      </c>
      <c r="E182" s="3" t="s">
        <v>2667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537</v>
      </c>
      <c r="B183" s="3" t="s">
        <v>877</v>
      </c>
      <c r="C183" s="3" t="s">
        <v>878</v>
      </c>
      <c r="D183" s="3" t="s">
        <v>83</v>
      </c>
      <c r="E183" s="3" t="s">
        <v>2667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537</v>
      </c>
      <c r="B184" s="3" t="s">
        <v>875</v>
      </c>
      <c r="C184" s="3" t="s">
        <v>876</v>
      </c>
      <c r="D184" s="3" t="s">
        <v>83</v>
      </c>
      <c r="E184" s="3" t="s">
        <v>2667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544</v>
      </c>
      <c r="B185" s="3" t="s">
        <v>889</v>
      </c>
      <c r="C185" s="3" t="s">
        <v>487</v>
      </c>
      <c r="D185" s="3" t="s">
        <v>83</v>
      </c>
      <c r="E185" s="3" t="s">
        <v>2668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544</v>
      </c>
      <c r="B186" s="3" t="s">
        <v>879</v>
      </c>
      <c r="C186" s="3" t="s">
        <v>880</v>
      </c>
      <c r="D186" s="3" t="s">
        <v>83</v>
      </c>
      <c r="E186" s="3" t="s">
        <v>2668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544</v>
      </c>
      <c r="B187" s="3" t="s">
        <v>883</v>
      </c>
      <c r="C187" s="3" t="s">
        <v>884</v>
      </c>
      <c r="D187" s="3" t="s">
        <v>83</v>
      </c>
      <c r="E187" s="3" t="s">
        <v>2668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544</v>
      </c>
      <c r="B188" s="3" t="s">
        <v>881</v>
      </c>
      <c r="C188" s="3" t="s">
        <v>882</v>
      </c>
      <c r="D188" s="3" t="s">
        <v>83</v>
      </c>
      <c r="E188" s="3" t="s">
        <v>2668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544</v>
      </c>
      <c r="B189" s="3" t="s">
        <v>890</v>
      </c>
      <c r="C189" s="3" t="s">
        <v>891</v>
      </c>
      <c r="D189" s="3" t="s">
        <v>83</v>
      </c>
      <c r="E189" s="3" t="s">
        <v>2668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544</v>
      </c>
      <c r="B190" s="3" t="s">
        <v>887</v>
      </c>
      <c r="C190" s="3" t="s">
        <v>888</v>
      </c>
      <c r="D190" s="3" t="s">
        <v>83</v>
      </c>
      <c r="E190" s="3" t="s">
        <v>2668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544</v>
      </c>
      <c r="B191" s="3" t="s">
        <v>885</v>
      </c>
      <c r="C191" s="3" t="s">
        <v>886</v>
      </c>
      <c r="D191" s="3" t="s">
        <v>83</v>
      </c>
      <c r="E191" s="3" t="s">
        <v>2668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544</v>
      </c>
      <c r="B192" s="3" t="s">
        <v>892</v>
      </c>
      <c r="C192" s="3" t="s">
        <v>893</v>
      </c>
      <c r="D192" s="3" t="s">
        <v>83</v>
      </c>
      <c r="E192" s="3" t="s">
        <v>2668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563</v>
      </c>
      <c r="B193" s="3" t="s">
        <v>906</v>
      </c>
      <c r="C193" s="3" t="s">
        <v>907</v>
      </c>
      <c r="D193" s="3" t="s">
        <v>83</v>
      </c>
      <c r="E193" s="3" t="s">
        <v>2669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563</v>
      </c>
      <c r="B194" s="3" t="s">
        <v>902</v>
      </c>
      <c r="C194" s="3" t="s">
        <v>903</v>
      </c>
      <c r="D194" s="3" t="s">
        <v>83</v>
      </c>
      <c r="E194" s="3" t="s">
        <v>2669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563</v>
      </c>
      <c r="B195" s="3" t="s">
        <v>896</v>
      </c>
      <c r="C195" s="3" t="s">
        <v>897</v>
      </c>
      <c r="D195" s="3" t="s">
        <v>83</v>
      </c>
      <c r="E195" s="3" t="s">
        <v>2669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563</v>
      </c>
      <c r="B196" s="3" t="s">
        <v>894</v>
      </c>
      <c r="C196" s="3" t="s">
        <v>895</v>
      </c>
      <c r="D196" s="3" t="s">
        <v>83</v>
      </c>
      <c r="E196" s="3" t="s">
        <v>2669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563</v>
      </c>
      <c r="B197" s="3" t="s">
        <v>904</v>
      </c>
      <c r="C197" s="3" t="s">
        <v>905</v>
      </c>
      <c r="D197" s="3" t="s">
        <v>83</v>
      </c>
      <c r="E197" s="3" t="s">
        <v>2669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563</v>
      </c>
      <c r="B198" s="3" t="s">
        <v>900</v>
      </c>
      <c r="C198" s="3" t="s">
        <v>901</v>
      </c>
      <c r="D198" s="3" t="s">
        <v>83</v>
      </c>
      <c r="E198" s="3" t="s">
        <v>2669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563</v>
      </c>
      <c r="B199" s="3" t="s">
        <v>898</v>
      </c>
      <c r="C199" s="3" t="s">
        <v>899</v>
      </c>
      <c r="D199" s="3" t="s">
        <v>83</v>
      </c>
      <c r="E199" s="3" t="s">
        <v>2669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578</v>
      </c>
      <c r="B200" s="3" t="s">
        <v>908</v>
      </c>
      <c r="C200" s="3" t="s">
        <v>909</v>
      </c>
      <c r="D200" s="3" t="s">
        <v>83</v>
      </c>
      <c r="E200" s="3" t="s">
        <v>2671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578</v>
      </c>
      <c r="B201" s="3" t="s">
        <v>912</v>
      </c>
      <c r="C201" s="3" t="s">
        <v>913</v>
      </c>
      <c r="D201" s="3" t="s">
        <v>83</v>
      </c>
      <c r="E201" s="3" t="s">
        <v>2671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578</v>
      </c>
      <c r="B202" s="3" t="s">
        <v>910</v>
      </c>
      <c r="C202" s="3" t="s">
        <v>911</v>
      </c>
      <c r="D202" s="3" t="s">
        <v>83</v>
      </c>
      <c r="E202" s="3" t="s">
        <v>2671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578</v>
      </c>
      <c r="B203" s="3" t="s">
        <v>916</v>
      </c>
      <c r="C203" s="3" t="s">
        <v>917</v>
      </c>
      <c r="D203" s="3" t="s">
        <v>83</v>
      </c>
      <c r="E203" s="3" t="s">
        <v>2671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578</v>
      </c>
      <c r="B204" s="3" t="s">
        <v>918</v>
      </c>
      <c r="C204" s="3" t="s">
        <v>919</v>
      </c>
      <c r="D204" s="3" t="s">
        <v>83</v>
      </c>
      <c r="E204" s="3" t="s">
        <v>2671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578</v>
      </c>
      <c r="B205" s="3" t="s">
        <v>914</v>
      </c>
      <c r="C205" s="3" t="s">
        <v>915</v>
      </c>
      <c r="D205" s="3" t="s">
        <v>83</v>
      </c>
      <c r="E205" s="3" t="s">
        <v>2671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578</v>
      </c>
      <c r="B206" s="3" t="s">
        <v>920</v>
      </c>
      <c r="C206" s="3" t="s">
        <v>921</v>
      </c>
      <c r="D206" s="3" t="s">
        <v>83</v>
      </c>
      <c r="E206" s="3" t="s">
        <v>2671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537</v>
      </c>
      <c r="B207" s="3" t="s">
        <v>848</v>
      </c>
      <c r="C207" s="3" t="s">
        <v>848</v>
      </c>
      <c r="D207" s="3" t="s">
        <v>2734</v>
      </c>
      <c r="E207" s="3" t="s">
        <v>2667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537</v>
      </c>
      <c r="B208" s="3" t="s">
        <v>849</v>
      </c>
      <c r="C208" s="3" t="s">
        <v>849</v>
      </c>
      <c r="D208" s="3" t="s">
        <v>2734</v>
      </c>
      <c r="E208" s="3" t="s">
        <v>2667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537</v>
      </c>
      <c r="B209" s="3" t="s">
        <v>847</v>
      </c>
      <c r="C209" s="3" t="s">
        <v>847</v>
      </c>
      <c r="D209" s="3" t="s">
        <v>2734</v>
      </c>
      <c r="E209" s="3" t="s">
        <v>2667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544</v>
      </c>
      <c r="B210" s="3" t="s">
        <v>852</v>
      </c>
      <c r="C210" s="3" t="s">
        <v>852</v>
      </c>
      <c r="D210" s="3" t="s">
        <v>2734</v>
      </c>
      <c r="E210" s="3" t="s">
        <v>2668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544</v>
      </c>
      <c r="B211" s="3" t="s">
        <v>857</v>
      </c>
      <c r="C211" s="3" t="s">
        <v>857</v>
      </c>
      <c r="D211" s="3" t="s">
        <v>2734</v>
      </c>
      <c r="E211" s="3" t="s">
        <v>2668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544</v>
      </c>
      <c r="B212" s="3" t="s">
        <v>856</v>
      </c>
      <c r="C212" s="3" t="s">
        <v>856</v>
      </c>
      <c r="D212" s="3" t="s">
        <v>2734</v>
      </c>
      <c r="E212" s="3" t="s">
        <v>2668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544</v>
      </c>
      <c r="B213" s="3" t="s">
        <v>854</v>
      </c>
      <c r="C213" s="3" t="s">
        <v>854</v>
      </c>
      <c r="D213" s="3" t="s">
        <v>2734</v>
      </c>
      <c r="E213" s="3" t="s">
        <v>2668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544</v>
      </c>
      <c r="B214" s="3" t="s">
        <v>851</v>
      </c>
      <c r="C214" s="3" t="s">
        <v>851</v>
      </c>
      <c r="D214" s="3" t="s">
        <v>2734</v>
      </c>
      <c r="E214" s="3" t="s">
        <v>2668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544</v>
      </c>
      <c r="B215" s="3" t="s">
        <v>853</v>
      </c>
      <c r="C215" s="3" t="s">
        <v>853</v>
      </c>
      <c r="D215" s="3" t="s">
        <v>2734</v>
      </c>
      <c r="E215" s="3" t="s">
        <v>2668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544</v>
      </c>
      <c r="B216" s="3" t="s">
        <v>850</v>
      </c>
      <c r="C216" s="3" t="s">
        <v>850</v>
      </c>
      <c r="D216" s="3" t="s">
        <v>2734</v>
      </c>
      <c r="E216" s="3" t="s">
        <v>2668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544</v>
      </c>
      <c r="B217" s="3" t="s">
        <v>855</v>
      </c>
      <c r="C217" s="3" t="s">
        <v>855</v>
      </c>
      <c r="D217" s="3" t="s">
        <v>2734</v>
      </c>
      <c r="E217" s="3" t="s">
        <v>2668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563</v>
      </c>
      <c r="B218" s="3" t="s">
        <v>864</v>
      </c>
      <c r="C218" s="3" t="s">
        <v>864</v>
      </c>
      <c r="D218" s="3" t="s">
        <v>2734</v>
      </c>
      <c r="E218" s="3" t="s">
        <v>2669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563</v>
      </c>
      <c r="B219" s="3" t="s">
        <v>862</v>
      </c>
      <c r="C219" s="3" t="s">
        <v>862</v>
      </c>
      <c r="D219" s="3" t="s">
        <v>2734</v>
      </c>
      <c r="E219" s="3" t="s">
        <v>2669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563</v>
      </c>
      <c r="B220" s="3" t="s">
        <v>860</v>
      </c>
      <c r="C220" s="3" t="s">
        <v>860</v>
      </c>
      <c r="D220" s="3" t="s">
        <v>2734</v>
      </c>
      <c r="E220" s="3" t="s">
        <v>2669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563</v>
      </c>
      <c r="B221" s="3" t="s">
        <v>858</v>
      </c>
      <c r="C221" s="3" t="s">
        <v>858</v>
      </c>
      <c r="D221" s="3" t="s">
        <v>2734</v>
      </c>
      <c r="E221" s="3" t="s">
        <v>2669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563</v>
      </c>
      <c r="B222" s="3" t="s">
        <v>859</v>
      </c>
      <c r="C222" s="3" t="s">
        <v>859</v>
      </c>
      <c r="D222" s="3" t="s">
        <v>2734</v>
      </c>
      <c r="E222" s="3" t="s">
        <v>2669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563</v>
      </c>
      <c r="B223" s="3" t="s">
        <v>863</v>
      </c>
      <c r="C223" s="3" t="s">
        <v>863</v>
      </c>
      <c r="D223" s="3" t="s">
        <v>2734</v>
      </c>
      <c r="E223" s="3" t="s">
        <v>2669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563</v>
      </c>
      <c r="B224" s="3" t="s">
        <v>861</v>
      </c>
      <c r="C224" s="3" t="s">
        <v>861</v>
      </c>
      <c r="D224" s="3" t="s">
        <v>2734</v>
      </c>
      <c r="E224" s="3" t="s">
        <v>2669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578</v>
      </c>
      <c r="B225" s="3" t="s">
        <v>866</v>
      </c>
      <c r="C225" s="3" t="s">
        <v>866</v>
      </c>
      <c r="D225" s="3" t="s">
        <v>2734</v>
      </c>
      <c r="E225" s="3" t="s">
        <v>2671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578</v>
      </c>
      <c r="B226" s="3" t="s">
        <v>869</v>
      </c>
      <c r="C226" s="3" t="s">
        <v>869</v>
      </c>
      <c r="D226" s="3" t="s">
        <v>2734</v>
      </c>
      <c r="E226" s="3" t="s">
        <v>2671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578</v>
      </c>
      <c r="B227" s="3" t="s">
        <v>867</v>
      </c>
      <c r="C227" s="3" t="s">
        <v>867</v>
      </c>
      <c r="D227" s="3" t="s">
        <v>2734</v>
      </c>
      <c r="E227" s="3" t="s">
        <v>2671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578</v>
      </c>
      <c r="B228" s="3" t="s">
        <v>872</v>
      </c>
      <c r="C228" s="3" t="s">
        <v>872</v>
      </c>
      <c r="D228" s="3" t="s">
        <v>2734</v>
      </c>
      <c r="E228" s="3" t="s">
        <v>2671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578</v>
      </c>
      <c r="B229" s="3" t="s">
        <v>865</v>
      </c>
      <c r="C229" s="3" t="s">
        <v>865</v>
      </c>
      <c r="D229" s="3" t="s">
        <v>2734</v>
      </c>
      <c r="E229" s="3" t="s">
        <v>2671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578</v>
      </c>
      <c r="B230" s="3" t="s">
        <v>870</v>
      </c>
      <c r="C230" s="3" t="s">
        <v>870</v>
      </c>
      <c r="D230" s="3" t="s">
        <v>2734</v>
      </c>
      <c r="E230" s="3" t="s">
        <v>2671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578</v>
      </c>
      <c r="B231" s="3" t="s">
        <v>868</v>
      </c>
      <c r="C231" s="3" t="s">
        <v>868</v>
      </c>
      <c r="D231" s="3" t="s">
        <v>2734</v>
      </c>
      <c r="E231" s="3" t="s">
        <v>2671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578</v>
      </c>
      <c r="B232" s="3" t="s">
        <v>871</v>
      </c>
      <c r="C232" s="3" t="s">
        <v>871</v>
      </c>
      <c r="D232" s="3" t="s">
        <v>2734</v>
      </c>
      <c r="E232" s="3" t="s">
        <v>2671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537</v>
      </c>
      <c r="B233" s="3" t="s">
        <v>924</v>
      </c>
      <c r="C233" s="3" t="s">
        <v>925</v>
      </c>
      <c r="D233" s="3" t="s">
        <v>100</v>
      </c>
      <c r="E233" s="3" t="s">
        <v>2667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537</v>
      </c>
      <c r="B234" s="3" t="s">
        <v>926</v>
      </c>
      <c r="C234" s="3" t="s">
        <v>927</v>
      </c>
      <c r="D234" s="3" t="s">
        <v>100</v>
      </c>
      <c r="E234" s="3" t="s">
        <v>2667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537</v>
      </c>
      <c r="B235" s="3" t="s">
        <v>922</v>
      </c>
      <c r="C235" s="3" t="s">
        <v>923</v>
      </c>
      <c r="D235" s="3" t="s">
        <v>100</v>
      </c>
      <c r="E235" s="3" t="s">
        <v>2667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544</v>
      </c>
      <c r="B236" s="3" t="s">
        <v>937</v>
      </c>
      <c r="C236" s="3" t="s">
        <v>938</v>
      </c>
      <c r="D236" s="3" t="s">
        <v>100</v>
      </c>
      <c r="E236" s="3" t="s">
        <v>2668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544</v>
      </c>
      <c r="B237" s="3" t="s">
        <v>928</v>
      </c>
      <c r="C237" s="3" t="s">
        <v>523</v>
      </c>
      <c r="D237" s="3" t="s">
        <v>100</v>
      </c>
      <c r="E237" s="3" t="s">
        <v>2668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544</v>
      </c>
      <c r="B238" s="3" t="s">
        <v>941</v>
      </c>
      <c r="C238" s="3" t="s">
        <v>942</v>
      </c>
      <c r="D238" s="3" t="s">
        <v>100</v>
      </c>
      <c r="E238" s="3" t="s">
        <v>2668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544</v>
      </c>
      <c r="B239" s="3" t="s">
        <v>931</v>
      </c>
      <c r="C239" s="3" t="s">
        <v>932</v>
      </c>
      <c r="D239" s="3" t="s">
        <v>100</v>
      </c>
      <c r="E239" s="3" t="s">
        <v>2668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544</v>
      </c>
      <c r="B240" s="3" t="s">
        <v>929</v>
      </c>
      <c r="C240" s="3" t="s">
        <v>930</v>
      </c>
      <c r="D240" s="3" t="s">
        <v>100</v>
      </c>
      <c r="E240" s="3" t="s">
        <v>2668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544</v>
      </c>
      <c r="B241" s="3" t="s">
        <v>935</v>
      </c>
      <c r="C241" s="3" t="s">
        <v>936</v>
      </c>
      <c r="D241" s="3" t="s">
        <v>100</v>
      </c>
      <c r="E241" s="3" t="s">
        <v>2668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544</v>
      </c>
      <c r="B242" s="3" t="s">
        <v>933</v>
      </c>
      <c r="C242" s="3" t="s">
        <v>934</v>
      </c>
      <c r="D242" s="3" t="s">
        <v>100</v>
      </c>
      <c r="E242" s="3" t="s">
        <v>2668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544</v>
      </c>
      <c r="B243" s="3" t="s">
        <v>939</v>
      </c>
      <c r="C243" s="3" t="s">
        <v>940</v>
      </c>
      <c r="D243" s="3" t="s">
        <v>100</v>
      </c>
      <c r="E243" s="3" t="s">
        <v>2668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563</v>
      </c>
      <c r="B244" s="3" t="s">
        <v>945</v>
      </c>
      <c r="C244" s="3" t="s">
        <v>946</v>
      </c>
      <c r="D244" s="3" t="s">
        <v>100</v>
      </c>
      <c r="E244" s="3" t="s">
        <v>2669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563</v>
      </c>
      <c r="B245" s="3" t="s">
        <v>959</v>
      </c>
      <c r="C245" s="3" t="s">
        <v>960</v>
      </c>
      <c r="D245" s="3" t="s">
        <v>100</v>
      </c>
      <c r="E245" s="3" t="s">
        <v>2669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563</v>
      </c>
      <c r="B246" s="3" t="s">
        <v>961</v>
      </c>
      <c r="C246" s="3" t="s">
        <v>962</v>
      </c>
      <c r="D246" s="3" t="s">
        <v>100</v>
      </c>
      <c r="E246" s="3" t="s">
        <v>2669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563</v>
      </c>
      <c r="B247" s="3" t="s">
        <v>951</v>
      </c>
      <c r="C247" s="3" t="s">
        <v>952</v>
      </c>
      <c r="D247" s="3" t="s">
        <v>100</v>
      </c>
      <c r="E247" s="3" t="s">
        <v>2669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563</v>
      </c>
      <c r="B248" s="3" t="s">
        <v>953</v>
      </c>
      <c r="C248" s="3" t="s">
        <v>954</v>
      </c>
      <c r="D248" s="3" t="s">
        <v>100</v>
      </c>
      <c r="E248" s="3" t="s">
        <v>2669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563</v>
      </c>
      <c r="B249" s="3" t="s">
        <v>949</v>
      </c>
      <c r="C249" s="3" t="s">
        <v>950</v>
      </c>
      <c r="D249" s="3" t="s">
        <v>100</v>
      </c>
      <c r="E249" s="3" t="s">
        <v>2669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563</v>
      </c>
      <c r="B250" s="3" t="s">
        <v>957</v>
      </c>
      <c r="C250" s="3" t="s">
        <v>958</v>
      </c>
      <c r="D250" s="3" t="s">
        <v>100</v>
      </c>
      <c r="E250" s="3" t="s">
        <v>2669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563</v>
      </c>
      <c r="B251" s="3" t="s">
        <v>955</v>
      </c>
      <c r="C251" s="3" t="s">
        <v>956</v>
      </c>
      <c r="D251" s="3" t="s">
        <v>100</v>
      </c>
      <c r="E251" s="3" t="s">
        <v>2669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563</v>
      </c>
      <c r="B252" s="3" t="s">
        <v>943</v>
      </c>
      <c r="C252" s="3" t="s">
        <v>944</v>
      </c>
      <c r="D252" s="3" t="s">
        <v>100</v>
      </c>
      <c r="E252" s="3" t="s">
        <v>2669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563</v>
      </c>
      <c r="B253" s="3" t="s">
        <v>947</v>
      </c>
      <c r="C253" s="3" t="s">
        <v>948</v>
      </c>
      <c r="D253" s="3" t="s">
        <v>100</v>
      </c>
      <c r="E253" s="3" t="s">
        <v>2669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578</v>
      </c>
      <c r="B254" s="3" t="s">
        <v>968</v>
      </c>
      <c r="C254" s="3" t="s">
        <v>969</v>
      </c>
      <c r="D254" s="3" t="s">
        <v>100</v>
      </c>
      <c r="E254" s="3" t="s">
        <v>2671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578</v>
      </c>
      <c r="B255" s="3" t="s">
        <v>970</v>
      </c>
      <c r="C255" s="3" t="s">
        <v>971</v>
      </c>
      <c r="D255" s="3" t="s">
        <v>100</v>
      </c>
      <c r="E255" s="3" t="s">
        <v>2671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578</v>
      </c>
      <c r="B256" s="3" t="s">
        <v>966</v>
      </c>
      <c r="C256" s="3" t="s">
        <v>967</v>
      </c>
      <c r="D256" s="3" t="s">
        <v>100</v>
      </c>
      <c r="E256" s="3" t="s">
        <v>2671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578</v>
      </c>
      <c r="B257" s="3" t="s">
        <v>963</v>
      </c>
      <c r="C257" s="3" t="s">
        <v>360</v>
      </c>
      <c r="D257" s="3" t="s">
        <v>100</v>
      </c>
      <c r="E257" s="3" t="s">
        <v>2671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578</v>
      </c>
      <c r="B258" s="3" t="s">
        <v>964</v>
      </c>
      <c r="C258" s="3" t="s">
        <v>965</v>
      </c>
      <c r="D258" s="3" t="s">
        <v>100</v>
      </c>
      <c r="E258" s="3" t="s">
        <v>2671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537</v>
      </c>
      <c r="B259" s="3" t="s">
        <v>1025</v>
      </c>
      <c r="C259" s="3" t="s">
        <v>1026</v>
      </c>
      <c r="D259" s="3" t="s">
        <v>104</v>
      </c>
      <c r="E259" s="3" t="s">
        <v>2667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537</v>
      </c>
      <c r="B260" s="3" t="s">
        <v>1024</v>
      </c>
      <c r="C260" s="3" t="s">
        <v>525</v>
      </c>
      <c r="D260" s="3" t="s">
        <v>104</v>
      </c>
      <c r="E260" s="3" t="s">
        <v>2667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537</v>
      </c>
      <c r="B261" s="3" t="s">
        <v>1027</v>
      </c>
      <c r="C261" s="3" t="s">
        <v>1028</v>
      </c>
      <c r="D261" s="3" t="s">
        <v>104</v>
      </c>
      <c r="E261" s="3" t="s">
        <v>2667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544</v>
      </c>
      <c r="B262" s="3" t="s">
        <v>1039</v>
      </c>
      <c r="C262" s="3" t="s">
        <v>1040</v>
      </c>
      <c r="D262" s="3" t="s">
        <v>104</v>
      </c>
      <c r="E262" s="3" t="s">
        <v>2668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544</v>
      </c>
      <c r="B263" s="3" t="s">
        <v>1036</v>
      </c>
      <c r="C263" s="3" t="s">
        <v>394</v>
      </c>
      <c r="D263" s="3" t="s">
        <v>104</v>
      </c>
      <c r="E263" s="3" t="s">
        <v>2668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544</v>
      </c>
      <c r="B264" s="3" t="s">
        <v>1029</v>
      </c>
      <c r="C264" s="3" t="s">
        <v>1030</v>
      </c>
      <c r="D264" s="3" t="s">
        <v>104</v>
      </c>
      <c r="E264" s="3" t="s">
        <v>2668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544</v>
      </c>
      <c r="B265" s="3" t="s">
        <v>1031</v>
      </c>
      <c r="C265" s="3" t="s">
        <v>1032</v>
      </c>
      <c r="D265" s="3" t="s">
        <v>104</v>
      </c>
      <c r="E265" s="3" t="s">
        <v>2668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544</v>
      </c>
      <c r="B266" s="3" t="s">
        <v>1035</v>
      </c>
      <c r="C266" s="3" t="s">
        <v>458</v>
      </c>
      <c r="D266" s="3" t="s">
        <v>104</v>
      </c>
      <c r="E266" s="3" t="s">
        <v>2668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544</v>
      </c>
      <c r="B267" s="3" t="s">
        <v>1037</v>
      </c>
      <c r="C267" s="3" t="s">
        <v>1038</v>
      </c>
      <c r="D267" s="3" t="s">
        <v>104</v>
      </c>
      <c r="E267" s="3" t="s">
        <v>2668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544</v>
      </c>
      <c r="B268" s="3" t="s">
        <v>1033</v>
      </c>
      <c r="C268" s="3" t="s">
        <v>1034</v>
      </c>
      <c r="D268" s="3" t="s">
        <v>104</v>
      </c>
      <c r="E268" s="3" t="s">
        <v>2668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563</v>
      </c>
      <c r="B269" s="3" t="s">
        <v>1051</v>
      </c>
      <c r="C269" s="3" t="s">
        <v>1052</v>
      </c>
      <c r="D269" s="3" t="s">
        <v>104</v>
      </c>
      <c r="E269" s="3" t="s">
        <v>2669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563</v>
      </c>
      <c r="B270" s="3" t="s">
        <v>1049</v>
      </c>
      <c r="C270" s="3" t="s">
        <v>1050</v>
      </c>
      <c r="D270" s="3" t="s">
        <v>104</v>
      </c>
      <c r="E270" s="3" t="s">
        <v>2669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563</v>
      </c>
      <c r="B271" s="3" t="s">
        <v>1059</v>
      </c>
      <c r="C271" s="3" t="s">
        <v>1060</v>
      </c>
      <c r="D271" s="3" t="s">
        <v>104</v>
      </c>
      <c r="E271" s="3" t="s">
        <v>2669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563</v>
      </c>
      <c r="B272" s="3" t="s">
        <v>1043</v>
      </c>
      <c r="C272" s="3" t="s">
        <v>1044</v>
      </c>
      <c r="D272" s="3" t="s">
        <v>104</v>
      </c>
      <c r="E272" s="3" t="s">
        <v>2669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563</v>
      </c>
      <c r="B273" s="3" t="s">
        <v>1045</v>
      </c>
      <c r="C273" s="3" t="s">
        <v>1046</v>
      </c>
      <c r="D273" s="3" t="s">
        <v>104</v>
      </c>
      <c r="E273" s="3" t="s">
        <v>2669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563</v>
      </c>
      <c r="B274" s="3" t="s">
        <v>1057</v>
      </c>
      <c r="C274" s="3" t="s">
        <v>1058</v>
      </c>
      <c r="D274" s="3" t="s">
        <v>104</v>
      </c>
      <c r="E274" s="3" t="s">
        <v>2669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563</v>
      </c>
      <c r="B275" s="3" t="s">
        <v>1041</v>
      </c>
      <c r="C275" s="3" t="s">
        <v>1042</v>
      </c>
      <c r="D275" s="3" t="s">
        <v>104</v>
      </c>
      <c r="E275" s="3" t="s">
        <v>2669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563</v>
      </c>
      <c r="B276" s="3" t="s">
        <v>1053</v>
      </c>
      <c r="C276" s="3" t="s">
        <v>1054</v>
      </c>
      <c r="D276" s="3" t="s">
        <v>104</v>
      </c>
      <c r="E276" s="3" t="s">
        <v>2669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563</v>
      </c>
      <c r="B277" s="3" t="s">
        <v>1047</v>
      </c>
      <c r="C277" s="3" t="s">
        <v>1048</v>
      </c>
      <c r="D277" s="3" t="s">
        <v>104</v>
      </c>
      <c r="E277" s="3" t="s">
        <v>2669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563</v>
      </c>
      <c r="B278" s="3" t="s">
        <v>1055</v>
      </c>
      <c r="C278" s="3" t="s">
        <v>1056</v>
      </c>
      <c r="D278" s="3" t="s">
        <v>104</v>
      </c>
      <c r="E278" s="3" t="s">
        <v>2669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578</v>
      </c>
      <c r="B279" s="3" t="s">
        <v>1065</v>
      </c>
      <c r="C279" s="3" t="s">
        <v>1066</v>
      </c>
      <c r="D279" s="3" t="s">
        <v>104</v>
      </c>
      <c r="E279" s="3" t="s">
        <v>2671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578</v>
      </c>
      <c r="B280" s="3" t="s">
        <v>1061</v>
      </c>
      <c r="C280" s="3" t="s">
        <v>1062</v>
      </c>
      <c r="D280" s="3" t="s">
        <v>104</v>
      </c>
      <c r="E280" s="3" t="s">
        <v>2671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578</v>
      </c>
      <c r="B281" s="3" t="s">
        <v>1063</v>
      </c>
      <c r="C281" s="3" t="s">
        <v>1064</v>
      </c>
      <c r="D281" s="3" t="s">
        <v>104</v>
      </c>
      <c r="E281" s="3" t="s">
        <v>2671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578</v>
      </c>
      <c r="B282" s="3" t="s">
        <v>1069</v>
      </c>
      <c r="C282" s="3" t="s">
        <v>1070</v>
      </c>
      <c r="D282" s="3" t="s">
        <v>104</v>
      </c>
      <c r="E282" s="3" t="s">
        <v>2671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578</v>
      </c>
      <c r="B283" s="3" t="s">
        <v>1067</v>
      </c>
      <c r="C283" s="3" t="s">
        <v>1068</v>
      </c>
      <c r="D283" s="3" t="s">
        <v>104</v>
      </c>
      <c r="E283" s="3" t="s">
        <v>2671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578</v>
      </c>
      <c r="B284" s="3" t="s">
        <v>1071</v>
      </c>
      <c r="C284" s="3" t="s">
        <v>1072</v>
      </c>
      <c r="D284" s="3" t="s">
        <v>104</v>
      </c>
      <c r="E284" s="3" t="s">
        <v>2671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537</v>
      </c>
      <c r="B285" s="3" t="s">
        <v>1073</v>
      </c>
      <c r="C285" s="3" t="s">
        <v>1074</v>
      </c>
      <c r="D285" s="3" t="s">
        <v>2723</v>
      </c>
      <c r="E285" s="3" t="s">
        <v>2667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537</v>
      </c>
      <c r="B286" s="3" t="s">
        <v>1078</v>
      </c>
      <c r="C286" s="3" t="s">
        <v>1079</v>
      </c>
      <c r="D286" s="3" t="s">
        <v>2723</v>
      </c>
      <c r="E286" s="3" t="s">
        <v>2667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537</v>
      </c>
      <c r="B287" s="3" t="s">
        <v>1076</v>
      </c>
      <c r="C287" s="3" t="s">
        <v>1077</v>
      </c>
      <c r="D287" s="3" t="s">
        <v>2723</v>
      </c>
      <c r="E287" s="3" t="s">
        <v>2667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544</v>
      </c>
      <c r="B288" s="3" t="s">
        <v>1082</v>
      </c>
      <c r="C288" s="3" t="s">
        <v>1083</v>
      </c>
      <c r="D288" s="3" t="s">
        <v>2723</v>
      </c>
      <c r="E288" s="3" t="s">
        <v>2668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544</v>
      </c>
      <c r="B289" s="3" t="s">
        <v>1094</v>
      </c>
      <c r="C289" s="3" t="s">
        <v>1095</v>
      </c>
      <c r="D289" s="3" t="s">
        <v>2723</v>
      </c>
      <c r="E289" s="3" t="s">
        <v>2668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544</v>
      </c>
      <c r="B290" s="3" t="s">
        <v>1086</v>
      </c>
      <c r="C290" s="3" t="s">
        <v>1087</v>
      </c>
      <c r="D290" s="3" t="s">
        <v>2723</v>
      </c>
      <c r="E290" s="3" t="s">
        <v>2668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544</v>
      </c>
      <c r="B291" s="3" t="s">
        <v>1084</v>
      </c>
      <c r="C291" s="3" t="s">
        <v>1085</v>
      </c>
      <c r="D291" s="3" t="s">
        <v>2723</v>
      </c>
      <c r="E291" s="3" t="s">
        <v>2668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544</v>
      </c>
      <c r="B292" s="3" t="s">
        <v>1096</v>
      </c>
      <c r="C292" s="3" t="s">
        <v>1097</v>
      </c>
      <c r="D292" s="3" t="s">
        <v>2723</v>
      </c>
      <c r="E292" s="3" t="s">
        <v>2668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544</v>
      </c>
      <c r="B293" s="3" t="s">
        <v>1090</v>
      </c>
      <c r="C293" s="3" t="s">
        <v>1091</v>
      </c>
      <c r="D293" s="3" t="s">
        <v>2723</v>
      </c>
      <c r="E293" s="3" t="s">
        <v>2668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544</v>
      </c>
      <c r="B294" s="3" t="s">
        <v>1088</v>
      </c>
      <c r="C294" s="3" t="s">
        <v>1089</v>
      </c>
      <c r="D294" s="3" t="s">
        <v>2723</v>
      </c>
      <c r="E294" s="3" t="s">
        <v>2668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544</v>
      </c>
      <c r="B295" s="3" t="s">
        <v>1092</v>
      </c>
      <c r="C295" s="3" t="s">
        <v>1093</v>
      </c>
      <c r="D295" s="3" t="s">
        <v>2723</v>
      </c>
      <c r="E295" s="3" t="s">
        <v>2668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544</v>
      </c>
      <c r="B296" s="3" t="s">
        <v>1080</v>
      </c>
      <c r="C296" s="3" t="s">
        <v>1081</v>
      </c>
      <c r="D296" s="3" t="s">
        <v>2723</v>
      </c>
      <c r="E296" s="3" t="s">
        <v>2668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563</v>
      </c>
      <c r="B297" s="3" t="s">
        <v>1100</v>
      </c>
      <c r="C297" s="3" t="s">
        <v>1101</v>
      </c>
      <c r="D297" s="3" t="s">
        <v>2723</v>
      </c>
      <c r="E297" s="3" t="s">
        <v>2669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563</v>
      </c>
      <c r="B298" s="3" t="s">
        <v>1098</v>
      </c>
      <c r="C298" s="3" t="s">
        <v>1099</v>
      </c>
      <c r="D298" s="3" t="s">
        <v>2723</v>
      </c>
      <c r="E298" s="3" t="s">
        <v>2669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563</v>
      </c>
      <c r="B299" s="3" t="s">
        <v>1102</v>
      </c>
      <c r="C299" s="3" t="s">
        <v>1103</v>
      </c>
      <c r="D299" s="3" t="s">
        <v>2723</v>
      </c>
      <c r="E299" s="3" t="s">
        <v>2669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563</v>
      </c>
      <c r="B300" s="3" t="s">
        <v>1108</v>
      </c>
      <c r="C300" s="3" t="s">
        <v>1109</v>
      </c>
      <c r="D300" s="3" t="s">
        <v>2723</v>
      </c>
      <c r="E300" s="3" t="s">
        <v>2669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563</v>
      </c>
      <c r="B301" s="3" t="s">
        <v>1106</v>
      </c>
      <c r="C301" s="3" t="s">
        <v>1107</v>
      </c>
      <c r="D301" s="3" t="s">
        <v>2723</v>
      </c>
      <c r="E301" s="3" t="s">
        <v>2669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563</v>
      </c>
      <c r="B302" s="3" t="s">
        <v>1104</v>
      </c>
      <c r="C302" s="3" t="s">
        <v>1105</v>
      </c>
      <c r="D302" s="3" t="s">
        <v>2723</v>
      </c>
      <c r="E302" s="3" t="s">
        <v>2669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563</v>
      </c>
      <c r="B303" s="3" t="s">
        <v>1110</v>
      </c>
      <c r="C303" s="3" t="s">
        <v>1111</v>
      </c>
      <c r="D303" s="3" t="s">
        <v>2723</v>
      </c>
      <c r="E303" s="3" t="s">
        <v>2669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578</v>
      </c>
      <c r="B304" s="3" t="s">
        <v>1118</v>
      </c>
      <c r="C304" s="3" t="s">
        <v>1119</v>
      </c>
      <c r="D304" s="3" t="s">
        <v>2723</v>
      </c>
      <c r="E304" s="3" t="s">
        <v>2671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578</v>
      </c>
      <c r="B305" s="3" t="s">
        <v>1122</v>
      </c>
      <c r="C305" s="3" t="s">
        <v>1123</v>
      </c>
      <c r="D305" s="3" t="s">
        <v>2723</v>
      </c>
      <c r="E305" s="3" t="s">
        <v>2671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578</v>
      </c>
      <c r="B306" s="3" t="s">
        <v>1116</v>
      </c>
      <c r="C306" s="3" t="s">
        <v>1117</v>
      </c>
      <c r="D306" s="3" t="s">
        <v>2723</v>
      </c>
      <c r="E306" s="3" t="s">
        <v>2671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578</v>
      </c>
      <c r="B307" s="3" t="s">
        <v>1112</v>
      </c>
      <c r="C307" s="3" t="s">
        <v>1113</v>
      </c>
      <c r="D307" s="3" t="s">
        <v>2723</v>
      </c>
      <c r="E307" s="3" t="s">
        <v>2671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578</v>
      </c>
      <c r="B308" s="3" t="s">
        <v>1114</v>
      </c>
      <c r="C308" s="3" t="s">
        <v>1115</v>
      </c>
      <c r="D308" s="3" t="s">
        <v>2723</v>
      </c>
      <c r="E308" s="3" t="s">
        <v>2671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578</v>
      </c>
      <c r="B309" s="3" t="s">
        <v>1124</v>
      </c>
      <c r="C309" s="3" t="s">
        <v>1125</v>
      </c>
      <c r="D309" s="3" t="s">
        <v>2723</v>
      </c>
      <c r="E309" s="3" t="s">
        <v>2671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578</v>
      </c>
      <c r="B310" s="3" t="s">
        <v>1120</v>
      </c>
      <c r="C310" s="3" t="s">
        <v>1121</v>
      </c>
      <c r="D310" s="3" t="s">
        <v>2723</v>
      </c>
      <c r="E310" s="3" t="s">
        <v>2671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537</v>
      </c>
      <c r="B311" s="3" t="s">
        <v>1130</v>
      </c>
      <c r="C311" s="3" t="s">
        <v>1131</v>
      </c>
      <c r="D311" s="3" t="s">
        <v>152</v>
      </c>
      <c r="E311" s="3" t="s">
        <v>2667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537</v>
      </c>
      <c r="B312" s="3" t="s">
        <v>1128</v>
      </c>
      <c r="C312" s="3" t="s">
        <v>1129</v>
      </c>
      <c r="D312" s="3" t="s">
        <v>152</v>
      </c>
      <c r="E312" s="3" t="s">
        <v>2667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537</v>
      </c>
      <c r="B313" s="3" t="s">
        <v>1126</v>
      </c>
      <c r="C313" s="3" t="s">
        <v>1127</v>
      </c>
      <c r="D313" s="3" t="s">
        <v>152</v>
      </c>
      <c r="E313" s="3" t="s">
        <v>2667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544</v>
      </c>
      <c r="B314" s="3" t="s">
        <v>1142</v>
      </c>
      <c r="C314" s="3" t="s">
        <v>1143</v>
      </c>
      <c r="D314" s="3" t="s">
        <v>152</v>
      </c>
      <c r="E314" s="3" t="s">
        <v>2668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544</v>
      </c>
      <c r="B315" s="3" t="s">
        <v>1132</v>
      </c>
      <c r="C315" s="3" t="s">
        <v>1133</v>
      </c>
      <c r="D315" s="3" t="s">
        <v>152</v>
      </c>
      <c r="E315" s="3" t="s">
        <v>2668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544</v>
      </c>
      <c r="B316" s="3" t="s">
        <v>1146</v>
      </c>
      <c r="C316" s="3" t="s">
        <v>1147</v>
      </c>
      <c r="D316" s="3" t="s">
        <v>152</v>
      </c>
      <c r="E316" s="3" t="s">
        <v>2668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544</v>
      </c>
      <c r="B317" s="3" t="s">
        <v>1138</v>
      </c>
      <c r="C317" s="3" t="s">
        <v>1139</v>
      </c>
      <c r="D317" s="3" t="s">
        <v>152</v>
      </c>
      <c r="E317" s="3" t="s">
        <v>2668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544</v>
      </c>
      <c r="B318" s="3" t="s">
        <v>1140</v>
      </c>
      <c r="C318" s="3" t="s">
        <v>1141</v>
      </c>
      <c r="D318" s="3" t="s">
        <v>152</v>
      </c>
      <c r="E318" s="3" t="s">
        <v>2668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544</v>
      </c>
      <c r="B319" s="3" t="s">
        <v>1134</v>
      </c>
      <c r="C319" s="3" t="s">
        <v>1135</v>
      </c>
      <c r="D319" s="3" t="s">
        <v>152</v>
      </c>
      <c r="E319" s="3" t="s">
        <v>2668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544</v>
      </c>
      <c r="B320" s="3" t="s">
        <v>1136</v>
      </c>
      <c r="C320" s="3" t="s">
        <v>1137</v>
      </c>
      <c r="D320" s="3" t="s">
        <v>152</v>
      </c>
      <c r="E320" s="3" t="s">
        <v>2668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544</v>
      </c>
      <c r="B321" s="3" t="s">
        <v>1144</v>
      </c>
      <c r="C321" s="3" t="s">
        <v>1145</v>
      </c>
      <c r="D321" s="3" t="s">
        <v>152</v>
      </c>
      <c r="E321" s="3" t="s">
        <v>2668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563</v>
      </c>
      <c r="B322" s="3" t="s">
        <v>1158</v>
      </c>
      <c r="C322" s="3" t="s">
        <v>1159</v>
      </c>
      <c r="D322" s="3" t="s">
        <v>152</v>
      </c>
      <c r="E322" s="3" t="s">
        <v>2669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563</v>
      </c>
      <c r="B323" s="3" t="s">
        <v>1150</v>
      </c>
      <c r="C323" s="3" t="s">
        <v>1151</v>
      </c>
      <c r="D323" s="3" t="s">
        <v>152</v>
      </c>
      <c r="E323" s="3" t="s">
        <v>2669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563</v>
      </c>
      <c r="B324" s="3" t="s">
        <v>1166</v>
      </c>
      <c r="C324" s="3" t="s">
        <v>1167</v>
      </c>
      <c r="D324" s="3" t="s">
        <v>152</v>
      </c>
      <c r="E324" s="3" t="s">
        <v>2669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563</v>
      </c>
      <c r="B325" s="3" t="s">
        <v>1162</v>
      </c>
      <c r="C325" s="3" t="s">
        <v>1163</v>
      </c>
      <c r="D325" s="3" t="s">
        <v>152</v>
      </c>
      <c r="E325" s="3" t="s">
        <v>2669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563</v>
      </c>
      <c r="B326" s="3" t="s">
        <v>1152</v>
      </c>
      <c r="C326" s="3" t="s">
        <v>1153</v>
      </c>
      <c r="D326" s="3" t="s">
        <v>152</v>
      </c>
      <c r="E326" s="3" t="s">
        <v>2669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563</v>
      </c>
      <c r="B327" s="3" t="s">
        <v>1160</v>
      </c>
      <c r="C327" s="3" t="s">
        <v>1161</v>
      </c>
      <c r="D327" s="3" t="s">
        <v>152</v>
      </c>
      <c r="E327" s="3" t="s">
        <v>2669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563</v>
      </c>
      <c r="B328" s="3" t="s">
        <v>1164</v>
      </c>
      <c r="C328" s="3" t="s">
        <v>1165</v>
      </c>
      <c r="D328" s="3" t="s">
        <v>152</v>
      </c>
      <c r="E328" s="3" t="s">
        <v>2669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563</v>
      </c>
      <c r="B329" s="3" t="s">
        <v>1156</v>
      </c>
      <c r="C329" s="3" t="s">
        <v>1157</v>
      </c>
      <c r="D329" s="3" t="s">
        <v>152</v>
      </c>
      <c r="E329" s="3" t="s">
        <v>2669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563</v>
      </c>
      <c r="B330" s="3" t="s">
        <v>1154</v>
      </c>
      <c r="C330" s="3" t="s">
        <v>1155</v>
      </c>
      <c r="D330" s="3" t="s">
        <v>152</v>
      </c>
      <c r="E330" s="3" t="s">
        <v>2669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563</v>
      </c>
      <c r="B331" s="3" t="s">
        <v>1148</v>
      </c>
      <c r="C331" s="3" t="s">
        <v>1149</v>
      </c>
      <c r="D331" s="3" t="s">
        <v>152</v>
      </c>
      <c r="E331" s="3" t="s">
        <v>2669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578</v>
      </c>
      <c r="B332" s="3" t="s">
        <v>1168</v>
      </c>
      <c r="C332" s="3" t="s">
        <v>1169</v>
      </c>
      <c r="D332" s="3" t="s">
        <v>152</v>
      </c>
      <c r="E332" s="3" t="s">
        <v>2671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578</v>
      </c>
      <c r="B333" s="3" t="s">
        <v>1176</v>
      </c>
      <c r="C333" s="3" t="s">
        <v>1177</v>
      </c>
      <c r="D333" s="3" t="s">
        <v>152</v>
      </c>
      <c r="E333" s="3" t="s">
        <v>2671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578</v>
      </c>
      <c r="B334" s="3" t="s">
        <v>1170</v>
      </c>
      <c r="C334" s="3" t="s">
        <v>1171</v>
      </c>
      <c r="D334" s="3" t="s">
        <v>152</v>
      </c>
      <c r="E334" s="3" t="s">
        <v>2671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578</v>
      </c>
      <c r="B335" s="3" t="s">
        <v>1172</v>
      </c>
      <c r="C335" s="3" t="s">
        <v>1173</v>
      </c>
      <c r="D335" s="3" t="s">
        <v>152</v>
      </c>
      <c r="E335" s="3" t="s">
        <v>2671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578</v>
      </c>
      <c r="B336" s="3" t="s">
        <v>1174</v>
      </c>
      <c r="C336" s="3" t="s">
        <v>1175</v>
      </c>
      <c r="D336" s="3" t="s">
        <v>152</v>
      </c>
      <c r="E336" s="3" t="s">
        <v>2671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537</v>
      </c>
      <c r="B337" s="3" t="s">
        <v>972</v>
      </c>
      <c r="C337" s="3" t="s">
        <v>973</v>
      </c>
      <c r="D337" s="3" t="s">
        <v>2802</v>
      </c>
      <c r="E337" s="3" t="s">
        <v>2667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537</v>
      </c>
      <c r="B338" s="3" t="s">
        <v>974</v>
      </c>
      <c r="C338" s="3" t="s">
        <v>975</v>
      </c>
      <c r="D338" s="3" t="s">
        <v>2802</v>
      </c>
      <c r="E338" s="3" t="s">
        <v>2667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537</v>
      </c>
      <c r="B339" s="3" t="s">
        <v>976</v>
      </c>
      <c r="C339" s="3" t="s">
        <v>977</v>
      </c>
      <c r="D339" s="3" t="s">
        <v>2802</v>
      </c>
      <c r="E339" s="3" t="s">
        <v>2667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544</v>
      </c>
      <c r="B340" s="3" t="s">
        <v>992</v>
      </c>
      <c r="C340" s="3" t="s">
        <v>993</v>
      </c>
      <c r="D340" s="3" t="s">
        <v>2802</v>
      </c>
      <c r="E340" s="3" t="s">
        <v>2668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544</v>
      </c>
      <c r="B341" s="3" t="s">
        <v>986</v>
      </c>
      <c r="C341" s="3" t="s">
        <v>987</v>
      </c>
      <c r="D341" s="3" t="s">
        <v>2802</v>
      </c>
      <c r="E341" s="3" t="s">
        <v>2668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544</v>
      </c>
      <c r="B342" s="3" t="s">
        <v>978</v>
      </c>
      <c r="C342" s="3" t="s">
        <v>979</v>
      </c>
      <c r="D342" s="3" t="s">
        <v>2802</v>
      </c>
      <c r="E342" s="3" t="s">
        <v>2668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544</v>
      </c>
      <c r="B343" s="3" t="s">
        <v>984</v>
      </c>
      <c r="C343" s="3" t="s">
        <v>985</v>
      </c>
      <c r="D343" s="3" t="s">
        <v>2802</v>
      </c>
      <c r="E343" s="3" t="s">
        <v>2668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544</v>
      </c>
      <c r="B344" s="3" t="s">
        <v>990</v>
      </c>
      <c r="C344" s="3" t="s">
        <v>991</v>
      </c>
      <c r="D344" s="3" t="s">
        <v>2802</v>
      </c>
      <c r="E344" s="3" t="s">
        <v>2668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544</v>
      </c>
      <c r="B345" s="3" t="s">
        <v>988</v>
      </c>
      <c r="C345" s="3" t="s">
        <v>989</v>
      </c>
      <c r="D345" s="3" t="s">
        <v>2802</v>
      </c>
      <c r="E345" s="3" t="s">
        <v>2668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544</v>
      </c>
      <c r="B346" s="3" t="s">
        <v>980</v>
      </c>
      <c r="C346" s="3" t="s">
        <v>981</v>
      </c>
      <c r="D346" s="3" t="s">
        <v>2802</v>
      </c>
      <c r="E346" s="3" t="s">
        <v>2668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544</v>
      </c>
      <c r="B347" s="3" t="s">
        <v>982</v>
      </c>
      <c r="C347" s="3" t="s">
        <v>983</v>
      </c>
      <c r="D347" s="3" t="s">
        <v>2802</v>
      </c>
      <c r="E347" s="3" t="s">
        <v>2668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563</v>
      </c>
      <c r="B348" s="3" t="s">
        <v>1000</v>
      </c>
      <c r="C348" s="3" t="s">
        <v>1001</v>
      </c>
      <c r="D348" s="3" t="s">
        <v>2802</v>
      </c>
      <c r="E348" s="3" t="s">
        <v>2669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563</v>
      </c>
      <c r="B349" s="3" t="s">
        <v>1004</v>
      </c>
      <c r="C349" s="3" t="s">
        <v>1005</v>
      </c>
      <c r="D349" s="3" t="s">
        <v>2802</v>
      </c>
      <c r="E349" s="3" t="s">
        <v>2669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563</v>
      </c>
      <c r="B350" s="3" t="s">
        <v>1008</v>
      </c>
      <c r="C350" s="3" t="s">
        <v>1009</v>
      </c>
      <c r="D350" s="3" t="s">
        <v>2802</v>
      </c>
      <c r="E350" s="3" t="s">
        <v>2669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563</v>
      </c>
      <c r="B351" s="3" t="s">
        <v>1006</v>
      </c>
      <c r="C351" s="3" t="s">
        <v>1007</v>
      </c>
      <c r="D351" s="3" t="s">
        <v>2802</v>
      </c>
      <c r="E351" s="3" t="s">
        <v>2669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563</v>
      </c>
      <c r="B352" s="3" t="s">
        <v>994</v>
      </c>
      <c r="C352" s="3" t="s">
        <v>995</v>
      </c>
      <c r="D352" s="3" t="s">
        <v>2802</v>
      </c>
      <c r="E352" s="3" t="s">
        <v>2669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563</v>
      </c>
      <c r="B353" s="3" t="s">
        <v>996</v>
      </c>
      <c r="C353" s="3" t="s">
        <v>997</v>
      </c>
      <c r="D353" s="3" t="s">
        <v>2802</v>
      </c>
      <c r="E353" s="3" t="s">
        <v>2669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563</v>
      </c>
      <c r="B354" s="3" t="s">
        <v>998</v>
      </c>
      <c r="C354" s="3" t="s">
        <v>999</v>
      </c>
      <c r="D354" s="3" t="s">
        <v>2802</v>
      </c>
      <c r="E354" s="3" t="s">
        <v>2669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563</v>
      </c>
      <c r="B355" s="3" t="s">
        <v>1002</v>
      </c>
      <c r="C355" s="3" t="s">
        <v>1003</v>
      </c>
      <c r="D355" s="3" t="s">
        <v>2802</v>
      </c>
      <c r="E355" s="3" t="s">
        <v>2669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578</v>
      </c>
      <c r="B356" s="3" t="s">
        <v>1014</v>
      </c>
      <c r="C356" s="3" t="s">
        <v>1015</v>
      </c>
      <c r="D356" s="3" t="s">
        <v>2802</v>
      </c>
      <c r="E356" s="3" t="s">
        <v>2671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578</v>
      </c>
      <c r="B357" s="3" t="s">
        <v>1022</v>
      </c>
      <c r="C357" s="3" t="s">
        <v>1023</v>
      </c>
      <c r="D357" s="3" t="s">
        <v>2802</v>
      </c>
      <c r="E357" s="3" t="s">
        <v>2671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578</v>
      </c>
      <c r="B358" s="3" t="s">
        <v>1012</v>
      </c>
      <c r="C358" s="3" t="s">
        <v>1013</v>
      </c>
      <c r="D358" s="3" t="s">
        <v>2802</v>
      </c>
      <c r="E358" s="3" t="s">
        <v>2671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578</v>
      </c>
      <c r="B359" s="3" t="s">
        <v>1018</v>
      </c>
      <c r="C359" s="3" t="s">
        <v>1019</v>
      </c>
      <c r="D359" s="3" t="s">
        <v>2802</v>
      </c>
      <c r="E359" s="3" t="s">
        <v>2671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578</v>
      </c>
      <c r="B360" s="3" t="s">
        <v>1010</v>
      </c>
      <c r="C360" s="3" t="s">
        <v>1011</v>
      </c>
      <c r="D360" s="3" t="s">
        <v>2802</v>
      </c>
      <c r="E360" s="3" t="s">
        <v>2671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578</v>
      </c>
      <c r="B361" s="3" t="s">
        <v>1020</v>
      </c>
      <c r="C361" s="3" t="s">
        <v>1021</v>
      </c>
      <c r="D361" s="3" t="s">
        <v>2802</v>
      </c>
      <c r="E361" s="3" t="s">
        <v>2671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578</v>
      </c>
      <c r="B362" s="3" t="s">
        <v>1016</v>
      </c>
      <c r="C362" s="3" t="s">
        <v>1017</v>
      </c>
      <c r="D362" s="3" t="s">
        <v>2802</v>
      </c>
      <c r="E362" s="3" t="s">
        <v>2671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537</v>
      </c>
      <c r="B363" s="3" t="s">
        <v>1231</v>
      </c>
      <c r="C363" s="3" t="s">
        <v>1232</v>
      </c>
      <c r="D363" s="3" t="s">
        <v>146</v>
      </c>
      <c r="E363" s="3" t="s">
        <v>2667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537</v>
      </c>
      <c r="B364" s="3" t="s">
        <v>1229</v>
      </c>
      <c r="C364" s="3" t="s">
        <v>1230</v>
      </c>
      <c r="D364" s="3" t="s">
        <v>146</v>
      </c>
      <c r="E364" s="3" t="s">
        <v>2667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537</v>
      </c>
      <c r="B365" s="3" t="s">
        <v>1233</v>
      </c>
      <c r="C365" s="3" t="s">
        <v>1234</v>
      </c>
      <c r="D365" s="3" t="s">
        <v>146</v>
      </c>
      <c r="E365" s="3" t="s">
        <v>2667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544</v>
      </c>
      <c r="B366" s="3" t="s">
        <v>1241</v>
      </c>
      <c r="C366" s="3" t="s">
        <v>1242</v>
      </c>
      <c r="D366" s="3" t="s">
        <v>146</v>
      </c>
      <c r="E366" s="3" t="s">
        <v>2668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544</v>
      </c>
      <c r="B367" s="3" t="s">
        <v>1235</v>
      </c>
      <c r="C367" s="3" t="s">
        <v>1236</v>
      </c>
      <c r="D367" s="3" t="s">
        <v>146</v>
      </c>
      <c r="E367" s="3" t="s">
        <v>2668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544</v>
      </c>
      <c r="B368" s="3" t="s">
        <v>1243</v>
      </c>
      <c r="C368" s="3" t="s">
        <v>1244</v>
      </c>
      <c r="D368" s="3" t="s">
        <v>146</v>
      </c>
      <c r="E368" s="3" t="s">
        <v>2668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544</v>
      </c>
      <c r="B369" s="3" t="s">
        <v>1245</v>
      </c>
      <c r="C369" s="3" t="s">
        <v>1246</v>
      </c>
      <c r="D369" s="3" t="s">
        <v>146</v>
      </c>
      <c r="E369" s="3" t="s">
        <v>2668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544</v>
      </c>
      <c r="B370" s="3" t="s">
        <v>1237</v>
      </c>
      <c r="C370" s="3" t="s">
        <v>1238</v>
      </c>
      <c r="D370" s="3" t="s">
        <v>146</v>
      </c>
      <c r="E370" s="3" t="s">
        <v>2668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544</v>
      </c>
      <c r="B371" s="3" t="s">
        <v>1239</v>
      </c>
      <c r="C371" s="3" t="s">
        <v>1240</v>
      </c>
      <c r="D371" s="3" t="s">
        <v>146</v>
      </c>
      <c r="E371" s="3" t="s">
        <v>2668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544</v>
      </c>
      <c r="B372" s="3" t="s">
        <v>1247</v>
      </c>
      <c r="C372" s="3" t="s">
        <v>1248</v>
      </c>
      <c r="D372" s="3" t="s">
        <v>146</v>
      </c>
      <c r="E372" s="3" t="s">
        <v>2668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544</v>
      </c>
      <c r="B373" s="3" t="s">
        <v>1249</v>
      </c>
      <c r="C373" s="3" t="s">
        <v>1250</v>
      </c>
      <c r="D373" s="3" t="s">
        <v>146</v>
      </c>
      <c r="E373" s="3" t="s">
        <v>2668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563</v>
      </c>
      <c r="B374" s="3" t="s">
        <v>1257</v>
      </c>
      <c r="C374" s="3" t="s">
        <v>1258</v>
      </c>
      <c r="D374" s="3" t="s">
        <v>146</v>
      </c>
      <c r="E374" s="3" t="s">
        <v>2669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563</v>
      </c>
      <c r="B375" s="3" t="s">
        <v>1253</v>
      </c>
      <c r="C375" s="3" t="s">
        <v>1254</v>
      </c>
      <c r="D375" s="3" t="s">
        <v>146</v>
      </c>
      <c r="E375" s="3" t="s">
        <v>2669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563</v>
      </c>
      <c r="B376" s="3" t="s">
        <v>1251</v>
      </c>
      <c r="C376" s="3" t="s">
        <v>1252</v>
      </c>
      <c r="D376" s="3" t="s">
        <v>146</v>
      </c>
      <c r="E376" s="3" t="s">
        <v>2669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563</v>
      </c>
      <c r="B377" s="3" t="s">
        <v>1255</v>
      </c>
      <c r="C377" s="3" t="s">
        <v>1256</v>
      </c>
      <c r="D377" s="3" t="s">
        <v>146</v>
      </c>
      <c r="E377" s="3" t="s">
        <v>2669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563</v>
      </c>
      <c r="B378" s="3" t="s">
        <v>1261</v>
      </c>
      <c r="C378" s="3" t="s">
        <v>1262</v>
      </c>
      <c r="D378" s="3" t="s">
        <v>146</v>
      </c>
      <c r="E378" s="3" t="s">
        <v>2669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563</v>
      </c>
      <c r="B379" s="3" t="s">
        <v>1259</v>
      </c>
      <c r="C379" s="3" t="s">
        <v>1260</v>
      </c>
      <c r="D379" s="3" t="s">
        <v>146</v>
      </c>
      <c r="E379" s="3" t="s">
        <v>2669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578</v>
      </c>
      <c r="B380" s="3" t="s">
        <v>1279</v>
      </c>
      <c r="C380" s="3" t="s">
        <v>1280</v>
      </c>
      <c r="D380" s="3" t="s">
        <v>146</v>
      </c>
      <c r="E380" s="3" t="s">
        <v>2671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578</v>
      </c>
      <c r="B381" s="3" t="s">
        <v>1263</v>
      </c>
      <c r="C381" s="3" t="s">
        <v>1264</v>
      </c>
      <c r="D381" s="3" t="s">
        <v>146</v>
      </c>
      <c r="E381" s="3" t="s">
        <v>2671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578</v>
      </c>
      <c r="B382" s="3" t="s">
        <v>1275</v>
      </c>
      <c r="C382" s="3" t="s">
        <v>1276</v>
      </c>
      <c r="D382" s="3" t="s">
        <v>146</v>
      </c>
      <c r="E382" s="3" t="s">
        <v>2671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578</v>
      </c>
      <c r="B383" s="3" t="s">
        <v>1269</v>
      </c>
      <c r="C383" s="3" t="s">
        <v>1270</v>
      </c>
      <c r="D383" s="3" t="s">
        <v>146</v>
      </c>
      <c r="E383" s="3" t="s">
        <v>2671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578</v>
      </c>
      <c r="B384" s="3" t="s">
        <v>1277</v>
      </c>
      <c r="C384" s="3" t="s">
        <v>1278</v>
      </c>
      <c r="D384" s="3" t="s">
        <v>146</v>
      </c>
      <c r="E384" s="3" t="s">
        <v>2671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578</v>
      </c>
      <c r="B385" s="3" t="s">
        <v>1265</v>
      </c>
      <c r="C385" s="3" t="s">
        <v>1266</v>
      </c>
      <c r="D385" s="3" t="s">
        <v>146</v>
      </c>
      <c r="E385" s="3" t="s">
        <v>2671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578</v>
      </c>
      <c r="B386" s="3" t="s">
        <v>1267</v>
      </c>
      <c r="C386" s="3" t="s">
        <v>1268</v>
      </c>
      <c r="D386" s="3" t="s">
        <v>146</v>
      </c>
      <c r="E386" s="3" t="s">
        <v>2671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578</v>
      </c>
      <c r="B387" s="3" t="s">
        <v>1271</v>
      </c>
      <c r="C387" s="3" t="s">
        <v>1272</v>
      </c>
      <c r="D387" s="3" t="s">
        <v>146</v>
      </c>
      <c r="E387" s="3" t="s">
        <v>2671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578</v>
      </c>
      <c r="B388" s="3" t="s">
        <v>1273</v>
      </c>
      <c r="C388" s="3" t="s">
        <v>1274</v>
      </c>
      <c r="D388" s="3" t="s">
        <v>146</v>
      </c>
      <c r="E388" s="3" t="s">
        <v>2671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537</v>
      </c>
      <c r="B389" s="3" t="s">
        <v>1283</v>
      </c>
      <c r="C389" s="3" t="s">
        <v>1283</v>
      </c>
      <c r="D389" s="3" t="s">
        <v>46</v>
      </c>
      <c r="E389" s="3" t="s">
        <v>2667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537</v>
      </c>
      <c r="B390" s="3" t="s">
        <v>1284</v>
      </c>
      <c r="C390" s="3" t="s">
        <v>1284</v>
      </c>
      <c r="D390" s="3" t="s">
        <v>46</v>
      </c>
      <c r="E390" s="3" t="s">
        <v>2667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537</v>
      </c>
      <c r="B391" s="3" t="s">
        <v>1281</v>
      </c>
      <c r="C391" s="3" t="s">
        <v>1281</v>
      </c>
      <c r="D391" s="3" t="s">
        <v>46</v>
      </c>
      <c r="E391" s="3" t="s">
        <v>2667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537</v>
      </c>
      <c r="B392" s="3" t="s">
        <v>1282</v>
      </c>
      <c r="C392" s="3" t="s">
        <v>1282</v>
      </c>
      <c r="D392" s="3" t="s">
        <v>46</v>
      </c>
      <c r="E392" s="3" t="s">
        <v>2667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544</v>
      </c>
      <c r="B393" s="3" t="s">
        <v>1288</v>
      </c>
      <c r="C393" s="3" t="s">
        <v>1288</v>
      </c>
      <c r="D393" s="3" t="s">
        <v>46</v>
      </c>
      <c r="E393" s="3" t="s">
        <v>2668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544</v>
      </c>
      <c r="B394" s="3" t="s">
        <v>1289</v>
      </c>
      <c r="C394" s="3" t="s">
        <v>1289</v>
      </c>
      <c r="D394" s="3" t="s">
        <v>46</v>
      </c>
      <c r="E394" s="3" t="s">
        <v>2668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544</v>
      </c>
      <c r="B395" s="3" t="s">
        <v>1290</v>
      </c>
      <c r="C395" s="3" t="s">
        <v>1290</v>
      </c>
      <c r="D395" s="3" t="s">
        <v>46</v>
      </c>
      <c r="E395" s="3" t="s">
        <v>2668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544</v>
      </c>
      <c r="B396" s="3" t="s">
        <v>1286</v>
      </c>
      <c r="C396" s="3" t="s">
        <v>1286</v>
      </c>
      <c r="D396" s="3" t="s">
        <v>46</v>
      </c>
      <c r="E396" s="3" t="s">
        <v>2668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544</v>
      </c>
      <c r="B397" s="3" t="s">
        <v>1287</v>
      </c>
      <c r="C397" s="3" t="s">
        <v>1287</v>
      </c>
      <c r="D397" s="3" t="s">
        <v>46</v>
      </c>
      <c r="E397" s="3" t="s">
        <v>2668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544</v>
      </c>
      <c r="B398" s="3" t="s">
        <v>1291</v>
      </c>
      <c r="C398" s="3" t="s">
        <v>1291</v>
      </c>
      <c r="D398" s="3" t="s">
        <v>46</v>
      </c>
      <c r="E398" s="3" t="s">
        <v>2668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544</v>
      </c>
      <c r="B399" s="3" t="s">
        <v>1292</v>
      </c>
      <c r="C399" s="3" t="s">
        <v>1292</v>
      </c>
      <c r="D399" s="3" t="s">
        <v>46</v>
      </c>
      <c r="E399" s="3" t="s">
        <v>2668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544</v>
      </c>
      <c r="B400" s="3" t="s">
        <v>1285</v>
      </c>
      <c r="C400" s="3" t="s">
        <v>1285</v>
      </c>
      <c r="D400" s="3" t="s">
        <v>46</v>
      </c>
      <c r="E400" s="3" t="s">
        <v>2668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563</v>
      </c>
      <c r="B401" s="3" t="s">
        <v>1293</v>
      </c>
      <c r="C401" s="3" t="s">
        <v>1293</v>
      </c>
      <c r="D401" s="3" t="s">
        <v>46</v>
      </c>
      <c r="E401" s="3" t="s">
        <v>2669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563</v>
      </c>
      <c r="B402" s="3" t="s">
        <v>1295</v>
      </c>
      <c r="C402" s="3" t="s">
        <v>1295</v>
      </c>
      <c r="D402" s="3" t="s">
        <v>46</v>
      </c>
      <c r="E402" s="3" t="s">
        <v>2669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563</v>
      </c>
      <c r="B403" s="3" t="s">
        <v>1296</v>
      </c>
      <c r="C403" s="3" t="s">
        <v>1296</v>
      </c>
      <c r="D403" s="3" t="s">
        <v>46</v>
      </c>
      <c r="E403" s="3" t="s">
        <v>2669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563</v>
      </c>
      <c r="B404" s="3" t="s">
        <v>1294</v>
      </c>
      <c r="C404" s="3" t="s">
        <v>1294</v>
      </c>
      <c r="D404" s="3" t="s">
        <v>46</v>
      </c>
      <c r="E404" s="3" t="s">
        <v>2669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563</v>
      </c>
      <c r="B405" s="3" t="s">
        <v>1297</v>
      </c>
      <c r="C405" s="3" t="s">
        <v>1297</v>
      </c>
      <c r="D405" s="3" t="s">
        <v>46</v>
      </c>
      <c r="E405" s="3" t="s">
        <v>2669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563</v>
      </c>
      <c r="B406" s="3" t="s">
        <v>1299</v>
      </c>
      <c r="C406" s="3" t="s">
        <v>1299</v>
      </c>
      <c r="D406" s="3" t="s">
        <v>46</v>
      </c>
      <c r="E406" s="3" t="s">
        <v>2669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563</v>
      </c>
      <c r="B407" s="3" t="s">
        <v>1298</v>
      </c>
      <c r="C407" s="3" t="s">
        <v>1298</v>
      </c>
      <c r="D407" s="3" t="s">
        <v>46</v>
      </c>
      <c r="E407" s="3" t="s">
        <v>2669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578</v>
      </c>
      <c r="B408" s="3" t="s">
        <v>1301</v>
      </c>
      <c r="C408" s="3" t="s">
        <v>1301</v>
      </c>
      <c r="D408" s="3" t="s">
        <v>46</v>
      </c>
      <c r="E408" s="3" t="s">
        <v>2671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578</v>
      </c>
      <c r="B409" s="3" t="s">
        <v>1302</v>
      </c>
      <c r="C409" s="3" t="s">
        <v>1302</v>
      </c>
      <c r="D409" s="3" t="s">
        <v>46</v>
      </c>
      <c r="E409" s="3" t="s">
        <v>2671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578</v>
      </c>
      <c r="B410" s="3" t="s">
        <v>1303</v>
      </c>
      <c r="C410" s="3" t="s">
        <v>1303</v>
      </c>
      <c r="D410" s="3" t="s">
        <v>46</v>
      </c>
      <c r="E410" s="3" t="s">
        <v>2671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578</v>
      </c>
      <c r="B411" s="3" t="s">
        <v>418</v>
      </c>
      <c r="C411" s="3" t="s">
        <v>418</v>
      </c>
      <c r="D411" s="3" t="s">
        <v>46</v>
      </c>
      <c r="E411" s="3" t="s">
        <v>2671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578</v>
      </c>
      <c r="B412" s="3" t="s">
        <v>1305</v>
      </c>
      <c r="C412" s="3" t="s">
        <v>1305</v>
      </c>
      <c r="D412" s="3" t="s">
        <v>46</v>
      </c>
      <c r="E412" s="3" t="s">
        <v>2671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578</v>
      </c>
      <c r="B413" s="3" t="s">
        <v>1304</v>
      </c>
      <c r="C413" s="3" t="s">
        <v>1304</v>
      </c>
      <c r="D413" s="3" t="s">
        <v>46</v>
      </c>
      <c r="E413" s="3" t="s">
        <v>2671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578</v>
      </c>
      <c r="B414" s="3" t="s">
        <v>1300</v>
      </c>
      <c r="C414" s="3" t="s">
        <v>1300</v>
      </c>
      <c r="D414" s="3" t="s">
        <v>46</v>
      </c>
      <c r="E414" s="3" t="s">
        <v>2671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537</v>
      </c>
      <c r="B415" s="3" t="s">
        <v>1309</v>
      </c>
      <c r="C415" s="3" t="s">
        <v>1310</v>
      </c>
      <c r="D415" s="3" t="s">
        <v>109</v>
      </c>
      <c r="E415" s="3" t="s">
        <v>2667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537</v>
      </c>
      <c r="B416" s="3" t="s">
        <v>1306</v>
      </c>
      <c r="C416" s="3" t="s">
        <v>334</v>
      </c>
      <c r="D416" s="3" t="s">
        <v>109</v>
      </c>
      <c r="E416" s="3" t="s">
        <v>2667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537</v>
      </c>
      <c r="B417" s="3" t="s">
        <v>1307</v>
      </c>
      <c r="C417" s="3" t="s">
        <v>1308</v>
      </c>
      <c r="D417" s="3" t="s">
        <v>109</v>
      </c>
      <c r="E417" s="3" t="s">
        <v>2667</v>
      </c>
      <c r="F417" s="3">
        <f>COUNTIF(C417,PickedPlayers!D:D)</f>
        <v>0</v>
      </c>
      <c r="G417" s="3" t="str">
        <f t="shared" si="6"/>
        <v>Yes</v>
      </c>
    </row>
    <row r="418" spans="1:7" hidden="1" x14ac:dyDescent="0.25">
      <c r="A418" s="3" t="s">
        <v>544</v>
      </c>
      <c r="B418" s="3" t="s">
        <v>1312</v>
      </c>
      <c r="C418" s="3" t="s">
        <v>1313</v>
      </c>
      <c r="D418" s="3" t="s">
        <v>109</v>
      </c>
      <c r="E418" s="3" t="s">
        <v>2668</v>
      </c>
      <c r="F418" s="3">
        <f>COUNTIF(C418,PickedPlayers!D:D)</f>
        <v>0</v>
      </c>
      <c r="G418" s="3" t="str">
        <f t="shared" si="6"/>
        <v>Yes</v>
      </c>
    </row>
    <row r="419" spans="1:7" hidden="1" x14ac:dyDescent="0.25">
      <c r="A419" s="3" t="s">
        <v>544</v>
      </c>
      <c r="B419" s="3" t="s">
        <v>1317</v>
      </c>
      <c r="C419" s="3" t="s">
        <v>1318</v>
      </c>
      <c r="D419" s="3" t="s">
        <v>109</v>
      </c>
      <c r="E419" s="3" t="s">
        <v>2668</v>
      </c>
      <c r="F419" s="3">
        <f>COUNTIF(C419,PickedPlayers!D:D)</f>
        <v>0</v>
      </c>
      <c r="G419" s="3" t="str">
        <f t="shared" si="6"/>
        <v>Yes</v>
      </c>
    </row>
    <row r="420" spans="1:7" hidden="1" x14ac:dyDescent="0.25">
      <c r="A420" s="3" t="s">
        <v>544</v>
      </c>
      <c r="B420" s="3" t="s">
        <v>1311</v>
      </c>
      <c r="C420" s="3" t="s">
        <v>442</v>
      </c>
      <c r="D420" s="3" t="s">
        <v>109</v>
      </c>
      <c r="E420" s="3" t="s">
        <v>2668</v>
      </c>
      <c r="F420" s="3">
        <f>COUNTIF(C420,PickedPlayers!D:D)</f>
        <v>0</v>
      </c>
      <c r="G420" s="3" t="str">
        <f t="shared" si="6"/>
        <v>Yes</v>
      </c>
    </row>
    <row r="421" spans="1:7" hidden="1" x14ac:dyDescent="0.25">
      <c r="A421" s="3" t="s">
        <v>544</v>
      </c>
      <c r="B421" s="3" t="s">
        <v>1320</v>
      </c>
      <c r="C421" s="3" t="s">
        <v>1321</v>
      </c>
      <c r="D421" s="3" t="s">
        <v>109</v>
      </c>
      <c r="E421" s="3" t="s">
        <v>2668</v>
      </c>
      <c r="F421" s="3">
        <f>COUNTIF(C421,PickedPlayers!D:D)</f>
        <v>0</v>
      </c>
      <c r="G421" s="3" t="str">
        <f t="shared" si="6"/>
        <v>Yes</v>
      </c>
    </row>
    <row r="422" spans="1:7" hidden="1" x14ac:dyDescent="0.25">
      <c r="A422" s="3" t="s">
        <v>544</v>
      </c>
      <c r="B422" s="3" t="s">
        <v>1316</v>
      </c>
      <c r="C422" s="3" t="s">
        <v>454</v>
      </c>
      <c r="D422" s="3" t="s">
        <v>109</v>
      </c>
      <c r="E422" s="3" t="s">
        <v>2668</v>
      </c>
      <c r="F422" s="3">
        <f>COUNTIF(C422,PickedPlayers!D:D)</f>
        <v>0</v>
      </c>
      <c r="G422" s="3" t="str">
        <f t="shared" si="6"/>
        <v>Yes</v>
      </c>
    </row>
    <row r="423" spans="1:7" hidden="1" x14ac:dyDescent="0.25">
      <c r="A423" s="3" t="s">
        <v>544</v>
      </c>
      <c r="B423" s="3" t="s">
        <v>1319</v>
      </c>
      <c r="C423" s="3" t="s">
        <v>356</v>
      </c>
      <c r="D423" s="3" t="s">
        <v>109</v>
      </c>
      <c r="E423" s="3" t="s">
        <v>2668</v>
      </c>
      <c r="F423" s="3">
        <f>COUNTIF(C423,PickedPlayers!D:D)</f>
        <v>0</v>
      </c>
      <c r="G423" s="3" t="str">
        <f t="shared" si="6"/>
        <v>Yes</v>
      </c>
    </row>
    <row r="424" spans="1:7" hidden="1" x14ac:dyDescent="0.25">
      <c r="A424" s="3" t="s">
        <v>544</v>
      </c>
      <c r="B424" s="3" t="s">
        <v>1314</v>
      </c>
      <c r="C424" s="3" t="s">
        <v>350</v>
      </c>
      <c r="D424" s="3" t="s">
        <v>109</v>
      </c>
      <c r="E424" s="3" t="s">
        <v>2668</v>
      </c>
      <c r="F424" s="3">
        <f>COUNTIF(C424,PickedPlayers!D:D)</f>
        <v>0</v>
      </c>
      <c r="G424" s="3" t="str">
        <f t="shared" si="6"/>
        <v>Yes</v>
      </c>
    </row>
    <row r="425" spans="1:7" hidden="1" x14ac:dyDescent="0.25">
      <c r="A425" s="3" t="s">
        <v>544</v>
      </c>
      <c r="B425" s="3" t="s">
        <v>1315</v>
      </c>
      <c r="C425" s="3" t="s">
        <v>450</v>
      </c>
      <c r="D425" s="3" t="s">
        <v>109</v>
      </c>
      <c r="E425" s="3" t="s">
        <v>2668</v>
      </c>
      <c r="F425" s="3">
        <f>COUNTIF(C425,PickedPlayers!D:D)</f>
        <v>0</v>
      </c>
      <c r="G425" s="3" t="str">
        <f t="shared" si="6"/>
        <v>Yes</v>
      </c>
    </row>
    <row r="426" spans="1:7" hidden="1" x14ac:dyDescent="0.25">
      <c r="A426" s="3" t="s">
        <v>544</v>
      </c>
      <c r="B426" s="3" t="s">
        <v>1322</v>
      </c>
      <c r="C426" s="3" t="s">
        <v>1323</v>
      </c>
      <c r="D426" s="3" t="s">
        <v>109</v>
      </c>
      <c r="E426" s="3" t="s">
        <v>2668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563</v>
      </c>
      <c r="B427" s="3" t="s">
        <v>1324</v>
      </c>
      <c r="C427" s="3" t="s">
        <v>380</v>
      </c>
      <c r="D427" s="3" t="s">
        <v>109</v>
      </c>
      <c r="E427" s="3" t="s">
        <v>2669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563</v>
      </c>
      <c r="B428" s="3" t="s">
        <v>1327</v>
      </c>
      <c r="C428" s="3" t="s">
        <v>396</v>
      </c>
      <c r="D428" s="3" t="s">
        <v>109</v>
      </c>
      <c r="E428" s="3" t="s">
        <v>2669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563</v>
      </c>
      <c r="B429" s="3" t="s">
        <v>1331</v>
      </c>
      <c r="C429" s="3" t="s">
        <v>1332</v>
      </c>
      <c r="D429" s="3" t="s">
        <v>109</v>
      </c>
      <c r="E429" s="3" t="s">
        <v>2669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563</v>
      </c>
      <c r="B430" s="3" t="s">
        <v>1330</v>
      </c>
      <c r="C430" s="3" t="s">
        <v>312</v>
      </c>
      <c r="D430" s="3" t="s">
        <v>109</v>
      </c>
      <c r="E430" s="3" t="s">
        <v>2669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563</v>
      </c>
      <c r="B431" s="3" t="s">
        <v>1325</v>
      </c>
      <c r="C431" s="3" t="s">
        <v>1326</v>
      </c>
      <c r="D431" s="3" t="s">
        <v>109</v>
      </c>
      <c r="E431" s="3" t="s">
        <v>2669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563</v>
      </c>
      <c r="B432" s="3" t="s">
        <v>1328</v>
      </c>
      <c r="C432" s="3" t="s">
        <v>1329</v>
      </c>
      <c r="D432" s="3" t="s">
        <v>109</v>
      </c>
      <c r="E432" s="3" t="s">
        <v>2669</v>
      </c>
      <c r="F432" s="3">
        <f>COUNTIF(C432,PickedPlayers!D:D)</f>
        <v>0</v>
      </c>
      <c r="G432" s="3" t="str">
        <f t="shared" si="6"/>
        <v>Yes</v>
      </c>
    </row>
    <row r="433" spans="1:7" hidden="1" x14ac:dyDescent="0.25">
      <c r="A433" s="3" t="s">
        <v>578</v>
      </c>
      <c r="B433" s="3" t="s">
        <v>1334</v>
      </c>
      <c r="C433" s="3" t="s">
        <v>1335</v>
      </c>
      <c r="D433" s="3" t="s">
        <v>109</v>
      </c>
      <c r="E433" s="3" t="s">
        <v>2671</v>
      </c>
      <c r="F433" s="3">
        <f>COUNTIF(C433,PickedPlayers!D:D)</f>
        <v>0</v>
      </c>
      <c r="G433" s="3" t="str">
        <f t="shared" si="6"/>
        <v>Yes</v>
      </c>
    </row>
    <row r="434" spans="1:7" hidden="1" x14ac:dyDescent="0.25">
      <c r="A434" s="3" t="s">
        <v>578</v>
      </c>
      <c r="B434" s="3" t="s">
        <v>1333</v>
      </c>
      <c r="C434" s="3" t="s">
        <v>318</v>
      </c>
      <c r="D434" s="3" t="s">
        <v>109</v>
      </c>
      <c r="E434" s="3" t="s">
        <v>2671</v>
      </c>
      <c r="F434" s="3">
        <f>COUNTIF(C434,PickedPlayers!D:D)</f>
        <v>0</v>
      </c>
      <c r="G434" s="3" t="str">
        <f t="shared" si="6"/>
        <v>Yes</v>
      </c>
    </row>
    <row r="435" spans="1:7" hidden="1" x14ac:dyDescent="0.25">
      <c r="A435" s="3" t="s">
        <v>578</v>
      </c>
      <c r="B435" s="3" t="s">
        <v>1336</v>
      </c>
      <c r="C435" s="3" t="s">
        <v>278</v>
      </c>
      <c r="D435" s="3" t="s">
        <v>109</v>
      </c>
      <c r="E435" s="3" t="s">
        <v>2671</v>
      </c>
      <c r="F435" s="3">
        <f>COUNTIF(C435,PickedPlayers!D:D)</f>
        <v>0</v>
      </c>
      <c r="G435" s="3" t="str">
        <f t="shared" si="6"/>
        <v>Yes</v>
      </c>
    </row>
    <row r="436" spans="1:7" hidden="1" x14ac:dyDescent="0.25">
      <c r="A436" s="3" t="s">
        <v>578</v>
      </c>
      <c r="B436" s="3" t="s">
        <v>1342</v>
      </c>
      <c r="C436" s="3" t="s">
        <v>1343</v>
      </c>
      <c r="D436" s="3" t="s">
        <v>109</v>
      </c>
      <c r="E436" s="3" t="s">
        <v>2671</v>
      </c>
      <c r="F436" s="3">
        <f>COUNTIF(C436,PickedPlayers!D:D)</f>
        <v>0</v>
      </c>
      <c r="G436" s="3" t="str">
        <f t="shared" si="6"/>
        <v>Yes</v>
      </c>
    </row>
    <row r="437" spans="1:7" hidden="1" x14ac:dyDescent="0.25">
      <c r="A437" s="3" t="s">
        <v>578</v>
      </c>
      <c r="B437" s="3" t="s">
        <v>1338</v>
      </c>
      <c r="C437" s="3" t="s">
        <v>499</v>
      </c>
      <c r="D437" s="3" t="s">
        <v>109</v>
      </c>
      <c r="E437" s="3" t="s">
        <v>2671</v>
      </c>
      <c r="F437" s="3">
        <f>COUNTIF(C437,PickedPlayers!D:D)</f>
        <v>0</v>
      </c>
      <c r="G437" s="3" t="str">
        <f t="shared" si="6"/>
        <v>Yes</v>
      </c>
    </row>
    <row r="438" spans="1:7" hidden="1" x14ac:dyDescent="0.25">
      <c r="A438" s="3" t="s">
        <v>578</v>
      </c>
      <c r="B438" s="3" t="s">
        <v>1341</v>
      </c>
      <c r="C438" s="3" t="s">
        <v>495</v>
      </c>
      <c r="D438" s="3" t="s">
        <v>109</v>
      </c>
      <c r="E438" s="3" t="s">
        <v>2671</v>
      </c>
      <c r="F438" s="3">
        <f>COUNTIF(C438,PickedPlayers!D:D)</f>
        <v>0</v>
      </c>
      <c r="G438" s="3" t="str">
        <f t="shared" si="6"/>
        <v>Yes</v>
      </c>
    </row>
    <row r="439" spans="1:7" hidden="1" x14ac:dyDescent="0.25">
      <c r="A439" s="3" t="s">
        <v>578</v>
      </c>
      <c r="B439" s="3" t="s">
        <v>1339</v>
      </c>
      <c r="C439" s="3" t="s">
        <v>1340</v>
      </c>
      <c r="D439" s="3" t="s">
        <v>109</v>
      </c>
      <c r="E439" s="3" t="s">
        <v>2671</v>
      </c>
      <c r="F439" s="3">
        <f>COUNTIF(C439,PickedPlayers!D:D)</f>
        <v>0</v>
      </c>
      <c r="G439" s="3" t="str">
        <f t="shared" si="6"/>
        <v>Yes</v>
      </c>
    </row>
    <row r="440" spans="1:7" hidden="1" x14ac:dyDescent="0.25">
      <c r="A440" s="3" t="s">
        <v>578</v>
      </c>
      <c r="B440" s="3" t="s">
        <v>1337</v>
      </c>
      <c r="C440" s="3" t="s">
        <v>515</v>
      </c>
      <c r="D440" s="3" t="s">
        <v>109</v>
      </c>
      <c r="E440" s="3" t="s">
        <v>2671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537</v>
      </c>
      <c r="B441" s="3" t="s">
        <v>1344</v>
      </c>
      <c r="C441" s="3" t="s">
        <v>1345</v>
      </c>
      <c r="D441" s="3" t="s">
        <v>61</v>
      </c>
      <c r="E441" s="3" t="s">
        <v>2667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537</v>
      </c>
      <c r="B442" s="3" t="s">
        <v>1348</v>
      </c>
      <c r="C442" s="3" t="s">
        <v>368</v>
      </c>
      <c r="D442" s="3" t="s">
        <v>61</v>
      </c>
      <c r="E442" s="3" t="s">
        <v>2667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537</v>
      </c>
      <c r="B443" s="3" t="s">
        <v>1346</v>
      </c>
      <c r="C443" s="3" t="s">
        <v>1347</v>
      </c>
      <c r="D443" s="3" t="s">
        <v>61</v>
      </c>
      <c r="E443" s="3" t="s">
        <v>2667</v>
      </c>
      <c r="F443" s="3">
        <f>COUNTIF(C443,PickedPlayers!D:D)</f>
        <v>0</v>
      </c>
      <c r="G443" s="3" t="str">
        <f t="shared" si="6"/>
        <v>Yes</v>
      </c>
    </row>
    <row r="444" spans="1:7" hidden="1" x14ac:dyDescent="0.25">
      <c r="A444" s="3" t="s">
        <v>544</v>
      </c>
      <c r="B444" s="3" t="s">
        <v>1355</v>
      </c>
      <c r="C444" s="3" t="s">
        <v>467</v>
      </c>
      <c r="D444" s="3" t="s">
        <v>61</v>
      </c>
      <c r="E444" s="3" t="s">
        <v>2668</v>
      </c>
      <c r="F444" s="3">
        <f>COUNTIF(C444,PickedPlayers!D:D)</f>
        <v>0</v>
      </c>
      <c r="G444" s="3" t="str">
        <f t="shared" si="6"/>
        <v>Yes</v>
      </c>
    </row>
    <row r="445" spans="1:7" hidden="1" x14ac:dyDescent="0.25">
      <c r="A445" s="3" t="s">
        <v>544</v>
      </c>
      <c r="B445" s="3" t="s">
        <v>1361</v>
      </c>
      <c r="C445" s="3" t="s">
        <v>1362</v>
      </c>
      <c r="D445" s="3" t="s">
        <v>61</v>
      </c>
      <c r="E445" s="3" t="s">
        <v>2668</v>
      </c>
      <c r="F445" s="3">
        <f>COUNTIF(C445,PickedPlayers!D:D)</f>
        <v>0</v>
      </c>
      <c r="G445" s="3" t="str">
        <f t="shared" si="6"/>
        <v>Yes</v>
      </c>
    </row>
    <row r="446" spans="1:7" hidden="1" x14ac:dyDescent="0.25">
      <c r="A446" s="3" t="s">
        <v>544</v>
      </c>
      <c r="B446" s="3" t="s">
        <v>1358</v>
      </c>
      <c r="C446" s="3" t="s">
        <v>358</v>
      </c>
      <c r="D446" s="3" t="s">
        <v>61</v>
      </c>
      <c r="E446" s="3" t="s">
        <v>2668</v>
      </c>
      <c r="F446" s="3">
        <f>COUNTIF(C446,PickedPlayers!D:D)</f>
        <v>0</v>
      </c>
      <c r="G446" s="3" t="str">
        <f t="shared" si="6"/>
        <v>Yes</v>
      </c>
    </row>
    <row r="447" spans="1:7" hidden="1" x14ac:dyDescent="0.25">
      <c r="A447" s="3" t="s">
        <v>544</v>
      </c>
      <c r="B447" s="3" t="s">
        <v>1352</v>
      </c>
      <c r="C447" s="3" t="s">
        <v>1353</v>
      </c>
      <c r="D447" s="3" t="s">
        <v>61</v>
      </c>
      <c r="E447" s="3" t="s">
        <v>2668</v>
      </c>
      <c r="F447" s="3">
        <f>COUNTIF(C447,PickedPlayers!D:D)</f>
        <v>0</v>
      </c>
      <c r="G447" s="3" t="str">
        <f t="shared" si="6"/>
        <v>Yes</v>
      </c>
    </row>
    <row r="448" spans="1:7" hidden="1" x14ac:dyDescent="0.25">
      <c r="A448" s="3" t="s">
        <v>544</v>
      </c>
      <c r="B448" s="3" t="s">
        <v>1356</v>
      </c>
      <c r="C448" s="3" t="s">
        <v>1357</v>
      </c>
      <c r="D448" s="3" t="s">
        <v>61</v>
      </c>
      <c r="E448" s="3" t="s">
        <v>2668</v>
      </c>
      <c r="F448" s="3">
        <f>COUNTIF(C448,PickedPlayers!D:D)</f>
        <v>0</v>
      </c>
      <c r="G448" s="3" t="str">
        <f t="shared" si="6"/>
        <v>Yes</v>
      </c>
    </row>
    <row r="449" spans="1:7" hidden="1" x14ac:dyDescent="0.25">
      <c r="A449" s="3" t="s">
        <v>544</v>
      </c>
      <c r="B449" s="3" t="s">
        <v>1349</v>
      </c>
      <c r="C449" s="3" t="s">
        <v>1350</v>
      </c>
      <c r="D449" s="3" t="s">
        <v>61</v>
      </c>
      <c r="E449" s="3" t="s">
        <v>2668</v>
      </c>
      <c r="F449" s="3">
        <f>COUNTIF(C449,PickedPlayers!D:D)</f>
        <v>0</v>
      </c>
      <c r="G449" s="3" t="str">
        <f t="shared" si="6"/>
        <v>Yes</v>
      </c>
    </row>
    <row r="450" spans="1:7" hidden="1" x14ac:dyDescent="0.25">
      <c r="A450" s="3" t="s">
        <v>544</v>
      </c>
      <c r="B450" s="3" t="s">
        <v>1359</v>
      </c>
      <c r="C450" s="3" t="s">
        <v>1360</v>
      </c>
      <c r="D450" s="3" t="s">
        <v>61</v>
      </c>
      <c r="E450" s="3" t="s">
        <v>2668</v>
      </c>
      <c r="F450" s="3">
        <f>COUNTIF(C450,PickedPlayers!D:D)</f>
        <v>0</v>
      </c>
      <c r="G450" s="3" t="str">
        <f t="shared" si="6"/>
        <v>Yes</v>
      </c>
    </row>
    <row r="451" spans="1:7" hidden="1" x14ac:dyDescent="0.25">
      <c r="A451" s="3" t="s">
        <v>544</v>
      </c>
      <c r="B451" s="3" t="s">
        <v>1354</v>
      </c>
      <c r="C451" s="3" t="s">
        <v>336</v>
      </c>
      <c r="D451" s="3" t="s">
        <v>61</v>
      </c>
      <c r="E451" s="3" t="s">
        <v>2668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hidden="1" x14ac:dyDescent="0.25">
      <c r="A452" s="3" t="s">
        <v>544</v>
      </c>
      <c r="B452" s="3" t="s">
        <v>1351</v>
      </c>
      <c r="C452" s="3" t="s">
        <v>376</v>
      </c>
      <c r="D452" s="3" t="s">
        <v>61</v>
      </c>
      <c r="E452" s="3" t="s">
        <v>2668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563</v>
      </c>
      <c r="B453" s="3" t="s">
        <v>1364</v>
      </c>
      <c r="C453" s="3" t="s">
        <v>1365</v>
      </c>
      <c r="D453" s="3" t="s">
        <v>61</v>
      </c>
      <c r="E453" s="3" t="s">
        <v>2669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563</v>
      </c>
      <c r="B454" s="3" t="s">
        <v>1366</v>
      </c>
      <c r="C454" s="3" t="s">
        <v>412</v>
      </c>
      <c r="D454" s="3" t="s">
        <v>61</v>
      </c>
      <c r="E454" s="3" t="s">
        <v>2669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563</v>
      </c>
      <c r="B455" s="3" t="s">
        <v>1373</v>
      </c>
      <c r="C455" s="3" t="s">
        <v>1374</v>
      </c>
      <c r="D455" s="3" t="s">
        <v>61</v>
      </c>
      <c r="E455" s="3" t="s">
        <v>2669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563</v>
      </c>
      <c r="B456" s="3" t="s">
        <v>1363</v>
      </c>
      <c r="C456" s="3" t="s">
        <v>1183</v>
      </c>
      <c r="D456" s="3" t="s">
        <v>61</v>
      </c>
      <c r="E456" s="3" t="s">
        <v>2669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563</v>
      </c>
      <c r="B457" s="3" t="s">
        <v>1369</v>
      </c>
      <c r="C457" s="3" t="s">
        <v>308</v>
      </c>
      <c r="D457" s="3" t="s">
        <v>61</v>
      </c>
      <c r="E457" s="3" t="s">
        <v>2669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563</v>
      </c>
      <c r="B458" s="3" t="s">
        <v>1371</v>
      </c>
      <c r="C458" s="3" t="s">
        <v>1372</v>
      </c>
      <c r="D458" s="3" t="s">
        <v>61</v>
      </c>
      <c r="E458" s="3" t="s">
        <v>2669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563</v>
      </c>
      <c r="B459" s="3" t="s">
        <v>1370</v>
      </c>
      <c r="C459" s="3" t="s">
        <v>338</v>
      </c>
      <c r="D459" s="3" t="s">
        <v>61</v>
      </c>
      <c r="E459" s="3" t="s">
        <v>2669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563</v>
      </c>
      <c r="B460" s="3" t="s">
        <v>1367</v>
      </c>
      <c r="C460" s="3" t="s">
        <v>1368</v>
      </c>
      <c r="D460" s="3" t="s">
        <v>61</v>
      </c>
      <c r="E460" s="3" t="s">
        <v>2669</v>
      </c>
      <c r="F460" s="3">
        <f>COUNTIF(C460,PickedPlayers!D:D)</f>
        <v>0</v>
      </c>
      <c r="G460" s="3" t="str">
        <f t="shared" si="7"/>
        <v>Yes</v>
      </c>
    </row>
    <row r="461" spans="1:7" hidden="1" x14ac:dyDescent="0.25">
      <c r="A461" s="3" t="s">
        <v>578</v>
      </c>
      <c r="B461" s="3" t="s">
        <v>1376</v>
      </c>
      <c r="C461" s="3" t="s">
        <v>479</v>
      </c>
      <c r="D461" s="3" t="s">
        <v>61</v>
      </c>
      <c r="E461" s="3" t="s">
        <v>2671</v>
      </c>
      <c r="F461" s="3">
        <f>COUNTIF(C461,PickedPlayers!D:D)</f>
        <v>0</v>
      </c>
      <c r="G461" s="3" t="str">
        <f t="shared" si="7"/>
        <v>Yes</v>
      </c>
    </row>
    <row r="462" spans="1:7" hidden="1" x14ac:dyDescent="0.25">
      <c r="A462" s="3" t="s">
        <v>578</v>
      </c>
      <c r="B462" s="3" t="s">
        <v>1379</v>
      </c>
      <c r="C462" s="3" t="s">
        <v>354</v>
      </c>
      <c r="D462" s="3" t="s">
        <v>61</v>
      </c>
      <c r="E462" s="3" t="s">
        <v>2671</v>
      </c>
      <c r="F462" s="3">
        <f>COUNTIF(C462,PickedPlayers!D:D)</f>
        <v>0</v>
      </c>
      <c r="G462" s="3" t="str">
        <f t="shared" si="7"/>
        <v>Yes</v>
      </c>
    </row>
    <row r="463" spans="1:7" hidden="1" x14ac:dyDescent="0.25">
      <c r="A463" s="3" t="s">
        <v>578</v>
      </c>
      <c r="B463" s="3" t="s">
        <v>1381</v>
      </c>
      <c r="C463" s="3" t="s">
        <v>1382</v>
      </c>
      <c r="D463" s="3" t="s">
        <v>61</v>
      </c>
      <c r="E463" s="3" t="s">
        <v>2671</v>
      </c>
      <c r="F463" s="3">
        <f>COUNTIF(C463,PickedPlayers!D:D)</f>
        <v>0</v>
      </c>
      <c r="G463" s="3" t="str">
        <f t="shared" si="7"/>
        <v>Yes</v>
      </c>
    </row>
    <row r="464" spans="1:7" hidden="1" x14ac:dyDescent="0.25">
      <c r="A464" s="3" t="s">
        <v>578</v>
      </c>
      <c r="B464" s="3" t="s">
        <v>1380</v>
      </c>
      <c r="C464" s="3" t="s">
        <v>275</v>
      </c>
      <c r="D464" s="3" t="s">
        <v>61</v>
      </c>
      <c r="E464" s="3" t="s">
        <v>2671</v>
      </c>
      <c r="F464" s="3">
        <f>COUNTIF(C464,PickedPlayers!D:D)</f>
        <v>0</v>
      </c>
      <c r="G464" s="3" t="str">
        <f t="shared" si="7"/>
        <v>Yes</v>
      </c>
    </row>
    <row r="465" spans="1:7" hidden="1" x14ac:dyDescent="0.25">
      <c r="A465" s="3" t="s">
        <v>578</v>
      </c>
      <c r="B465" s="3" t="s">
        <v>1377</v>
      </c>
      <c r="C465" s="3" t="s">
        <v>1378</v>
      </c>
      <c r="D465" s="3" t="s">
        <v>61</v>
      </c>
      <c r="E465" s="3" t="s">
        <v>2671</v>
      </c>
      <c r="F465" s="3">
        <f>COUNTIF(C465,PickedPlayers!D:D)</f>
        <v>0</v>
      </c>
      <c r="G465" s="3" t="str">
        <f t="shared" si="7"/>
        <v>Yes</v>
      </c>
    </row>
    <row r="466" spans="1:7" hidden="1" x14ac:dyDescent="0.25">
      <c r="A466" s="3" t="s">
        <v>578</v>
      </c>
      <c r="B466" s="3" t="s">
        <v>1375</v>
      </c>
      <c r="C466" s="3" t="s">
        <v>287</v>
      </c>
      <c r="D466" s="3" t="s">
        <v>61</v>
      </c>
      <c r="E466" s="3" t="s">
        <v>2671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537</v>
      </c>
      <c r="B467" s="3" t="s">
        <v>1384</v>
      </c>
      <c r="C467" s="3" t="s">
        <v>1385</v>
      </c>
      <c r="D467" s="3" t="s">
        <v>74</v>
      </c>
      <c r="E467" s="3" t="s">
        <v>2667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537</v>
      </c>
      <c r="B468" s="3" t="s">
        <v>1383</v>
      </c>
      <c r="C468" s="3" t="s">
        <v>382</v>
      </c>
      <c r="D468" s="3" t="s">
        <v>74</v>
      </c>
      <c r="E468" s="3" t="s">
        <v>2667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537</v>
      </c>
      <c r="B469" s="3" t="s">
        <v>1386</v>
      </c>
      <c r="C469" s="3" t="s">
        <v>1387</v>
      </c>
      <c r="D469" s="3" t="s">
        <v>74</v>
      </c>
      <c r="E469" s="3" t="s">
        <v>2667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544</v>
      </c>
      <c r="B470" s="3" t="s">
        <v>1388</v>
      </c>
      <c r="C470" s="3" t="s">
        <v>436</v>
      </c>
      <c r="D470" s="3" t="s">
        <v>74</v>
      </c>
      <c r="E470" s="3" t="s">
        <v>2668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544</v>
      </c>
      <c r="B471" s="3" t="s">
        <v>1393</v>
      </c>
      <c r="C471" s="3" t="s">
        <v>390</v>
      </c>
      <c r="D471" s="3" t="s">
        <v>74</v>
      </c>
      <c r="E471" s="3" t="s">
        <v>2668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544</v>
      </c>
      <c r="B472" s="3" t="s">
        <v>1394</v>
      </c>
      <c r="C472" s="3" t="s">
        <v>485</v>
      </c>
      <c r="D472" s="3" t="s">
        <v>74</v>
      </c>
      <c r="E472" s="3" t="s">
        <v>2668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544</v>
      </c>
      <c r="B473" s="3" t="s">
        <v>1395</v>
      </c>
      <c r="C473" s="3" t="s">
        <v>1396</v>
      </c>
      <c r="D473" s="3" t="s">
        <v>74</v>
      </c>
      <c r="E473" s="3" t="s">
        <v>2668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544</v>
      </c>
      <c r="B474" s="3" t="s">
        <v>1389</v>
      </c>
      <c r="C474" s="3" t="s">
        <v>1390</v>
      </c>
      <c r="D474" s="3" t="s">
        <v>74</v>
      </c>
      <c r="E474" s="3" t="s">
        <v>2668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544</v>
      </c>
      <c r="B475" s="3" t="s">
        <v>1397</v>
      </c>
      <c r="C475" s="3" t="s">
        <v>493</v>
      </c>
      <c r="D475" s="3" t="s">
        <v>74</v>
      </c>
      <c r="E475" s="3" t="s">
        <v>2668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544</v>
      </c>
      <c r="B476" s="3" t="s">
        <v>1391</v>
      </c>
      <c r="C476" s="3" t="s">
        <v>1392</v>
      </c>
      <c r="D476" s="3" t="s">
        <v>74</v>
      </c>
      <c r="E476" s="3" t="s">
        <v>2668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563</v>
      </c>
      <c r="B477" s="3" t="s">
        <v>1412</v>
      </c>
      <c r="C477" s="3" t="s">
        <v>1413</v>
      </c>
      <c r="D477" s="3" t="s">
        <v>74</v>
      </c>
      <c r="E477" s="3" t="s">
        <v>2669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563</v>
      </c>
      <c r="B478" s="3" t="s">
        <v>1398</v>
      </c>
      <c r="C478" s="3" t="s">
        <v>1399</v>
      </c>
      <c r="D478" s="3" t="s">
        <v>74</v>
      </c>
      <c r="E478" s="3" t="s">
        <v>2669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563</v>
      </c>
      <c r="B479" s="3" t="s">
        <v>1400</v>
      </c>
      <c r="C479" s="3" t="s">
        <v>1401</v>
      </c>
      <c r="D479" s="3" t="s">
        <v>74</v>
      </c>
      <c r="E479" s="3" t="s">
        <v>2669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563</v>
      </c>
      <c r="B480" s="3" t="s">
        <v>1408</v>
      </c>
      <c r="C480" s="3" t="s">
        <v>1409</v>
      </c>
      <c r="D480" s="3" t="s">
        <v>74</v>
      </c>
      <c r="E480" s="3" t="s">
        <v>2669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563</v>
      </c>
      <c r="B481" s="3" t="s">
        <v>1403</v>
      </c>
      <c r="C481" s="3" t="s">
        <v>326</v>
      </c>
      <c r="D481" s="3" t="s">
        <v>74</v>
      </c>
      <c r="E481" s="3" t="s">
        <v>2669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563</v>
      </c>
      <c r="B482" s="3" t="s">
        <v>1402</v>
      </c>
      <c r="C482" s="3" t="s">
        <v>342</v>
      </c>
      <c r="D482" s="3" t="s">
        <v>74</v>
      </c>
      <c r="E482" s="3" t="s">
        <v>2669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563</v>
      </c>
      <c r="B483" s="3" t="s">
        <v>1407</v>
      </c>
      <c r="C483" s="3" t="s">
        <v>320</v>
      </c>
      <c r="D483" s="3" t="s">
        <v>74</v>
      </c>
      <c r="E483" s="3" t="s">
        <v>2669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563</v>
      </c>
      <c r="B484" s="3" t="s">
        <v>1404</v>
      </c>
      <c r="C484" s="3" t="s">
        <v>511</v>
      </c>
      <c r="D484" s="3" t="s">
        <v>74</v>
      </c>
      <c r="E484" s="3" t="s">
        <v>2669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563</v>
      </c>
      <c r="B485" s="3" t="s">
        <v>1405</v>
      </c>
      <c r="C485" s="3" t="s">
        <v>1406</v>
      </c>
      <c r="D485" s="3" t="s">
        <v>74</v>
      </c>
      <c r="E485" s="3" t="s">
        <v>2669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563</v>
      </c>
      <c r="B486" s="3" t="s">
        <v>1410</v>
      </c>
      <c r="C486" s="3" t="s">
        <v>1411</v>
      </c>
      <c r="D486" s="3" t="s">
        <v>74</v>
      </c>
      <c r="E486" s="3" t="s">
        <v>2669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578</v>
      </c>
      <c r="B487" s="3" t="s">
        <v>1422</v>
      </c>
      <c r="C487" s="3" t="s">
        <v>1423</v>
      </c>
      <c r="D487" s="3" t="s">
        <v>74</v>
      </c>
      <c r="E487" s="3" t="s">
        <v>2671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578</v>
      </c>
      <c r="B488" s="3" t="s">
        <v>1417</v>
      </c>
      <c r="C488" s="3" t="s">
        <v>1418</v>
      </c>
      <c r="D488" s="3" t="s">
        <v>74</v>
      </c>
      <c r="E488" s="3" t="s">
        <v>2671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578</v>
      </c>
      <c r="B489" s="3" t="s">
        <v>1414</v>
      </c>
      <c r="C489" s="3" t="s">
        <v>298</v>
      </c>
      <c r="D489" s="3" t="s">
        <v>74</v>
      </c>
      <c r="E489" s="3" t="s">
        <v>2671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578</v>
      </c>
      <c r="B490" s="3" t="s">
        <v>1419</v>
      </c>
      <c r="C490" s="3" t="s">
        <v>316</v>
      </c>
      <c r="D490" s="3" t="s">
        <v>74</v>
      </c>
      <c r="E490" s="3" t="s">
        <v>2671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578</v>
      </c>
      <c r="B491" s="3" t="s">
        <v>1415</v>
      </c>
      <c r="C491" s="3" t="s">
        <v>1416</v>
      </c>
      <c r="D491" s="3" t="s">
        <v>74</v>
      </c>
      <c r="E491" s="3" t="s">
        <v>2671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578</v>
      </c>
      <c r="B492" s="3" t="s">
        <v>1420</v>
      </c>
      <c r="C492" s="3" t="s">
        <v>1421</v>
      </c>
      <c r="D492" s="3" t="s">
        <v>74</v>
      </c>
      <c r="E492" s="3" t="s">
        <v>2671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537</v>
      </c>
      <c r="B493" s="3" t="s">
        <v>1426</v>
      </c>
      <c r="C493" s="3" t="s">
        <v>1427</v>
      </c>
      <c r="D493" s="3" t="s">
        <v>105</v>
      </c>
      <c r="E493" s="3" t="s">
        <v>2667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537</v>
      </c>
      <c r="B494" s="3" t="s">
        <v>1428</v>
      </c>
      <c r="C494" s="3" t="s">
        <v>1429</v>
      </c>
      <c r="D494" s="3" t="s">
        <v>105</v>
      </c>
      <c r="E494" s="3" t="s">
        <v>2667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537</v>
      </c>
      <c r="B495" s="3" t="s">
        <v>1424</v>
      </c>
      <c r="C495" s="3" t="s">
        <v>1425</v>
      </c>
      <c r="D495" s="3" t="s">
        <v>105</v>
      </c>
      <c r="E495" s="3" t="s">
        <v>2667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544</v>
      </c>
      <c r="B496" s="3" t="s">
        <v>1446</v>
      </c>
      <c r="C496" s="3" t="s">
        <v>1447</v>
      </c>
      <c r="D496" s="3" t="s">
        <v>105</v>
      </c>
      <c r="E496" s="3" t="s">
        <v>2668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544</v>
      </c>
      <c r="B497" s="3" t="s">
        <v>1438</v>
      </c>
      <c r="C497" s="3" t="s">
        <v>1439</v>
      </c>
      <c r="D497" s="3" t="s">
        <v>105</v>
      </c>
      <c r="E497" s="3" t="s">
        <v>2668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544</v>
      </c>
      <c r="B498" s="3" t="s">
        <v>1430</v>
      </c>
      <c r="C498" s="3" t="s">
        <v>1431</v>
      </c>
      <c r="D498" s="3" t="s">
        <v>105</v>
      </c>
      <c r="E498" s="3" t="s">
        <v>2668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544</v>
      </c>
      <c r="B499" s="3" t="s">
        <v>1440</v>
      </c>
      <c r="C499" s="3" t="s">
        <v>1441</v>
      </c>
      <c r="D499" s="3" t="s">
        <v>105</v>
      </c>
      <c r="E499" s="3" t="s">
        <v>2668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544</v>
      </c>
      <c r="B500" s="3" t="s">
        <v>1442</v>
      </c>
      <c r="C500" s="3" t="s">
        <v>1443</v>
      </c>
      <c r="D500" s="3" t="s">
        <v>105</v>
      </c>
      <c r="E500" s="3" t="s">
        <v>2668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544</v>
      </c>
      <c r="B501" s="3" t="s">
        <v>1434</v>
      </c>
      <c r="C501" s="3" t="s">
        <v>1435</v>
      </c>
      <c r="D501" s="3" t="s">
        <v>105</v>
      </c>
      <c r="E501" s="3" t="s">
        <v>2668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544</v>
      </c>
      <c r="B502" s="3" t="s">
        <v>1432</v>
      </c>
      <c r="C502" s="3" t="s">
        <v>1433</v>
      </c>
      <c r="D502" s="3" t="s">
        <v>105</v>
      </c>
      <c r="E502" s="3" t="s">
        <v>2668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544</v>
      </c>
      <c r="B503" s="3" t="s">
        <v>1436</v>
      </c>
      <c r="C503" s="3" t="s">
        <v>1437</v>
      </c>
      <c r="D503" s="3" t="s">
        <v>105</v>
      </c>
      <c r="E503" s="3" t="s">
        <v>2668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544</v>
      </c>
      <c r="B504" s="3" t="s">
        <v>1444</v>
      </c>
      <c r="C504" s="3" t="s">
        <v>1445</v>
      </c>
      <c r="D504" s="3" t="s">
        <v>105</v>
      </c>
      <c r="E504" s="3" t="s">
        <v>2668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563</v>
      </c>
      <c r="B505" s="3" t="s">
        <v>1448</v>
      </c>
      <c r="C505" s="3" t="s">
        <v>1449</v>
      </c>
      <c r="D505" s="3" t="s">
        <v>105</v>
      </c>
      <c r="E505" s="3" t="s">
        <v>2669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563</v>
      </c>
      <c r="B506" s="3" t="s">
        <v>1454</v>
      </c>
      <c r="C506" s="3" t="s">
        <v>1455</v>
      </c>
      <c r="D506" s="3" t="s">
        <v>105</v>
      </c>
      <c r="E506" s="3" t="s">
        <v>2669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563</v>
      </c>
      <c r="B507" s="3" t="s">
        <v>1450</v>
      </c>
      <c r="C507" s="3" t="s">
        <v>1451</v>
      </c>
      <c r="D507" s="3" t="s">
        <v>105</v>
      </c>
      <c r="E507" s="3" t="s">
        <v>2669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563</v>
      </c>
      <c r="B508" s="3" t="s">
        <v>1452</v>
      </c>
      <c r="C508" s="3" t="s">
        <v>1453</v>
      </c>
      <c r="D508" s="3" t="s">
        <v>105</v>
      </c>
      <c r="E508" s="3" t="s">
        <v>2669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578</v>
      </c>
      <c r="B509" s="3" t="s">
        <v>1462</v>
      </c>
      <c r="C509" s="3" t="s">
        <v>1463</v>
      </c>
      <c r="D509" s="3" t="s">
        <v>105</v>
      </c>
      <c r="E509" s="3" t="s">
        <v>2671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578</v>
      </c>
      <c r="B510" s="3" t="s">
        <v>1456</v>
      </c>
      <c r="C510" s="3" t="s">
        <v>1457</v>
      </c>
      <c r="D510" s="3" t="s">
        <v>105</v>
      </c>
      <c r="E510" s="3" t="s">
        <v>2671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578</v>
      </c>
      <c r="B511" s="3" t="s">
        <v>1468</v>
      </c>
      <c r="C511" s="3" t="s">
        <v>1469</v>
      </c>
      <c r="D511" s="3" t="s">
        <v>105</v>
      </c>
      <c r="E511" s="3" t="s">
        <v>2671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578</v>
      </c>
      <c r="B512" s="3" t="s">
        <v>1464</v>
      </c>
      <c r="C512" s="3" t="s">
        <v>1465</v>
      </c>
      <c r="D512" s="3" t="s">
        <v>105</v>
      </c>
      <c r="E512" s="3" t="s">
        <v>2671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578</v>
      </c>
      <c r="B513" s="3" t="s">
        <v>1472</v>
      </c>
      <c r="C513" s="3" t="s">
        <v>1473</v>
      </c>
      <c r="D513" s="3" t="s">
        <v>105</v>
      </c>
      <c r="E513" s="3" t="s">
        <v>2671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578</v>
      </c>
      <c r="B514" s="3" t="s">
        <v>1470</v>
      </c>
      <c r="C514" s="3" t="s">
        <v>1471</v>
      </c>
      <c r="D514" s="3" t="s">
        <v>105</v>
      </c>
      <c r="E514" s="3" t="s">
        <v>2671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578</v>
      </c>
      <c r="B515" s="3" t="s">
        <v>1458</v>
      </c>
      <c r="C515" s="3" t="s">
        <v>1459</v>
      </c>
      <c r="D515" s="3" t="s">
        <v>105</v>
      </c>
      <c r="E515" s="3" t="s">
        <v>2671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578</v>
      </c>
      <c r="B516" s="3" t="s">
        <v>1460</v>
      </c>
      <c r="C516" s="3" t="s">
        <v>1461</v>
      </c>
      <c r="D516" s="3" t="s">
        <v>105</v>
      </c>
      <c r="E516" s="3" t="s">
        <v>2671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578</v>
      </c>
      <c r="B517" s="3" t="s">
        <v>1466</v>
      </c>
      <c r="C517" s="3" t="s">
        <v>1467</v>
      </c>
      <c r="D517" s="3" t="s">
        <v>105</v>
      </c>
      <c r="E517" s="3" t="s">
        <v>2671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578</v>
      </c>
      <c r="B518" s="3" t="s">
        <v>1474</v>
      </c>
      <c r="C518" s="3" t="s">
        <v>1475</v>
      </c>
      <c r="D518" s="3" t="s">
        <v>105</v>
      </c>
      <c r="E518" s="3" t="s">
        <v>2671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537</v>
      </c>
      <c r="B519" s="3" t="s">
        <v>1480</v>
      </c>
      <c r="C519" s="3" t="s">
        <v>1481</v>
      </c>
      <c r="D519" s="3" t="s">
        <v>159</v>
      </c>
      <c r="E519" s="3" t="s">
        <v>2667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537</v>
      </c>
      <c r="B520" s="3" t="s">
        <v>1478</v>
      </c>
      <c r="C520" s="3" t="s">
        <v>1479</v>
      </c>
      <c r="D520" s="3" t="s">
        <v>159</v>
      </c>
      <c r="E520" s="3" t="s">
        <v>2667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537</v>
      </c>
      <c r="B521" s="3" t="s">
        <v>1476</v>
      </c>
      <c r="C521" s="3" t="s">
        <v>1477</v>
      </c>
      <c r="D521" s="3" t="s">
        <v>159</v>
      </c>
      <c r="E521" s="3" t="s">
        <v>2667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544</v>
      </c>
      <c r="B522" s="3" t="s">
        <v>1482</v>
      </c>
      <c r="C522" s="3" t="s">
        <v>1483</v>
      </c>
      <c r="D522" s="3" t="s">
        <v>159</v>
      </c>
      <c r="E522" s="3" t="s">
        <v>2668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544</v>
      </c>
      <c r="B523" s="3" t="s">
        <v>1488</v>
      </c>
      <c r="C523" s="3" t="s">
        <v>1489</v>
      </c>
      <c r="D523" s="3" t="s">
        <v>159</v>
      </c>
      <c r="E523" s="3" t="s">
        <v>2668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544</v>
      </c>
      <c r="B524" s="3" t="s">
        <v>1494</v>
      </c>
      <c r="C524" s="3" t="s">
        <v>1495</v>
      </c>
      <c r="D524" s="3" t="s">
        <v>159</v>
      </c>
      <c r="E524" s="3" t="s">
        <v>2668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544</v>
      </c>
      <c r="B525" s="3" t="s">
        <v>1492</v>
      </c>
      <c r="C525" s="3" t="s">
        <v>1493</v>
      </c>
      <c r="D525" s="3" t="s">
        <v>159</v>
      </c>
      <c r="E525" s="3" t="s">
        <v>2668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544</v>
      </c>
      <c r="B526" s="3" t="s">
        <v>1486</v>
      </c>
      <c r="C526" s="3" t="s">
        <v>1487</v>
      </c>
      <c r="D526" s="3" t="s">
        <v>159</v>
      </c>
      <c r="E526" s="3" t="s">
        <v>2668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544</v>
      </c>
      <c r="B527" s="3" t="s">
        <v>1484</v>
      </c>
      <c r="C527" s="3" t="s">
        <v>1485</v>
      </c>
      <c r="D527" s="3" t="s">
        <v>159</v>
      </c>
      <c r="E527" s="3" t="s">
        <v>2668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544</v>
      </c>
      <c r="B528" s="3" t="s">
        <v>1490</v>
      </c>
      <c r="C528" s="3" t="s">
        <v>1491</v>
      </c>
      <c r="D528" s="3" t="s">
        <v>159</v>
      </c>
      <c r="E528" s="3" t="s">
        <v>2668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544</v>
      </c>
      <c r="B529" s="3" t="s">
        <v>1496</v>
      </c>
      <c r="C529" s="3" t="s">
        <v>1497</v>
      </c>
      <c r="D529" s="3" t="s">
        <v>159</v>
      </c>
      <c r="E529" s="3" t="s">
        <v>2668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563</v>
      </c>
      <c r="B530" s="3" t="s">
        <v>1498</v>
      </c>
      <c r="C530" s="3" t="s">
        <v>1499</v>
      </c>
      <c r="D530" s="3" t="s">
        <v>159</v>
      </c>
      <c r="E530" s="3" t="s">
        <v>2669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563</v>
      </c>
      <c r="B531" s="3" t="s">
        <v>1500</v>
      </c>
      <c r="C531" s="3" t="s">
        <v>1501</v>
      </c>
      <c r="D531" s="3" t="s">
        <v>159</v>
      </c>
      <c r="E531" s="3" t="s">
        <v>2669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563</v>
      </c>
      <c r="B532" s="3" t="s">
        <v>1504</v>
      </c>
      <c r="C532" s="3" t="s">
        <v>1505</v>
      </c>
      <c r="D532" s="3" t="s">
        <v>159</v>
      </c>
      <c r="E532" s="3" t="s">
        <v>2669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563</v>
      </c>
      <c r="B533" s="3" t="s">
        <v>1502</v>
      </c>
      <c r="C533" s="3" t="s">
        <v>1503</v>
      </c>
      <c r="D533" s="3" t="s">
        <v>159</v>
      </c>
      <c r="E533" s="3" t="s">
        <v>2669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563</v>
      </c>
      <c r="B534" s="3" t="s">
        <v>1506</v>
      </c>
      <c r="C534" s="3" t="s">
        <v>1507</v>
      </c>
      <c r="D534" s="3" t="s">
        <v>159</v>
      </c>
      <c r="E534" s="3" t="s">
        <v>2669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563</v>
      </c>
      <c r="B535" s="3" t="s">
        <v>1508</v>
      </c>
      <c r="C535" s="3" t="s">
        <v>1509</v>
      </c>
      <c r="D535" s="3" t="s">
        <v>159</v>
      </c>
      <c r="E535" s="3" t="s">
        <v>2669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578</v>
      </c>
      <c r="B536" s="3" t="s">
        <v>1510</v>
      </c>
      <c r="C536" s="3" t="s">
        <v>1511</v>
      </c>
      <c r="D536" s="3" t="s">
        <v>159</v>
      </c>
      <c r="E536" s="3" t="s">
        <v>2671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578</v>
      </c>
      <c r="B537" s="3" t="s">
        <v>1514</v>
      </c>
      <c r="C537" s="3" t="s">
        <v>1515</v>
      </c>
      <c r="D537" s="3" t="s">
        <v>159</v>
      </c>
      <c r="E537" s="3" t="s">
        <v>2671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578</v>
      </c>
      <c r="B538" s="3" t="s">
        <v>1520</v>
      </c>
      <c r="C538" s="3" t="s">
        <v>1521</v>
      </c>
      <c r="D538" s="3" t="s">
        <v>159</v>
      </c>
      <c r="E538" s="3" t="s">
        <v>2671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578</v>
      </c>
      <c r="B539" s="3" t="s">
        <v>1524</v>
      </c>
      <c r="C539" s="3" t="s">
        <v>1525</v>
      </c>
      <c r="D539" s="3" t="s">
        <v>159</v>
      </c>
      <c r="E539" s="3" t="s">
        <v>2671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578</v>
      </c>
      <c r="B540" s="3" t="s">
        <v>1518</v>
      </c>
      <c r="C540" s="3" t="s">
        <v>1519</v>
      </c>
      <c r="D540" s="3" t="s">
        <v>159</v>
      </c>
      <c r="E540" s="3" t="s">
        <v>2671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578</v>
      </c>
      <c r="B541" s="3" t="s">
        <v>1526</v>
      </c>
      <c r="C541" s="3" t="s">
        <v>1527</v>
      </c>
      <c r="D541" s="3" t="s">
        <v>159</v>
      </c>
      <c r="E541" s="3" t="s">
        <v>2671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578</v>
      </c>
      <c r="B542" s="3" t="s">
        <v>1522</v>
      </c>
      <c r="C542" s="3" t="s">
        <v>1523</v>
      </c>
      <c r="D542" s="3" t="s">
        <v>159</v>
      </c>
      <c r="E542" s="3" t="s">
        <v>2671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578</v>
      </c>
      <c r="B543" s="3" t="s">
        <v>1512</v>
      </c>
      <c r="C543" s="3" t="s">
        <v>1513</v>
      </c>
      <c r="D543" s="3" t="s">
        <v>159</v>
      </c>
      <c r="E543" s="3" t="s">
        <v>2671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578</v>
      </c>
      <c r="B544" s="3" t="s">
        <v>1516</v>
      </c>
      <c r="C544" s="3" t="s">
        <v>1517</v>
      </c>
      <c r="D544" s="3" t="s">
        <v>159</v>
      </c>
      <c r="E544" s="3" t="s">
        <v>2671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537</v>
      </c>
      <c r="B545" s="3" t="s">
        <v>1528</v>
      </c>
      <c r="C545" s="3" t="s">
        <v>1529</v>
      </c>
      <c r="D545" s="3" t="s">
        <v>1530</v>
      </c>
      <c r="E545" s="3" t="s">
        <v>2667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537</v>
      </c>
      <c r="B546" s="3" t="s">
        <v>1531</v>
      </c>
      <c r="C546" s="3" t="s">
        <v>1532</v>
      </c>
      <c r="D546" s="3" t="s">
        <v>1530</v>
      </c>
      <c r="E546" s="3" t="s">
        <v>2667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537</v>
      </c>
      <c r="B547" s="3" t="s">
        <v>1533</v>
      </c>
      <c r="C547" s="3" t="s">
        <v>1534</v>
      </c>
      <c r="D547" s="3" t="s">
        <v>1530</v>
      </c>
      <c r="E547" s="3" t="s">
        <v>2667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544</v>
      </c>
      <c r="B548" s="3" t="s">
        <v>1541</v>
      </c>
      <c r="C548" s="3" t="s">
        <v>1542</v>
      </c>
      <c r="D548" s="3" t="s">
        <v>1530</v>
      </c>
      <c r="E548" s="3" t="s">
        <v>2668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544</v>
      </c>
      <c r="B549" s="3" t="s">
        <v>1537</v>
      </c>
      <c r="C549" s="3" t="s">
        <v>1538</v>
      </c>
      <c r="D549" s="3" t="s">
        <v>1530</v>
      </c>
      <c r="E549" s="3" t="s">
        <v>2668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544</v>
      </c>
      <c r="B550" s="3" t="s">
        <v>1549</v>
      </c>
      <c r="C550" s="3" t="s">
        <v>1550</v>
      </c>
      <c r="D550" s="3" t="s">
        <v>1530</v>
      </c>
      <c r="E550" s="3" t="s">
        <v>2668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544</v>
      </c>
      <c r="B551" s="3" t="s">
        <v>1539</v>
      </c>
      <c r="C551" s="3" t="s">
        <v>1540</v>
      </c>
      <c r="D551" s="3" t="s">
        <v>1530</v>
      </c>
      <c r="E551" s="3" t="s">
        <v>2668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544</v>
      </c>
      <c r="B552" s="3" t="s">
        <v>1551</v>
      </c>
      <c r="C552" s="3" t="s">
        <v>1552</v>
      </c>
      <c r="D552" s="3" t="s">
        <v>1530</v>
      </c>
      <c r="E552" s="3" t="s">
        <v>2668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544</v>
      </c>
      <c r="B553" s="3" t="s">
        <v>1547</v>
      </c>
      <c r="C553" s="3" t="s">
        <v>1548</v>
      </c>
      <c r="D553" s="3" t="s">
        <v>1530</v>
      </c>
      <c r="E553" s="3" t="s">
        <v>2668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544</v>
      </c>
      <c r="B554" s="3" t="s">
        <v>1545</v>
      </c>
      <c r="C554" s="3" t="s">
        <v>1546</v>
      </c>
      <c r="D554" s="3" t="s">
        <v>1530</v>
      </c>
      <c r="E554" s="3" t="s">
        <v>2668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544</v>
      </c>
      <c r="B555" s="3" t="s">
        <v>1535</v>
      </c>
      <c r="C555" s="3" t="s">
        <v>1536</v>
      </c>
      <c r="D555" s="3" t="s">
        <v>1530</v>
      </c>
      <c r="E555" s="3" t="s">
        <v>2668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544</v>
      </c>
      <c r="B556" s="3" t="s">
        <v>1543</v>
      </c>
      <c r="C556" s="3" t="s">
        <v>1544</v>
      </c>
      <c r="D556" s="3" t="s">
        <v>1530</v>
      </c>
      <c r="E556" s="3" t="s">
        <v>2668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563</v>
      </c>
      <c r="B557" s="3" t="s">
        <v>1563</v>
      </c>
      <c r="C557" s="3" t="s">
        <v>1564</v>
      </c>
      <c r="D557" s="3" t="s">
        <v>1530</v>
      </c>
      <c r="E557" s="3" t="s">
        <v>2669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563</v>
      </c>
      <c r="B558" s="3" t="s">
        <v>1559</v>
      </c>
      <c r="C558" s="3" t="s">
        <v>1560</v>
      </c>
      <c r="D558" s="3" t="s">
        <v>1530</v>
      </c>
      <c r="E558" s="3" t="s">
        <v>2669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563</v>
      </c>
      <c r="B559" s="3" t="s">
        <v>1557</v>
      </c>
      <c r="C559" s="3" t="s">
        <v>1558</v>
      </c>
      <c r="D559" s="3" t="s">
        <v>1530</v>
      </c>
      <c r="E559" s="3" t="s">
        <v>2669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563</v>
      </c>
      <c r="B560" s="3" t="s">
        <v>1555</v>
      </c>
      <c r="C560" s="3" t="s">
        <v>1556</v>
      </c>
      <c r="D560" s="3" t="s">
        <v>1530</v>
      </c>
      <c r="E560" s="3" t="s">
        <v>2669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563</v>
      </c>
      <c r="B561" s="3" t="s">
        <v>1565</v>
      </c>
      <c r="C561" s="3" t="s">
        <v>1566</v>
      </c>
      <c r="D561" s="3" t="s">
        <v>1530</v>
      </c>
      <c r="E561" s="3" t="s">
        <v>2669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563</v>
      </c>
      <c r="B562" s="3" t="s">
        <v>1553</v>
      </c>
      <c r="C562" s="3" t="s">
        <v>1554</v>
      </c>
      <c r="D562" s="3" t="s">
        <v>1530</v>
      </c>
      <c r="E562" s="3" t="s">
        <v>2669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563</v>
      </c>
      <c r="B563" s="3" t="s">
        <v>1561</v>
      </c>
      <c r="C563" s="3" t="s">
        <v>1562</v>
      </c>
      <c r="D563" s="3" t="s">
        <v>1530</v>
      </c>
      <c r="E563" s="3" t="s">
        <v>2669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578</v>
      </c>
      <c r="B564" s="3" t="s">
        <v>1579</v>
      </c>
      <c r="C564" s="3" t="s">
        <v>1580</v>
      </c>
      <c r="D564" s="3" t="s">
        <v>1530</v>
      </c>
      <c r="E564" s="3" t="s">
        <v>2671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578</v>
      </c>
      <c r="B565" s="3" t="s">
        <v>1569</v>
      </c>
      <c r="C565" s="3" t="s">
        <v>1570</v>
      </c>
      <c r="D565" s="3" t="s">
        <v>1530</v>
      </c>
      <c r="E565" s="3" t="s">
        <v>2671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578</v>
      </c>
      <c r="B566" s="3" t="s">
        <v>1567</v>
      </c>
      <c r="C566" s="3" t="s">
        <v>1568</v>
      </c>
      <c r="D566" s="3" t="s">
        <v>1530</v>
      </c>
      <c r="E566" s="3" t="s">
        <v>2671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578</v>
      </c>
      <c r="B567" s="3" t="s">
        <v>1577</v>
      </c>
      <c r="C567" s="3" t="s">
        <v>1578</v>
      </c>
      <c r="D567" s="3" t="s">
        <v>1530</v>
      </c>
      <c r="E567" s="3" t="s">
        <v>2671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578</v>
      </c>
      <c r="B568" s="3" t="s">
        <v>1575</v>
      </c>
      <c r="C568" s="3" t="s">
        <v>1576</v>
      </c>
      <c r="D568" s="3" t="s">
        <v>1530</v>
      </c>
      <c r="E568" s="3" t="s">
        <v>2671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578</v>
      </c>
      <c r="B569" s="3" t="s">
        <v>1571</v>
      </c>
      <c r="C569" s="3" t="s">
        <v>1572</v>
      </c>
      <c r="D569" s="3" t="s">
        <v>1530</v>
      </c>
      <c r="E569" s="3" t="s">
        <v>2671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578</v>
      </c>
      <c r="B570" s="3" t="s">
        <v>1573</v>
      </c>
      <c r="C570" s="3" t="s">
        <v>1574</v>
      </c>
      <c r="D570" s="3" t="s">
        <v>1530</v>
      </c>
      <c r="E570" s="3" t="s">
        <v>2671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537</v>
      </c>
      <c r="B571" s="3" t="s">
        <v>1582</v>
      </c>
      <c r="C571" s="3" t="s">
        <v>1582</v>
      </c>
      <c r="D571" s="3" t="s">
        <v>127</v>
      </c>
      <c r="E571" s="3" t="s">
        <v>2667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537</v>
      </c>
      <c r="B572" s="3" t="s">
        <v>1581</v>
      </c>
      <c r="C572" s="3" t="s">
        <v>1581</v>
      </c>
      <c r="D572" s="3" t="s">
        <v>127</v>
      </c>
      <c r="E572" s="3" t="s">
        <v>2667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537</v>
      </c>
      <c r="B573" s="3" t="s">
        <v>1583</v>
      </c>
      <c r="C573" s="3" t="s">
        <v>1583</v>
      </c>
      <c r="D573" s="3" t="s">
        <v>127</v>
      </c>
      <c r="E573" s="3" t="s">
        <v>2667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544</v>
      </c>
      <c r="B574" s="3" t="s">
        <v>1585</v>
      </c>
      <c r="C574" s="3" t="s">
        <v>1585</v>
      </c>
      <c r="D574" s="3" t="s">
        <v>127</v>
      </c>
      <c r="E574" s="3" t="s">
        <v>2668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544</v>
      </c>
      <c r="B575" s="3" t="s">
        <v>1590</v>
      </c>
      <c r="C575" s="3" t="s">
        <v>1590</v>
      </c>
      <c r="D575" s="3" t="s">
        <v>127</v>
      </c>
      <c r="E575" s="3" t="s">
        <v>2668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544</v>
      </c>
      <c r="B576" s="3" t="s">
        <v>1591</v>
      </c>
      <c r="C576" s="3" t="s">
        <v>1591</v>
      </c>
      <c r="D576" s="3" t="s">
        <v>127</v>
      </c>
      <c r="E576" s="3" t="s">
        <v>2668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544</v>
      </c>
      <c r="B577" s="3" t="s">
        <v>1586</v>
      </c>
      <c r="C577" s="3" t="s">
        <v>1586</v>
      </c>
      <c r="D577" s="3" t="s">
        <v>127</v>
      </c>
      <c r="E577" s="3" t="s">
        <v>2668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544</v>
      </c>
      <c r="B578" s="3" t="s">
        <v>1587</v>
      </c>
      <c r="C578" s="3" t="s">
        <v>1587</v>
      </c>
      <c r="D578" s="3" t="s">
        <v>127</v>
      </c>
      <c r="E578" s="3" t="s">
        <v>2668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544</v>
      </c>
      <c r="B579" s="3" t="s">
        <v>1592</v>
      </c>
      <c r="C579" s="3" t="s">
        <v>1592</v>
      </c>
      <c r="D579" s="3" t="s">
        <v>127</v>
      </c>
      <c r="E579" s="3" t="s">
        <v>2668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544</v>
      </c>
      <c r="B580" s="3" t="s">
        <v>1589</v>
      </c>
      <c r="C580" s="3" t="s">
        <v>1589</v>
      </c>
      <c r="D580" s="3" t="s">
        <v>127</v>
      </c>
      <c r="E580" s="3" t="s">
        <v>2668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544</v>
      </c>
      <c r="B581" s="3" t="s">
        <v>1584</v>
      </c>
      <c r="C581" s="3" t="s">
        <v>1584</v>
      </c>
      <c r="D581" s="3" t="s">
        <v>127</v>
      </c>
      <c r="E581" s="3" t="s">
        <v>2668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544</v>
      </c>
      <c r="B582" s="3" t="s">
        <v>1588</v>
      </c>
      <c r="C582" s="3" t="s">
        <v>1588</v>
      </c>
      <c r="D582" s="3" t="s">
        <v>127</v>
      </c>
      <c r="E582" s="3" t="s">
        <v>2668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563</v>
      </c>
      <c r="B583" s="3" t="s">
        <v>1594</v>
      </c>
      <c r="C583" s="3" t="s">
        <v>1594</v>
      </c>
      <c r="D583" s="3" t="s">
        <v>127</v>
      </c>
      <c r="E583" s="3" t="s">
        <v>2669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563</v>
      </c>
      <c r="B584" s="3" t="s">
        <v>1597</v>
      </c>
      <c r="C584" s="3" t="s">
        <v>1597</v>
      </c>
      <c r="D584" s="3" t="s">
        <v>127</v>
      </c>
      <c r="E584" s="3" t="s">
        <v>2669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563</v>
      </c>
      <c r="B585" s="3" t="s">
        <v>1593</v>
      </c>
      <c r="C585" s="3" t="s">
        <v>1593</v>
      </c>
      <c r="D585" s="3" t="s">
        <v>127</v>
      </c>
      <c r="E585" s="3" t="s">
        <v>2669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563</v>
      </c>
      <c r="B586" s="3" t="s">
        <v>1599</v>
      </c>
      <c r="C586" s="3" t="s">
        <v>1600</v>
      </c>
      <c r="D586" s="3" t="s">
        <v>127</v>
      </c>
      <c r="E586" s="3" t="s">
        <v>2669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563</v>
      </c>
      <c r="B587" s="3" t="s">
        <v>1596</v>
      </c>
      <c r="C587" s="3" t="s">
        <v>1596</v>
      </c>
      <c r="D587" s="3" t="s">
        <v>127</v>
      </c>
      <c r="E587" s="3" t="s">
        <v>2669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563</v>
      </c>
      <c r="B588" s="3" t="s">
        <v>1598</v>
      </c>
      <c r="C588" s="3" t="s">
        <v>1598</v>
      </c>
      <c r="D588" s="3" t="s">
        <v>127</v>
      </c>
      <c r="E588" s="3" t="s">
        <v>2669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563</v>
      </c>
      <c r="B589" s="3" t="s">
        <v>1595</v>
      </c>
      <c r="C589" s="3" t="s">
        <v>1595</v>
      </c>
      <c r="D589" s="3" t="s">
        <v>127</v>
      </c>
      <c r="E589" s="3" t="s">
        <v>2669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578</v>
      </c>
      <c r="B590" s="3" t="s">
        <v>1607</v>
      </c>
      <c r="C590" s="3" t="s">
        <v>1607</v>
      </c>
      <c r="D590" s="3" t="s">
        <v>127</v>
      </c>
      <c r="E590" s="3" t="s">
        <v>2671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578</v>
      </c>
      <c r="B591" s="3" t="s">
        <v>1603</v>
      </c>
      <c r="C591" s="3" t="s">
        <v>1603</v>
      </c>
      <c r="D591" s="3" t="s">
        <v>127</v>
      </c>
      <c r="E591" s="3" t="s">
        <v>2671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578</v>
      </c>
      <c r="B592" s="3" t="s">
        <v>1604</v>
      </c>
      <c r="C592" s="3" t="s">
        <v>1604</v>
      </c>
      <c r="D592" s="3" t="s">
        <v>127</v>
      </c>
      <c r="E592" s="3" t="s">
        <v>2671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578</v>
      </c>
      <c r="B593" s="3" t="s">
        <v>1602</v>
      </c>
      <c r="C593" s="3" t="s">
        <v>1602</v>
      </c>
      <c r="D593" s="3" t="s">
        <v>127</v>
      </c>
      <c r="E593" s="3" t="s">
        <v>2671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578</v>
      </c>
      <c r="B594" s="3" t="s">
        <v>1606</v>
      </c>
      <c r="C594" s="3" t="s">
        <v>1606</v>
      </c>
      <c r="D594" s="3" t="s">
        <v>127</v>
      </c>
      <c r="E594" s="3" t="s">
        <v>2671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578</v>
      </c>
      <c r="B595" s="3" t="s">
        <v>1605</v>
      </c>
      <c r="C595" s="3" t="s">
        <v>1605</v>
      </c>
      <c r="D595" s="3" t="s">
        <v>127</v>
      </c>
      <c r="E595" s="3" t="s">
        <v>2671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578</v>
      </c>
      <c r="B596" s="3" t="s">
        <v>1601</v>
      </c>
      <c r="C596" s="3" t="s">
        <v>1601</v>
      </c>
      <c r="D596" s="3" t="s">
        <v>127</v>
      </c>
      <c r="E596" s="3" t="s">
        <v>2671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537</v>
      </c>
      <c r="B597" s="3" t="s">
        <v>1180</v>
      </c>
      <c r="C597" s="3" t="s">
        <v>1181</v>
      </c>
      <c r="D597" s="3" t="s">
        <v>2691</v>
      </c>
      <c r="E597" s="3" t="s">
        <v>2667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537</v>
      </c>
      <c r="B598" s="3" t="s">
        <v>1182</v>
      </c>
      <c r="C598" s="3" t="s">
        <v>1183</v>
      </c>
      <c r="D598" s="3" t="s">
        <v>2691</v>
      </c>
      <c r="E598" s="3" t="s">
        <v>2667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537</v>
      </c>
      <c r="B599" s="3" t="s">
        <v>1178</v>
      </c>
      <c r="C599" s="3" t="s">
        <v>1179</v>
      </c>
      <c r="D599" s="3" t="s">
        <v>2691</v>
      </c>
      <c r="E599" s="3" t="s">
        <v>2667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544</v>
      </c>
      <c r="B600" s="3" t="s">
        <v>1186</v>
      </c>
      <c r="C600" s="3" t="s">
        <v>1187</v>
      </c>
      <c r="D600" s="3" t="s">
        <v>2691</v>
      </c>
      <c r="E600" s="3" t="s">
        <v>2668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544</v>
      </c>
      <c r="B601" s="3" t="s">
        <v>1194</v>
      </c>
      <c r="C601" s="3" t="s">
        <v>1195</v>
      </c>
      <c r="D601" s="3" t="s">
        <v>2691</v>
      </c>
      <c r="E601" s="3" t="s">
        <v>2668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544</v>
      </c>
      <c r="B602" s="3" t="s">
        <v>1198</v>
      </c>
      <c r="C602" s="3" t="s">
        <v>1199</v>
      </c>
      <c r="D602" s="3" t="s">
        <v>2691</v>
      </c>
      <c r="E602" s="3" t="s">
        <v>2668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544</v>
      </c>
      <c r="B603" s="3" t="s">
        <v>1190</v>
      </c>
      <c r="C603" s="3" t="s">
        <v>1191</v>
      </c>
      <c r="D603" s="3" t="s">
        <v>2691</v>
      </c>
      <c r="E603" s="3" t="s">
        <v>2668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544</v>
      </c>
      <c r="B604" s="3" t="s">
        <v>1188</v>
      </c>
      <c r="C604" s="3" t="s">
        <v>1189</v>
      </c>
      <c r="D604" s="3" t="s">
        <v>2691</v>
      </c>
      <c r="E604" s="3" t="s">
        <v>2668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544</v>
      </c>
      <c r="B605" s="3" t="s">
        <v>1184</v>
      </c>
      <c r="C605" s="3" t="s">
        <v>1185</v>
      </c>
      <c r="D605" s="3" t="s">
        <v>2691</v>
      </c>
      <c r="E605" s="3" t="s">
        <v>2668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544</v>
      </c>
      <c r="B606" s="3" t="s">
        <v>1196</v>
      </c>
      <c r="C606" s="3" t="s">
        <v>1197</v>
      </c>
      <c r="D606" s="3" t="s">
        <v>2691</v>
      </c>
      <c r="E606" s="3" t="s">
        <v>2668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544</v>
      </c>
      <c r="B607" s="3" t="s">
        <v>1192</v>
      </c>
      <c r="C607" s="3" t="s">
        <v>1193</v>
      </c>
      <c r="D607" s="3" t="s">
        <v>2691</v>
      </c>
      <c r="E607" s="3" t="s">
        <v>2668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563</v>
      </c>
      <c r="B608" s="3" t="s">
        <v>1209</v>
      </c>
      <c r="C608" s="3" t="s">
        <v>1210</v>
      </c>
      <c r="D608" s="3" t="s">
        <v>2691</v>
      </c>
      <c r="E608" s="3" t="s">
        <v>2669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563</v>
      </c>
      <c r="B609" s="3" t="s">
        <v>1207</v>
      </c>
      <c r="C609" s="3" t="s">
        <v>1208</v>
      </c>
      <c r="D609" s="3" t="s">
        <v>2691</v>
      </c>
      <c r="E609" s="3" t="s">
        <v>2669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563</v>
      </c>
      <c r="B610" s="3" t="s">
        <v>1202</v>
      </c>
      <c r="C610" s="3" t="s">
        <v>533</v>
      </c>
      <c r="D610" s="3" t="s">
        <v>2691</v>
      </c>
      <c r="E610" s="3" t="s">
        <v>2669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563</v>
      </c>
      <c r="B611" s="3" t="s">
        <v>1200</v>
      </c>
      <c r="C611" s="3" t="s">
        <v>1201</v>
      </c>
      <c r="D611" s="3" t="s">
        <v>2691</v>
      </c>
      <c r="E611" s="3" t="s">
        <v>2669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563</v>
      </c>
      <c r="B612" s="3" t="s">
        <v>1205</v>
      </c>
      <c r="C612" s="3" t="s">
        <v>1206</v>
      </c>
      <c r="D612" s="3" t="s">
        <v>2691</v>
      </c>
      <c r="E612" s="3" t="s">
        <v>2669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563</v>
      </c>
      <c r="B613" s="3" t="s">
        <v>1203</v>
      </c>
      <c r="C613" s="3" t="s">
        <v>1204</v>
      </c>
      <c r="D613" s="3" t="s">
        <v>2691</v>
      </c>
      <c r="E613" s="3" t="s">
        <v>2669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578</v>
      </c>
      <c r="B614" s="3" t="s">
        <v>1211</v>
      </c>
      <c r="C614" s="3" t="s">
        <v>1212</v>
      </c>
      <c r="D614" s="3" t="s">
        <v>2691</v>
      </c>
      <c r="E614" s="3" t="s">
        <v>2671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578</v>
      </c>
      <c r="B615" s="3" t="s">
        <v>1213</v>
      </c>
      <c r="C615" s="3" t="s">
        <v>1214</v>
      </c>
      <c r="D615" s="3" t="s">
        <v>2691</v>
      </c>
      <c r="E615" s="3" t="s">
        <v>2671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578</v>
      </c>
      <c r="B616" s="3" t="s">
        <v>1225</v>
      </c>
      <c r="C616" s="3" t="s">
        <v>1226</v>
      </c>
      <c r="D616" s="3" t="s">
        <v>2691</v>
      </c>
      <c r="E616" s="3" t="s">
        <v>2671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578</v>
      </c>
      <c r="B617" s="3" t="s">
        <v>1221</v>
      </c>
      <c r="C617" s="3" t="s">
        <v>1222</v>
      </c>
      <c r="D617" s="3" t="s">
        <v>2691</v>
      </c>
      <c r="E617" s="3" t="s">
        <v>2671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578</v>
      </c>
      <c r="B618" s="3" t="s">
        <v>1223</v>
      </c>
      <c r="C618" s="3" t="s">
        <v>1224</v>
      </c>
      <c r="D618" s="3" t="s">
        <v>2691</v>
      </c>
      <c r="E618" s="3" t="s">
        <v>2671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578</v>
      </c>
      <c r="B619" s="3" t="s">
        <v>1217</v>
      </c>
      <c r="C619" s="3" t="s">
        <v>1218</v>
      </c>
      <c r="D619" s="3" t="s">
        <v>2691</v>
      </c>
      <c r="E619" s="3" t="s">
        <v>2671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578</v>
      </c>
      <c r="B620" s="3" t="s">
        <v>1227</v>
      </c>
      <c r="C620" s="3" t="s">
        <v>1228</v>
      </c>
      <c r="D620" s="3" t="s">
        <v>2691</v>
      </c>
      <c r="E620" s="3" t="s">
        <v>2671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578</v>
      </c>
      <c r="B621" s="3" t="s">
        <v>1215</v>
      </c>
      <c r="C621" s="3" t="s">
        <v>1216</v>
      </c>
      <c r="D621" s="3" t="s">
        <v>2691</v>
      </c>
      <c r="E621" s="3" t="s">
        <v>2671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578</v>
      </c>
      <c r="B622" s="3" t="s">
        <v>1219</v>
      </c>
      <c r="C622" s="3" t="s">
        <v>1220</v>
      </c>
      <c r="D622" s="3" t="s">
        <v>2691</v>
      </c>
      <c r="E622" s="3" t="s">
        <v>2671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537</v>
      </c>
      <c r="B623" s="3" t="s">
        <v>1611</v>
      </c>
      <c r="C623" s="3" t="s">
        <v>1612</v>
      </c>
      <c r="D623" s="3" t="s">
        <v>79</v>
      </c>
      <c r="E623" s="3" t="s">
        <v>2667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537</v>
      </c>
      <c r="B624" s="3" t="s">
        <v>1609</v>
      </c>
      <c r="C624" s="3" t="s">
        <v>1610</v>
      </c>
      <c r="D624" s="3" t="s">
        <v>79</v>
      </c>
      <c r="E624" s="3" t="s">
        <v>2667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537</v>
      </c>
      <c r="B625" s="3" t="s">
        <v>1608</v>
      </c>
      <c r="C625" s="3" t="s">
        <v>517</v>
      </c>
      <c r="D625" s="3" t="s">
        <v>79</v>
      </c>
      <c r="E625" s="3" t="s">
        <v>2667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544</v>
      </c>
      <c r="B626" s="3" t="s">
        <v>1615</v>
      </c>
      <c r="C626" s="3" t="s">
        <v>1616</v>
      </c>
      <c r="D626" s="3" t="s">
        <v>79</v>
      </c>
      <c r="E626" s="3" t="s">
        <v>2668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544</v>
      </c>
      <c r="B627" s="3" t="s">
        <v>1619</v>
      </c>
      <c r="C627" s="3" t="s">
        <v>1620</v>
      </c>
      <c r="D627" s="3" t="s">
        <v>79</v>
      </c>
      <c r="E627" s="3" t="s">
        <v>2668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544</v>
      </c>
      <c r="B628" s="3" t="s">
        <v>1627</v>
      </c>
      <c r="C628" s="3" t="s">
        <v>1628</v>
      </c>
      <c r="D628" s="3" t="s">
        <v>79</v>
      </c>
      <c r="E628" s="3" t="s">
        <v>2668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544</v>
      </c>
      <c r="B629" s="3" t="s">
        <v>1621</v>
      </c>
      <c r="C629" s="3" t="s">
        <v>1622</v>
      </c>
      <c r="D629" s="3" t="s">
        <v>79</v>
      </c>
      <c r="E629" s="3" t="s">
        <v>2668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544</v>
      </c>
      <c r="B630" s="3" t="s">
        <v>1617</v>
      </c>
      <c r="C630" s="3" t="s">
        <v>1618</v>
      </c>
      <c r="D630" s="3" t="s">
        <v>79</v>
      </c>
      <c r="E630" s="3" t="s">
        <v>2668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544</v>
      </c>
      <c r="B631" s="3" t="s">
        <v>1623</v>
      </c>
      <c r="C631" s="3" t="s">
        <v>1624</v>
      </c>
      <c r="D631" s="3" t="s">
        <v>79</v>
      </c>
      <c r="E631" s="3" t="s">
        <v>2668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544</v>
      </c>
      <c r="B632" s="3" t="s">
        <v>1629</v>
      </c>
      <c r="C632" s="3" t="s">
        <v>1630</v>
      </c>
      <c r="D632" s="3" t="s">
        <v>79</v>
      </c>
      <c r="E632" s="3" t="s">
        <v>2668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544</v>
      </c>
      <c r="B633" s="3" t="s">
        <v>1625</v>
      </c>
      <c r="C633" s="3" t="s">
        <v>1626</v>
      </c>
      <c r="D633" s="3" t="s">
        <v>79</v>
      </c>
      <c r="E633" s="3" t="s">
        <v>2668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544</v>
      </c>
      <c r="B634" s="3" t="s">
        <v>1613</v>
      </c>
      <c r="C634" s="3" t="s">
        <v>1614</v>
      </c>
      <c r="D634" s="3" t="s">
        <v>79</v>
      </c>
      <c r="E634" s="3" t="s">
        <v>2668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563</v>
      </c>
      <c r="B635" s="3" t="s">
        <v>1635</v>
      </c>
      <c r="C635" s="3" t="s">
        <v>1636</v>
      </c>
      <c r="D635" s="3" t="s">
        <v>79</v>
      </c>
      <c r="E635" s="3" t="s">
        <v>2669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563</v>
      </c>
      <c r="B636" s="3" t="s">
        <v>1633</v>
      </c>
      <c r="C636" s="3" t="s">
        <v>1634</v>
      </c>
      <c r="D636" s="3" t="s">
        <v>79</v>
      </c>
      <c r="E636" s="3" t="s">
        <v>2669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563</v>
      </c>
      <c r="B637" s="3" t="s">
        <v>1641</v>
      </c>
      <c r="C637" s="3" t="s">
        <v>1642</v>
      </c>
      <c r="D637" s="3" t="s">
        <v>79</v>
      </c>
      <c r="E637" s="3" t="s">
        <v>2669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563</v>
      </c>
      <c r="B638" s="3" t="s">
        <v>1639</v>
      </c>
      <c r="C638" s="3" t="s">
        <v>1640</v>
      </c>
      <c r="D638" s="3" t="s">
        <v>79</v>
      </c>
      <c r="E638" s="3" t="s">
        <v>2669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563</v>
      </c>
      <c r="B639" s="3" t="s">
        <v>1631</v>
      </c>
      <c r="C639" s="3" t="s">
        <v>1632</v>
      </c>
      <c r="D639" s="3" t="s">
        <v>79</v>
      </c>
      <c r="E639" s="3" t="s">
        <v>2669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563</v>
      </c>
      <c r="B640" s="3" t="s">
        <v>1637</v>
      </c>
      <c r="C640" s="3" t="s">
        <v>1638</v>
      </c>
      <c r="D640" s="3" t="s">
        <v>79</v>
      </c>
      <c r="E640" s="3" t="s">
        <v>2669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578</v>
      </c>
      <c r="B641" s="3" t="s">
        <v>1649</v>
      </c>
      <c r="C641" s="3" t="s">
        <v>1650</v>
      </c>
      <c r="D641" s="3" t="s">
        <v>79</v>
      </c>
      <c r="E641" s="3" t="s">
        <v>2671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578</v>
      </c>
      <c r="B642" s="3" t="s">
        <v>1651</v>
      </c>
      <c r="C642" s="3" t="s">
        <v>1652</v>
      </c>
      <c r="D642" s="3" t="s">
        <v>79</v>
      </c>
      <c r="E642" s="3" t="s">
        <v>2671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578</v>
      </c>
      <c r="B643" s="3" t="s">
        <v>1645</v>
      </c>
      <c r="C643" s="3" t="s">
        <v>1646</v>
      </c>
      <c r="D643" s="3" t="s">
        <v>79</v>
      </c>
      <c r="E643" s="3" t="s">
        <v>2671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578</v>
      </c>
      <c r="B644" s="3" t="s">
        <v>1647</v>
      </c>
      <c r="C644" s="3" t="s">
        <v>1648</v>
      </c>
      <c r="D644" s="3" t="s">
        <v>79</v>
      </c>
      <c r="E644" s="3" t="s">
        <v>2671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578</v>
      </c>
      <c r="B645" s="3" t="s">
        <v>1655</v>
      </c>
      <c r="C645" s="3" t="s">
        <v>1656</v>
      </c>
      <c r="D645" s="3" t="s">
        <v>79</v>
      </c>
      <c r="E645" s="3" t="s">
        <v>2671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578</v>
      </c>
      <c r="B646" s="3" t="s">
        <v>1653</v>
      </c>
      <c r="C646" s="3" t="s">
        <v>1654</v>
      </c>
      <c r="D646" s="3" t="s">
        <v>79</v>
      </c>
      <c r="E646" s="3" t="s">
        <v>2671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578</v>
      </c>
      <c r="B647" s="3" t="s">
        <v>1657</v>
      </c>
      <c r="C647" s="3" t="s">
        <v>1658</v>
      </c>
      <c r="D647" s="3" t="s">
        <v>79</v>
      </c>
      <c r="E647" s="3" t="s">
        <v>2671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578</v>
      </c>
      <c r="B648" s="3" t="s">
        <v>1643</v>
      </c>
      <c r="C648" s="3" t="s">
        <v>1644</v>
      </c>
      <c r="D648" s="3" t="s">
        <v>79</v>
      </c>
      <c r="E648" s="3" t="s">
        <v>2671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537</v>
      </c>
      <c r="B649" s="3" t="s">
        <v>1660</v>
      </c>
      <c r="C649" s="3" t="s">
        <v>1660</v>
      </c>
      <c r="D649" s="3" t="s">
        <v>92</v>
      </c>
      <c r="E649" s="3" t="s">
        <v>2667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537</v>
      </c>
      <c r="B650" s="3" t="s">
        <v>1661</v>
      </c>
      <c r="C650" s="3" t="s">
        <v>1661</v>
      </c>
      <c r="D650" s="3" t="s">
        <v>92</v>
      </c>
      <c r="E650" s="3" t="s">
        <v>2667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537</v>
      </c>
      <c r="B651" s="3" t="s">
        <v>1659</v>
      </c>
      <c r="C651" s="3" t="s">
        <v>1659</v>
      </c>
      <c r="D651" s="3" t="s">
        <v>92</v>
      </c>
      <c r="E651" s="3" t="s">
        <v>2667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544</v>
      </c>
      <c r="B652" s="3" t="s">
        <v>1664</v>
      </c>
      <c r="C652" s="3" t="s">
        <v>1664</v>
      </c>
      <c r="D652" s="3" t="s">
        <v>92</v>
      </c>
      <c r="E652" s="3" t="s">
        <v>2668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544</v>
      </c>
      <c r="B653" s="3" t="s">
        <v>1670</v>
      </c>
      <c r="C653" s="3" t="s">
        <v>1670</v>
      </c>
      <c r="D653" s="3" t="s">
        <v>92</v>
      </c>
      <c r="E653" s="3" t="s">
        <v>2668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544</v>
      </c>
      <c r="B654" s="3" t="s">
        <v>1671</v>
      </c>
      <c r="C654" s="3" t="s">
        <v>1671</v>
      </c>
      <c r="D654" s="3" t="s">
        <v>92</v>
      </c>
      <c r="E654" s="3" t="s">
        <v>2668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544</v>
      </c>
      <c r="B655" s="3" t="s">
        <v>1669</v>
      </c>
      <c r="C655" s="3" t="s">
        <v>1669</v>
      </c>
      <c r="D655" s="3" t="s">
        <v>92</v>
      </c>
      <c r="E655" s="3" t="s">
        <v>2668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544</v>
      </c>
      <c r="B656" s="3" t="s">
        <v>1666</v>
      </c>
      <c r="C656" s="3" t="s">
        <v>1666</v>
      </c>
      <c r="D656" s="3" t="s">
        <v>92</v>
      </c>
      <c r="E656" s="3" t="s">
        <v>2668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544</v>
      </c>
      <c r="B657" s="3" t="s">
        <v>1672</v>
      </c>
      <c r="C657" s="3" t="s">
        <v>1672</v>
      </c>
      <c r="D657" s="3" t="s">
        <v>92</v>
      </c>
      <c r="E657" s="3" t="s">
        <v>2668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544</v>
      </c>
      <c r="B658" s="3" t="s">
        <v>1662</v>
      </c>
      <c r="C658" s="3" t="s">
        <v>1662</v>
      </c>
      <c r="D658" s="3" t="s">
        <v>92</v>
      </c>
      <c r="E658" s="3" t="s">
        <v>2668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544</v>
      </c>
      <c r="B659" s="3" t="s">
        <v>1667</v>
      </c>
      <c r="C659" s="3" t="s">
        <v>1667</v>
      </c>
      <c r="D659" s="3" t="s">
        <v>92</v>
      </c>
      <c r="E659" s="3" t="s">
        <v>2668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544</v>
      </c>
      <c r="B660" s="3" t="s">
        <v>1665</v>
      </c>
      <c r="C660" s="3" t="s">
        <v>1665</v>
      </c>
      <c r="D660" s="3" t="s">
        <v>92</v>
      </c>
      <c r="E660" s="3" t="s">
        <v>2668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544</v>
      </c>
      <c r="B661" s="3" t="s">
        <v>1663</v>
      </c>
      <c r="C661" s="3" t="s">
        <v>1663</v>
      </c>
      <c r="D661" s="3" t="s">
        <v>92</v>
      </c>
      <c r="E661" s="3" t="s">
        <v>2668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544</v>
      </c>
      <c r="B662" s="3" t="s">
        <v>1668</v>
      </c>
      <c r="C662" s="3" t="s">
        <v>1668</v>
      </c>
      <c r="D662" s="3" t="s">
        <v>92</v>
      </c>
      <c r="E662" s="3" t="s">
        <v>2668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563</v>
      </c>
      <c r="B663" s="3" t="s">
        <v>1677</v>
      </c>
      <c r="C663" s="3" t="s">
        <v>1677</v>
      </c>
      <c r="D663" s="3" t="s">
        <v>92</v>
      </c>
      <c r="E663" s="3" t="s">
        <v>2669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563</v>
      </c>
      <c r="B664" s="3" t="s">
        <v>1676</v>
      </c>
      <c r="C664" s="3" t="s">
        <v>1676</v>
      </c>
      <c r="D664" s="3" t="s">
        <v>92</v>
      </c>
      <c r="E664" s="3" t="s">
        <v>2669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563</v>
      </c>
      <c r="B665" s="3" t="s">
        <v>1674</v>
      </c>
      <c r="C665" s="3" t="s">
        <v>1674</v>
      </c>
      <c r="D665" s="3" t="s">
        <v>92</v>
      </c>
      <c r="E665" s="3" t="s">
        <v>2669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563</v>
      </c>
      <c r="B666" s="3" t="s">
        <v>1673</v>
      </c>
      <c r="C666" s="3" t="s">
        <v>1673</v>
      </c>
      <c r="D666" s="3" t="s">
        <v>92</v>
      </c>
      <c r="E666" s="3" t="s">
        <v>2669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563</v>
      </c>
      <c r="B667" s="3" t="s">
        <v>1675</v>
      </c>
      <c r="C667" s="3" t="s">
        <v>1675</v>
      </c>
      <c r="D667" s="3" t="s">
        <v>92</v>
      </c>
      <c r="E667" s="3" t="s">
        <v>2669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578</v>
      </c>
      <c r="B668" s="3" t="s">
        <v>1683</v>
      </c>
      <c r="C668" s="3" t="s">
        <v>1683</v>
      </c>
      <c r="D668" s="3" t="s">
        <v>92</v>
      </c>
      <c r="E668" s="3" t="s">
        <v>2671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578</v>
      </c>
      <c r="B669" s="3" t="s">
        <v>1680</v>
      </c>
      <c r="C669" s="3" t="s">
        <v>1680</v>
      </c>
      <c r="D669" s="3" t="s">
        <v>92</v>
      </c>
      <c r="E669" s="3" t="s">
        <v>2671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578</v>
      </c>
      <c r="B670" s="3" t="s">
        <v>1681</v>
      </c>
      <c r="C670" s="3" t="s">
        <v>1681</v>
      </c>
      <c r="D670" s="3" t="s">
        <v>92</v>
      </c>
      <c r="E670" s="3" t="s">
        <v>2671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578</v>
      </c>
      <c r="B671" s="3" t="s">
        <v>1678</v>
      </c>
      <c r="C671" s="3" t="s">
        <v>1678</v>
      </c>
      <c r="D671" s="3" t="s">
        <v>92</v>
      </c>
      <c r="E671" s="3" t="s">
        <v>2671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578</v>
      </c>
      <c r="B672" s="3" t="s">
        <v>1682</v>
      </c>
      <c r="C672" s="3" t="s">
        <v>1682</v>
      </c>
      <c r="D672" s="3" t="s">
        <v>92</v>
      </c>
      <c r="E672" s="3" t="s">
        <v>2671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578</v>
      </c>
      <c r="B673" s="3" t="s">
        <v>1679</v>
      </c>
      <c r="C673" s="3" t="s">
        <v>1679</v>
      </c>
      <c r="D673" s="3" t="s">
        <v>92</v>
      </c>
      <c r="E673" s="3" t="s">
        <v>2671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537</v>
      </c>
      <c r="B674" s="3" t="s">
        <v>1713</v>
      </c>
      <c r="C674" s="3" t="s">
        <v>1714</v>
      </c>
      <c r="D674" s="3" t="s">
        <v>153</v>
      </c>
      <c r="E674" s="3" t="s">
        <v>2667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537</v>
      </c>
      <c r="B675" s="3" t="s">
        <v>1711</v>
      </c>
      <c r="C675" s="3" t="s">
        <v>1712</v>
      </c>
      <c r="D675" s="3" t="s">
        <v>153</v>
      </c>
      <c r="E675" s="3" t="s">
        <v>2667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537</v>
      </c>
      <c r="B676" s="3" t="s">
        <v>1709</v>
      </c>
      <c r="C676" s="3" t="s">
        <v>1710</v>
      </c>
      <c r="D676" s="3" t="s">
        <v>153</v>
      </c>
      <c r="E676" s="3" t="s">
        <v>2667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544</v>
      </c>
      <c r="B677" s="3" t="s">
        <v>1719</v>
      </c>
      <c r="C677" s="3" t="s">
        <v>1720</v>
      </c>
      <c r="D677" s="3" t="s">
        <v>153</v>
      </c>
      <c r="E677" s="3" t="s">
        <v>2668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544</v>
      </c>
      <c r="B678" s="3" t="s">
        <v>1717</v>
      </c>
      <c r="C678" s="3" t="s">
        <v>1718</v>
      </c>
      <c r="D678" s="3" t="s">
        <v>153</v>
      </c>
      <c r="E678" s="3" t="s">
        <v>2668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544</v>
      </c>
      <c r="B679" s="3" t="s">
        <v>1725</v>
      </c>
      <c r="C679" s="3" t="s">
        <v>1726</v>
      </c>
      <c r="D679" s="3" t="s">
        <v>153</v>
      </c>
      <c r="E679" s="3" t="s">
        <v>2668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544</v>
      </c>
      <c r="B680" s="3" t="s">
        <v>1715</v>
      </c>
      <c r="C680" s="3" t="s">
        <v>1716</v>
      </c>
      <c r="D680" s="3" t="s">
        <v>153</v>
      </c>
      <c r="E680" s="3" t="s">
        <v>2668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544</v>
      </c>
      <c r="B681" s="3" t="s">
        <v>1723</v>
      </c>
      <c r="C681" s="3" t="s">
        <v>1724</v>
      </c>
      <c r="D681" s="3" t="s">
        <v>153</v>
      </c>
      <c r="E681" s="3" t="s">
        <v>2668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544</v>
      </c>
      <c r="B682" s="3" t="s">
        <v>1721</v>
      </c>
      <c r="C682" s="3" t="s">
        <v>1722</v>
      </c>
      <c r="D682" s="3" t="s">
        <v>153</v>
      </c>
      <c r="E682" s="3" t="s">
        <v>2668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563</v>
      </c>
      <c r="B683" s="3" t="s">
        <v>1739</v>
      </c>
      <c r="C683" s="3" t="s">
        <v>1740</v>
      </c>
      <c r="D683" s="3" t="s">
        <v>153</v>
      </c>
      <c r="E683" s="3" t="s">
        <v>2669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563</v>
      </c>
      <c r="B684" s="3" t="s">
        <v>1745</v>
      </c>
      <c r="C684" s="3" t="s">
        <v>1746</v>
      </c>
      <c r="D684" s="3" t="s">
        <v>153</v>
      </c>
      <c r="E684" s="3" t="s">
        <v>2669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563</v>
      </c>
      <c r="B685" s="3" t="s">
        <v>1737</v>
      </c>
      <c r="C685" s="3" t="s">
        <v>1738</v>
      </c>
      <c r="D685" s="3" t="s">
        <v>153</v>
      </c>
      <c r="E685" s="3" t="s">
        <v>2669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563</v>
      </c>
      <c r="B686" s="3" t="s">
        <v>1727</v>
      </c>
      <c r="C686" s="3" t="s">
        <v>1728</v>
      </c>
      <c r="D686" s="3" t="s">
        <v>153</v>
      </c>
      <c r="E686" s="3" t="s">
        <v>2669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563</v>
      </c>
      <c r="B687" s="3" t="s">
        <v>1731</v>
      </c>
      <c r="C687" s="3" t="s">
        <v>1732</v>
      </c>
      <c r="D687" s="3" t="s">
        <v>153</v>
      </c>
      <c r="E687" s="3" t="s">
        <v>2669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563</v>
      </c>
      <c r="B688" s="3" t="s">
        <v>1733</v>
      </c>
      <c r="C688" s="3" t="s">
        <v>1734</v>
      </c>
      <c r="D688" s="3" t="s">
        <v>153</v>
      </c>
      <c r="E688" s="3" t="s">
        <v>2669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563</v>
      </c>
      <c r="B689" s="3" t="s">
        <v>1741</v>
      </c>
      <c r="C689" s="3" t="s">
        <v>1742</v>
      </c>
      <c r="D689" s="3" t="s">
        <v>153</v>
      </c>
      <c r="E689" s="3" t="s">
        <v>2669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563</v>
      </c>
      <c r="B690" s="3" t="s">
        <v>1735</v>
      </c>
      <c r="C690" s="3" t="s">
        <v>1736</v>
      </c>
      <c r="D690" s="3" t="s">
        <v>153</v>
      </c>
      <c r="E690" s="3" t="s">
        <v>2669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563</v>
      </c>
      <c r="B691" s="3" t="s">
        <v>1743</v>
      </c>
      <c r="C691" s="3" t="s">
        <v>1744</v>
      </c>
      <c r="D691" s="3" t="s">
        <v>153</v>
      </c>
      <c r="E691" s="3" t="s">
        <v>2669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563</v>
      </c>
      <c r="B692" s="3" t="s">
        <v>1729</v>
      </c>
      <c r="C692" s="3" t="s">
        <v>1730</v>
      </c>
      <c r="D692" s="3" t="s">
        <v>153</v>
      </c>
      <c r="E692" s="3" t="s">
        <v>2669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578</v>
      </c>
      <c r="B693" s="3" t="s">
        <v>1758</v>
      </c>
      <c r="C693" s="3" t="s">
        <v>1759</v>
      </c>
      <c r="D693" s="3" t="s">
        <v>153</v>
      </c>
      <c r="E693" s="3" t="s">
        <v>2671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578</v>
      </c>
      <c r="B694" s="3" t="s">
        <v>1750</v>
      </c>
      <c r="C694" s="3" t="s">
        <v>1751</v>
      </c>
      <c r="D694" s="3" t="s">
        <v>153</v>
      </c>
      <c r="E694" s="3" t="s">
        <v>2671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578</v>
      </c>
      <c r="B695" s="3" t="s">
        <v>1752</v>
      </c>
      <c r="C695" s="3" t="s">
        <v>1753</v>
      </c>
      <c r="D695" s="3" t="s">
        <v>153</v>
      </c>
      <c r="E695" s="3" t="s">
        <v>2671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578</v>
      </c>
      <c r="B696" s="3" t="s">
        <v>1748</v>
      </c>
      <c r="C696" s="3" t="s">
        <v>1749</v>
      </c>
      <c r="D696" s="3" t="s">
        <v>153</v>
      </c>
      <c r="E696" s="3" t="s">
        <v>2671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578</v>
      </c>
      <c r="B697" s="3" t="s">
        <v>1756</v>
      </c>
      <c r="C697" s="3" t="s">
        <v>1757</v>
      </c>
      <c r="D697" s="3" t="s">
        <v>153</v>
      </c>
      <c r="E697" s="3" t="s">
        <v>2671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578</v>
      </c>
      <c r="B698" s="3" t="s">
        <v>1747</v>
      </c>
      <c r="C698" s="3" t="s">
        <v>489</v>
      </c>
      <c r="D698" s="3" t="s">
        <v>153</v>
      </c>
      <c r="E698" s="3" t="s">
        <v>2671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578</v>
      </c>
      <c r="B699" s="3" t="s">
        <v>1754</v>
      </c>
      <c r="C699" s="3" t="s">
        <v>1755</v>
      </c>
      <c r="D699" s="3" t="s">
        <v>153</v>
      </c>
      <c r="E699" s="3" t="s">
        <v>2671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537</v>
      </c>
      <c r="B700" s="3" t="s">
        <v>1761</v>
      </c>
      <c r="C700" s="3" t="s">
        <v>1762</v>
      </c>
      <c r="D700" s="3" t="s">
        <v>70</v>
      </c>
      <c r="E700" s="3" t="s">
        <v>2667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537</v>
      </c>
      <c r="B701" s="3" t="s">
        <v>1763</v>
      </c>
      <c r="C701" s="3" t="s">
        <v>1764</v>
      </c>
      <c r="D701" s="3" t="s">
        <v>70</v>
      </c>
      <c r="E701" s="3" t="s">
        <v>2667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537</v>
      </c>
      <c r="B702" s="3" t="s">
        <v>1760</v>
      </c>
      <c r="C702" s="3" t="s">
        <v>521</v>
      </c>
      <c r="D702" s="3" t="s">
        <v>70</v>
      </c>
      <c r="E702" s="3" t="s">
        <v>2667</v>
      </c>
      <c r="F702" s="3">
        <f>COUNTIF(C702,PickedPlayers!D:D)</f>
        <v>0</v>
      </c>
      <c r="G702" s="3" t="str">
        <f t="shared" si="10"/>
        <v>Yes</v>
      </c>
    </row>
    <row r="703" spans="1:7" hidden="1" x14ac:dyDescent="0.25">
      <c r="A703" s="3" t="s">
        <v>544</v>
      </c>
      <c r="B703" s="3" t="s">
        <v>1765</v>
      </c>
      <c r="C703" s="3" t="s">
        <v>332</v>
      </c>
      <c r="D703" s="3" t="s">
        <v>70</v>
      </c>
      <c r="E703" s="3" t="s">
        <v>2668</v>
      </c>
      <c r="F703" s="3">
        <f>COUNTIF(C703,PickedPlayers!D:D)</f>
        <v>0</v>
      </c>
      <c r="G703" s="3" t="str">
        <f t="shared" si="10"/>
        <v>Yes</v>
      </c>
    </row>
    <row r="704" spans="1:7" hidden="1" x14ac:dyDescent="0.25">
      <c r="A704" s="3" t="s">
        <v>544</v>
      </c>
      <c r="B704" s="3" t="s">
        <v>1778</v>
      </c>
      <c r="C704" s="3" t="s">
        <v>1779</v>
      </c>
      <c r="D704" s="3" t="s">
        <v>70</v>
      </c>
      <c r="E704" s="3" t="s">
        <v>2668</v>
      </c>
      <c r="F704" s="3">
        <f>COUNTIF(C704,PickedPlayers!D:D)</f>
        <v>0</v>
      </c>
      <c r="G704" s="3" t="str">
        <f t="shared" si="10"/>
        <v>Yes</v>
      </c>
    </row>
    <row r="705" spans="1:7" hidden="1" x14ac:dyDescent="0.25">
      <c r="A705" s="3" t="s">
        <v>544</v>
      </c>
      <c r="B705" s="3" t="s">
        <v>1766</v>
      </c>
      <c r="C705" s="3" t="s">
        <v>1767</v>
      </c>
      <c r="D705" s="3" t="s">
        <v>70</v>
      </c>
      <c r="E705" s="3" t="s">
        <v>2668</v>
      </c>
      <c r="F705" s="3">
        <f>COUNTIF(C705,PickedPlayers!D:D)</f>
        <v>0</v>
      </c>
      <c r="G705" s="3" t="str">
        <f t="shared" si="10"/>
        <v>Yes</v>
      </c>
    </row>
    <row r="706" spans="1:7" hidden="1" x14ac:dyDescent="0.25">
      <c r="A706" s="3" t="s">
        <v>544</v>
      </c>
      <c r="B706" s="3" t="s">
        <v>1780</v>
      </c>
      <c r="C706" s="3" t="s">
        <v>1781</v>
      </c>
      <c r="D706" s="3" t="s">
        <v>70</v>
      </c>
      <c r="E706" s="3" t="s">
        <v>2668</v>
      </c>
      <c r="F706" s="3">
        <f>COUNTIF(C706,PickedPlayers!D:D)</f>
        <v>0</v>
      </c>
      <c r="G706" s="3" t="str">
        <f t="shared" si="10"/>
        <v>Yes</v>
      </c>
    </row>
    <row r="707" spans="1:7" hidden="1" x14ac:dyDescent="0.25">
      <c r="A707" s="3" t="s">
        <v>544</v>
      </c>
      <c r="B707" s="3" t="s">
        <v>1772</v>
      </c>
      <c r="C707" s="3" t="s">
        <v>1773</v>
      </c>
      <c r="D707" s="3" t="s">
        <v>70</v>
      </c>
      <c r="E707" s="3" t="s">
        <v>2668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hidden="1" x14ac:dyDescent="0.25">
      <c r="A708" s="3" t="s">
        <v>544</v>
      </c>
      <c r="B708" s="3" t="s">
        <v>1768</v>
      </c>
      <c r="C708" s="3" t="s">
        <v>1769</v>
      </c>
      <c r="D708" s="3" t="s">
        <v>70</v>
      </c>
      <c r="E708" s="3" t="s">
        <v>2668</v>
      </c>
      <c r="F708" s="3">
        <f>COUNTIF(C708,PickedPlayers!D:D)</f>
        <v>0</v>
      </c>
      <c r="G708" s="3" t="str">
        <f t="shared" si="11"/>
        <v>Yes</v>
      </c>
    </row>
    <row r="709" spans="1:7" hidden="1" x14ac:dyDescent="0.25">
      <c r="A709" s="3" t="s">
        <v>544</v>
      </c>
      <c r="B709" s="3" t="s">
        <v>1774</v>
      </c>
      <c r="C709" s="3" t="s">
        <v>1775</v>
      </c>
      <c r="D709" s="3" t="s">
        <v>70</v>
      </c>
      <c r="E709" s="3" t="s">
        <v>2668</v>
      </c>
      <c r="F709" s="3">
        <f>COUNTIF(C709,PickedPlayers!D:D)</f>
        <v>0</v>
      </c>
      <c r="G709" s="3" t="str">
        <f t="shared" si="11"/>
        <v>Yes</v>
      </c>
    </row>
    <row r="710" spans="1:7" hidden="1" x14ac:dyDescent="0.25">
      <c r="A710" s="3" t="s">
        <v>544</v>
      </c>
      <c r="B710" s="3" t="s">
        <v>1770</v>
      </c>
      <c r="C710" s="3" t="s">
        <v>1771</v>
      </c>
      <c r="D710" s="3" t="s">
        <v>70</v>
      </c>
      <c r="E710" s="3" t="s">
        <v>2668</v>
      </c>
      <c r="F710" s="3">
        <f>COUNTIF(C710,PickedPlayers!D:D)</f>
        <v>0</v>
      </c>
      <c r="G710" s="3" t="str">
        <f t="shared" si="11"/>
        <v>Yes</v>
      </c>
    </row>
    <row r="711" spans="1:7" hidden="1" x14ac:dyDescent="0.25">
      <c r="A711" s="3" t="s">
        <v>544</v>
      </c>
      <c r="B711" s="3" t="s">
        <v>1776</v>
      </c>
      <c r="C711" s="3" t="s">
        <v>1777</v>
      </c>
      <c r="D711" s="3" t="s">
        <v>70</v>
      </c>
      <c r="E711" s="3" t="s">
        <v>2668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563</v>
      </c>
      <c r="B712" s="3" t="s">
        <v>1786</v>
      </c>
      <c r="C712" s="3" t="s">
        <v>1787</v>
      </c>
      <c r="D712" s="3" t="s">
        <v>70</v>
      </c>
      <c r="E712" s="3" t="s">
        <v>2669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563</v>
      </c>
      <c r="B713" s="3" t="s">
        <v>1790</v>
      </c>
      <c r="C713" s="3" t="s">
        <v>1791</v>
      </c>
      <c r="D713" s="3" t="s">
        <v>70</v>
      </c>
      <c r="E713" s="3" t="s">
        <v>2669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563</v>
      </c>
      <c r="B714" s="3" t="s">
        <v>1794</v>
      </c>
      <c r="C714" s="3" t="s">
        <v>428</v>
      </c>
      <c r="D714" s="3" t="s">
        <v>70</v>
      </c>
      <c r="E714" s="3" t="s">
        <v>2669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563</v>
      </c>
      <c r="B715" s="3" t="s">
        <v>1792</v>
      </c>
      <c r="C715" s="3" t="s">
        <v>1793</v>
      </c>
      <c r="D715" s="3" t="s">
        <v>70</v>
      </c>
      <c r="E715" s="3" t="s">
        <v>2669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563</v>
      </c>
      <c r="B716" s="3" t="s">
        <v>1784</v>
      </c>
      <c r="C716" s="3" t="s">
        <v>1785</v>
      </c>
      <c r="D716" s="3" t="s">
        <v>70</v>
      </c>
      <c r="E716" s="3" t="s">
        <v>2669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563</v>
      </c>
      <c r="B717" s="3" t="s">
        <v>1795</v>
      </c>
      <c r="C717" s="3" t="s">
        <v>1796</v>
      </c>
      <c r="D717" s="3" t="s">
        <v>70</v>
      </c>
      <c r="E717" s="3" t="s">
        <v>2669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563</v>
      </c>
      <c r="B718" s="3" t="s">
        <v>1782</v>
      </c>
      <c r="C718" s="3" t="s">
        <v>1783</v>
      </c>
      <c r="D718" s="3" t="s">
        <v>70</v>
      </c>
      <c r="E718" s="3" t="s">
        <v>2669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563</v>
      </c>
      <c r="B719" s="3" t="s">
        <v>1788</v>
      </c>
      <c r="C719" s="3" t="s">
        <v>1789</v>
      </c>
      <c r="D719" s="3" t="s">
        <v>70</v>
      </c>
      <c r="E719" s="3" t="s">
        <v>2669</v>
      </c>
      <c r="F719" s="3">
        <f>COUNTIF(C719,PickedPlayers!D:D)</f>
        <v>0</v>
      </c>
      <c r="G719" s="3" t="str">
        <f t="shared" si="11"/>
        <v>Yes</v>
      </c>
    </row>
    <row r="720" spans="1:7" hidden="1" x14ac:dyDescent="0.25">
      <c r="A720" s="3" t="s">
        <v>578</v>
      </c>
      <c r="B720" s="3" t="s">
        <v>1807</v>
      </c>
      <c r="C720" s="3" t="s">
        <v>1808</v>
      </c>
      <c r="D720" s="3" t="s">
        <v>70</v>
      </c>
      <c r="E720" s="3" t="s">
        <v>2671</v>
      </c>
      <c r="F720" s="3">
        <f>COUNTIF(C720,PickedPlayers!D:D)</f>
        <v>0</v>
      </c>
      <c r="G720" s="3" t="str">
        <f t="shared" si="11"/>
        <v>Yes</v>
      </c>
    </row>
    <row r="721" spans="1:7" hidden="1" x14ac:dyDescent="0.25">
      <c r="A721" s="3" t="s">
        <v>578</v>
      </c>
      <c r="B721" s="3" t="s">
        <v>1803</v>
      </c>
      <c r="C721" s="3" t="s">
        <v>1804</v>
      </c>
      <c r="D721" s="3" t="s">
        <v>70</v>
      </c>
      <c r="E721" s="3" t="s">
        <v>2671</v>
      </c>
      <c r="F721" s="3">
        <f>COUNTIF(C721,PickedPlayers!D:D)</f>
        <v>0</v>
      </c>
      <c r="G721" s="3" t="str">
        <f t="shared" si="11"/>
        <v>Yes</v>
      </c>
    </row>
    <row r="722" spans="1:7" hidden="1" x14ac:dyDescent="0.25">
      <c r="A722" s="3" t="s">
        <v>578</v>
      </c>
      <c r="B722" s="3" t="s">
        <v>1799</v>
      </c>
      <c r="C722" s="3" t="s">
        <v>1800</v>
      </c>
      <c r="D722" s="3" t="s">
        <v>70</v>
      </c>
      <c r="E722" s="3" t="s">
        <v>2671</v>
      </c>
      <c r="F722" s="3">
        <f>COUNTIF(C722,PickedPlayers!D:D)</f>
        <v>0</v>
      </c>
      <c r="G722" s="3" t="str">
        <f t="shared" si="11"/>
        <v>Yes</v>
      </c>
    </row>
    <row r="723" spans="1:7" hidden="1" x14ac:dyDescent="0.25">
      <c r="A723" s="3" t="s">
        <v>578</v>
      </c>
      <c r="B723" s="3" t="s">
        <v>1797</v>
      </c>
      <c r="C723" s="3" t="s">
        <v>1798</v>
      </c>
      <c r="D723" s="3" t="s">
        <v>70</v>
      </c>
      <c r="E723" s="3" t="s">
        <v>2671</v>
      </c>
      <c r="F723" s="3">
        <f>COUNTIF(C723,PickedPlayers!D:D)</f>
        <v>0</v>
      </c>
      <c r="G723" s="3" t="str">
        <f t="shared" si="11"/>
        <v>Yes</v>
      </c>
    </row>
    <row r="724" spans="1:7" hidden="1" x14ac:dyDescent="0.25">
      <c r="A724" s="3" t="s">
        <v>578</v>
      </c>
      <c r="B724" s="3" t="s">
        <v>1805</v>
      </c>
      <c r="C724" s="3" t="s">
        <v>1806</v>
      </c>
      <c r="D724" s="3" t="s">
        <v>70</v>
      </c>
      <c r="E724" s="3" t="s">
        <v>2671</v>
      </c>
      <c r="F724" s="3">
        <f>COUNTIF(C724,PickedPlayers!D:D)</f>
        <v>0</v>
      </c>
      <c r="G724" s="3" t="str">
        <f t="shared" si="11"/>
        <v>Yes</v>
      </c>
    </row>
    <row r="725" spans="1:7" hidden="1" x14ac:dyDescent="0.25">
      <c r="A725" s="3" t="s">
        <v>578</v>
      </c>
      <c r="B725" s="3" t="s">
        <v>1801</v>
      </c>
      <c r="C725" s="3" t="s">
        <v>1802</v>
      </c>
      <c r="D725" s="3" t="s">
        <v>70</v>
      </c>
      <c r="E725" s="3" t="s">
        <v>2671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537</v>
      </c>
      <c r="B726" s="3" t="s">
        <v>1809</v>
      </c>
      <c r="C726" s="3" t="s">
        <v>505</v>
      </c>
      <c r="D726" s="3" t="s">
        <v>69</v>
      </c>
      <c r="E726" s="3" t="s">
        <v>2667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537</v>
      </c>
      <c r="B727" s="3" t="s">
        <v>1810</v>
      </c>
      <c r="C727" s="3" t="s">
        <v>1811</v>
      </c>
      <c r="D727" s="3" t="s">
        <v>69</v>
      </c>
      <c r="E727" s="3" t="s">
        <v>2667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537</v>
      </c>
      <c r="B728" s="3" t="s">
        <v>1812</v>
      </c>
      <c r="C728" s="3" t="s">
        <v>1813</v>
      </c>
      <c r="D728" s="3" t="s">
        <v>69</v>
      </c>
      <c r="E728" s="3" t="s">
        <v>2667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544</v>
      </c>
      <c r="B729" s="3" t="s">
        <v>1818</v>
      </c>
      <c r="C729" s="3" t="s">
        <v>430</v>
      </c>
      <c r="D729" s="3" t="s">
        <v>69</v>
      </c>
      <c r="E729" s="3" t="s">
        <v>2668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544</v>
      </c>
      <c r="B730" s="3" t="s">
        <v>1821</v>
      </c>
      <c r="C730" s="3" t="s">
        <v>1822</v>
      </c>
      <c r="D730" s="3" t="s">
        <v>69</v>
      </c>
      <c r="E730" s="3" t="s">
        <v>2668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544</v>
      </c>
      <c r="B731" s="3" t="s">
        <v>1814</v>
      </c>
      <c r="C731" s="3" t="s">
        <v>1815</v>
      </c>
      <c r="D731" s="3" t="s">
        <v>69</v>
      </c>
      <c r="E731" s="3" t="s">
        <v>2668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544</v>
      </c>
      <c r="B732" s="3" t="s">
        <v>1823</v>
      </c>
      <c r="C732" s="3" t="s">
        <v>1824</v>
      </c>
      <c r="D732" s="3" t="s">
        <v>69</v>
      </c>
      <c r="E732" s="3" t="s">
        <v>2668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544</v>
      </c>
      <c r="B733" s="3" t="s">
        <v>1816</v>
      </c>
      <c r="C733" s="3" t="s">
        <v>464</v>
      </c>
      <c r="D733" s="3" t="s">
        <v>69</v>
      </c>
      <c r="E733" s="3" t="s">
        <v>2668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544</v>
      </c>
      <c r="B734" s="3" t="s">
        <v>1819</v>
      </c>
      <c r="C734" s="3" t="s">
        <v>1820</v>
      </c>
      <c r="D734" s="3" t="s">
        <v>69</v>
      </c>
      <c r="E734" s="3" t="s">
        <v>2668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544</v>
      </c>
      <c r="B735" s="3" t="s">
        <v>1817</v>
      </c>
      <c r="C735" s="3" t="s">
        <v>362</v>
      </c>
      <c r="D735" s="3" t="s">
        <v>69</v>
      </c>
      <c r="E735" s="3" t="s">
        <v>2668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563</v>
      </c>
      <c r="B736" s="3" t="s">
        <v>1834</v>
      </c>
      <c r="C736" s="3" t="s">
        <v>471</v>
      </c>
      <c r="D736" s="3" t="s">
        <v>69</v>
      </c>
      <c r="E736" s="3" t="s">
        <v>2669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563</v>
      </c>
      <c r="B737" s="3" t="s">
        <v>1827</v>
      </c>
      <c r="C737" s="3" t="s">
        <v>1828</v>
      </c>
      <c r="D737" s="3" t="s">
        <v>69</v>
      </c>
      <c r="E737" s="3" t="s">
        <v>2669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563</v>
      </c>
      <c r="B738" s="3" t="s">
        <v>1825</v>
      </c>
      <c r="C738" s="3" t="s">
        <v>1826</v>
      </c>
      <c r="D738" s="3" t="s">
        <v>69</v>
      </c>
      <c r="E738" s="3" t="s">
        <v>2669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563</v>
      </c>
      <c r="B739" s="3" t="s">
        <v>1832</v>
      </c>
      <c r="C739" s="3" t="s">
        <v>1833</v>
      </c>
      <c r="D739" s="3" t="s">
        <v>69</v>
      </c>
      <c r="E739" s="3" t="s">
        <v>2669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563</v>
      </c>
      <c r="B740" s="3" t="s">
        <v>1837</v>
      </c>
      <c r="C740" s="3" t="s">
        <v>1838</v>
      </c>
      <c r="D740" s="3" t="s">
        <v>69</v>
      </c>
      <c r="E740" s="3" t="s">
        <v>2669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563</v>
      </c>
      <c r="B741" s="3" t="s">
        <v>1829</v>
      </c>
      <c r="C741" s="3" t="s">
        <v>475</v>
      </c>
      <c r="D741" s="3" t="s">
        <v>69</v>
      </c>
      <c r="E741" s="3" t="s">
        <v>2669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563</v>
      </c>
      <c r="B742" s="3" t="s">
        <v>1830</v>
      </c>
      <c r="C742" s="3" t="s">
        <v>1831</v>
      </c>
      <c r="D742" s="3" t="s">
        <v>69</v>
      </c>
      <c r="E742" s="3" t="s">
        <v>2669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563</v>
      </c>
      <c r="B743" s="3" t="s">
        <v>1835</v>
      </c>
      <c r="C743" s="3" t="s">
        <v>1836</v>
      </c>
      <c r="D743" s="3" t="s">
        <v>69</v>
      </c>
      <c r="E743" s="3" t="s">
        <v>2669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578</v>
      </c>
      <c r="B744" s="3" t="s">
        <v>1848</v>
      </c>
      <c r="C744" s="3" t="s">
        <v>1849</v>
      </c>
      <c r="D744" s="3" t="s">
        <v>69</v>
      </c>
      <c r="E744" s="3" t="s">
        <v>2671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578</v>
      </c>
      <c r="B745" s="3" t="s">
        <v>1850</v>
      </c>
      <c r="C745" s="3" t="s">
        <v>404</v>
      </c>
      <c r="D745" s="3" t="s">
        <v>69</v>
      </c>
      <c r="E745" s="3" t="s">
        <v>2671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578</v>
      </c>
      <c r="B746" s="3" t="s">
        <v>1851</v>
      </c>
      <c r="C746" s="3" t="s">
        <v>1852</v>
      </c>
      <c r="D746" s="3" t="s">
        <v>69</v>
      </c>
      <c r="E746" s="3" t="s">
        <v>2671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578</v>
      </c>
      <c r="B747" s="3" t="s">
        <v>1845</v>
      </c>
      <c r="C747" s="3" t="s">
        <v>1846</v>
      </c>
      <c r="D747" s="3" t="s">
        <v>69</v>
      </c>
      <c r="E747" s="3" t="s">
        <v>2671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578</v>
      </c>
      <c r="B748" s="3" t="s">
        <v>1839</v>
      </c>
      <c r="C748" s="3" t="s">
        <v>1840</v>
      </c>
      <c r="D748" s="3" t="s">
        <v>69</v>
      </c>
      <c r="E748" s="3" t="s">
        <v>2671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578</v>
      </c>
      <c r="B749" s="3" t="s">
        <v>1847</v>
      </c>
      <c r="C749" s="3" t="s">
        <v>483</v>
      </c>
      <c r="D749" s="3" t="s">
        <v>69</v>
      </c>
      <c r="E749" s="3" t="s">
        <v>2671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578</v>
      </c>
      <c r="B750" s="3" t="s">
        <v>1841</v>
      </c>
      <c r="C750" s="3" t="s">
        <v>1842</v>
      </c>
      <c r="D750" s="3" t="s">
        <v>69</v>
      </c>
      <c r="E750" s="3" t="s">
        <v>2671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578</v>
      </c>
      <c r="B751" s="3" t="s">
        <v>1843</v>
      </c>
      <c r="C751" s="3" t="s">
        <v>1844</v>
      </c>
      <c r="D751" s="3" t="s">
        <v>69</v>
      </c>
      <c r="E751" s="3" t="s">
        <v>2671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537</v>
      </c>
      <c r="B752" s="3" t="s">
        <v>1857</v>
      </c>
      <c r="C752" s="3" t="s">
        <v>1858</v>
      </c>
      <c r="D752" s="3" t="s">
        <v>112</v>
      </c>
      <c r="E752" s="3" t="s">
        <v>2667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537</v>
      </c>
      <c r="B753" s="3" t="s">
        <v>1853</v>
      </c>
      <c r="C753" s="3" t="s">
        <v>1854</v>
      </c>
      <c r="D753" s="3" t="s">
        <v>112</v>
      </c>
      <c r="E753" s="3" t="s">
        <v>2667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537</v>
      </c>
      <c r="B754" s="3" t="s">
        <v>1855</v>
      </c>
      <c r="C754" s="3" t="s">
        <v>1856</v>
      </c>
      <c r="D754" s="3" t="s">
        <v>112</v>
      </c>
      <c r="E754" s="3" t="s">
        <v>2667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544</v>
      </c>
      <c r="B755" s="3" t="s">
        <v>1869</v>
      </c>
      <c r="C755" s="3" t="s">
        <v>1870</v>
      </c>
      <c r="D755" s="3" t="s">
        <v>112</v>
      </c>
      <c r="E755" s="3" t="s">
        <v>2668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544</v>
      </c>
      <c r="B756" s="3" t="s">
        <v>1863</v>
      </c>
      <c r="C756" s="3" t="s">
        <v>1864</v>
      </c>
      <c r="D756" s="3" t="s">
        <v>112</v>
      </c>
      <c r="E756" s="3" t="s">
        <v>2668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544</v>
      </c>
      <c r="B757" s="3" t="s">
        <v>1865</v>
      </c>
      <c r="C757" s="3" t="s">
        <v>1866</v>
      </c>
      <c r="D757" s="3" t="s">
        <v>112</v>
      </c>
      <c r="E757" s="3" t="s">
        <v>2668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544</v>
      </c>
      <c r="B758" s="3" t="s">
        <v>1875</v>
      </c>
      <c r="C758" s="3" t="s">
        <v>1876</v>
      </c>
      <c r="D758" s="3" t="s">
        <v>112</v>
      </c>
      <c r="E758" s="3" t="s">
        <v>2668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544</v>
      </c>
      <c r="B759" s="3" t="s">
        <v>1871</v>
      </c>
      <c r="C759" s="3" t="s">
        <v>1872</v>
      </c>
      <c r="D759" s="3" t="s">
        <v>112</v>
      </c>
      <c r="E759" s="3" t="s">
        <v>2668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544</v>
      </c>
      <c r="B760" s="3" t="s">
        <v>1861</v>
      </c>
      <c r="C760" s="3" t="s">
        <v>1862</v>
      </c>
      <c r="D760" s="3" t="s">
        <v>112</v>
      </c>
      <c r="E760" s="3" t="s">
        <v>2668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544</v>
      </c>
      <c r="B761" s="3" t="s">
        <v>1867</v>
      </c>
      <c r="C761" s="3" t="s">
        <v>1868</v>
      </c>
      <c r="D761" s="3" t="s">
        <v>112</v>
      </c>
      <c r="E761" s="3" t="s">
        <v>2668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544</v>
      </c>
      <c r="B762" s="3" t="s">
        <v>1859</v>
      </c>
      <c r="C762" s="3" t="s">
        <v>1860</v>
      </c>
      <c r="D762" s="3" t="s">
        <v>112</v>
      </c>
      <c r="E762" s="3" t="s">
        <v>2668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544</v>
      </c>
      <c r="B763" s="3" t="s">
        <v>1873</v>
      </c>
      <c r="C763" s="3" t="s">
        <v>1874</v>
      </c>
      <c r="D763" s="3" t="s">
        <v>112</v>
      </c>
      <c r="E763" s="3" t="s">
        <v>2668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563</v>
      </c>
      <c r="B764" s="3" t="s">
        <v>1879</v>
      </c>
      <c r="C764" s="3" t="s">
        <v>1880</v>
      </c>
      <c r="D764" s="3" t="s">
        <v>112</v>
      </c>
      <c r="E764" s="3" t="s">
        <v>2669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563</v>
      </c>
      <c r="B765" s="3" t="s">
        <v>1883</v>
      </c>
      <c r="C765" s="3" t="s">
        <v>1884</v>
      </c>
      <c r="D765" s="3" t="s">
        <v>112</v>
      </c>
      <c r="E765" s="3" t="s">
        <v>2669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563</v>
      </c>
      <c r="B766" s="3" t="s">
        <v>1877</v>
      </c>
      <c r="C766" s="3" t="s">
        <v>1878</v>
      </c>
      <c r="D766" s="3" t="s">
        <v>112</v>
      </c>
      <c r="E766" s="3" t="s">
        <v>2669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563</v>
      </c>
      <c r="B767" s="3" t="s">
        <v>1891</v>
      </c>
      <c r="C767" s="3" t="s">
        <v>1892</v>
      </c>
      <c r="D767" s="3" t="s">
        <v>112</v>
      </c>
      <c r="E767" s="3" t="s">
        <v>2669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563</v>
      </c>
      <c r="B768" s="3" t="s">
        <v>1881</v>
      </c>
      <c r="C768" s="3" t="s">
        <v>1882</v>
      </c>
      <c r="D768" s="3" t="s">
        <v>112</v>
      </c>
      <c r="E768" s="3" t="s">
        <v>2669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563</v>
      </c>
      <c r="B769" s="3" t="s">
        <v>1885</v>
      </c>
      <c r="C769" s="3" t="s">
        <v>1886</v>
      </c>
      <c r="D769" s="3" t="s">
        <v>112</v>
      </c>
      <c r="E769" s="3" t="s">
        <v>2669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563</v>
      </c>
      <c r="B770" s="3" t="s">
        <v>1887</v>
      </c>
      <c r="C770" s="3" t="s">
        <v>1888</v>
      </c>
      <c r="D770" s="3" t="s">
        <v>112</v>
      </c>
      <c r="E770" s="3" t="s">
        <v>2669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563</v>
      </c>
      <c r="B771" s="3" t="s">
        <v>1889</v>
      </c>
      <c r="C771" s="3" t="s">
        <v>1890</v>
      </c>
      <c r="D771" s="3" t="s">
        <v>112</v>
      </c>
      <c r="E771" s="3" t="s">
        <v>2669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578</v>
      </c>
      <c r="B772" s="3" t="s">
        <v>1899</v>
      </c>
      <c r="C772" s="3" t="s">
        <v>1900</v>
      </c>
      <c r="D772" s="3" t="s">
        <v>112</v>
      </c>
      <c r="E772" s="3" t="s">
        <v>2671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578</v>
      </c>
      <c r="B773" s="3" t="s">
        <v>1895</v>
      </c>
      <c r="C773" s="3" t="s">
        <v>1896</v>
      </c>
      <c r="D773" s="3" t="s">
        <v>112</v>
      </c>
      <c r="E773" s="3" t="s">
        <v>2671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578</v>
      </c>
      <c r="B774" s="3" t="s">
        <v>1893</v>
      </c>
      <c r="C774" s="3" t="s">
        <v>1894</v>
      </c>
      <c r="D774" s="3" t="s">
        <v>112</v>
      </c>
      <c r="E774" s="3" t="s">
        <v>2671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578</v>
      </c>
      <c r="B775" s="3" t="s">
        <v>1897</v>
      </c>
      <c r="C775" s="3" t="s">
        <v>1898</v>
      </c>
      <c r="D775" s="3" t="s">
        <v>112</v>
      </c>
      <c r="E775" s="3" t="s">
        <v>2671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578</v>
      </c>
      <c r="B776" s="3" t="s">
        <v>1903</v>
      </c>
      <c r="C776" s="3" t="s">
        <v>1904</v>
      </c>
      <c r="D776" s="3" t="s">
        <v>112</v>
      </c>
      <c r="E776" s="3" t="s">
        <v>2671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578</v>
      </c>
      <c r="B777" s="3" t="s">
        <v>1901</v>
      </c>
      <c r="C777" s="3" t="s">
        <v>1902</v>
      </c>
      <c r="D777" s="3" t="s">
        <v>112</v>
      </c>
      <c r="E777" s="3" t="s">
        <v>2671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537</v>
      </c>
      <c r="B778" s="3" t="s">
        <v>1907</v>
      </c>
      <c r="C778" s="3" t="s">
        <v>1908</v>
      </c>
      <c r="D778" s="3" t="s">
        <v>66</v>
      </c>
      <c r="E778" s="3" t="s">
        <v>2667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537</v>
      </c>
      <c r="B779" s="3" t="s">
        <v>1905</v>
      </c>
      <c r="C779" s="3" t="s">
        <v>1906</v>
      </c>
      <c r="D779" s="3" t="s">
        <v>66</v>
      </c>
      <c r="E779" s="3" t="s">
        <v>2667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537</v>
      </c>
      <c r="B780" s="3" t="s">
        <v>1909</v>
      </c>
      <c r="C780" s="3" t="s">
        <v>1910</v>
      </c>
      <c r="D780" s="3" t="s">
        <v>66</v>
      </c>
      <c r="E780" s="3" t="s">
        <v>2667</v>
      </c>
      <c r="F780" s="3">
        <f>COUNTIF(C780,PickedPlayers!D:D)</f>
        <v>0</v>
      </c>
      <c r="G780" s="3" t="str">
        <f t="shared" si="12"/>
        <v>Yes</v>
      </c>
    </row>
    <row r="781" spans="1:7" hidden="1" x14ac:dyDescent="0.25">
      <c r="A781" s="3" t="s">
        <v>544</v>
      </c>
      <c r="B781" s="3" t="s">
        <v>1919</v>
      </c>
      <c r="C781" s="3" t="s">
        <v>1920</v>
      </c>
      <c r="D781" s="3" t="s">
        <v>66</v>
      </c>
      <c r="E781" s="3" t="s">
        <v>2668</v>
      </c>
      <c r="F781" s="3">
        <f>COUNTIF(C781,PickedPlayers!D:D)</f>
        <v>0</v>
      </c>
      <c r="G781" s="3" t="str">
        <f t="shared" si="12"/>
        <v>Yes</v>
      </c>
    </row>
    <row r="782" spans="1:7" hidden="1" x14ac:dyDescent="0.25">
      <c r="A782" s="3" t="s">
        <v>544</v>
      </c>
      <c r="B782" s="3" t="s">
        <v>1923</v>
      </c>
      <c r="C782" s="3" t="s">
        <v>1924</v>
      </c>
      <c r="D782" s="3" t="s">
        <v>66</v>
      </c>
      <c r="E782" s="3" t="s">
        <v>2668</v>
      </c>
      <c r="F782" s="3">
        <f>COUNTIF(C782,PickedPlayers!D:D)</f>
        <v>0</v>
      </c>
      <c r="G782" s="3" t="str">
        <f t="shared" si="12"/>
        <v>Yes</v>
      </c>
    </row>
    <row r="783" spans="1:7" hidden="1" x14ac:dyDescent="0.25">
      <c r="A783" s="3" t="s">
        <v>544</v>
      </c>
      <c r="B783" s="3" t="s">
        <v>1921</v>
      </c>
      <c r="C783" s="3" t="s">
        <v>1922</v>
      </c>
      <c r="D783" s="3" t="s">
        <v>66</v>
      </c>
      <c r="E783" s="3" t="s">
        <v>2668</v>
      </c>
      <c r="F783" s="3">
        <f>COUNTIF(C783,PickedPlayers!D:D)</f>
        <v>0</v>
      </c>
      <c r="G783" s="3" t="str">
        <f t="shared" si="12"/>
        <v>Yes</v>
      </c>
    </row>
    <row r="784" spans="1:7" hidden="1" x14ac:dyDescent="0.25">
      <c r="A784" s="3" t="s">
        <v>544</v>
      </c>
      <c r="B784" s="3" t="s">
        <v>1925</v>
      </c>
      <c r="C784" s="3" t="s">
        <v>1926</v>
      </c>
      <c r="D784" s="3" t="s">
        <v>66</v>
      </c>
      <c r="E784" s="3" t="s">
        <v>2668</v>
      </c>
      <c r="F784" s="3">
        <f>COUNTIF(C784,PickedPlayers!D:D)</f>
        <v>0</v>
      </c>
      <c r="G784" s="3" t="str">
        <f t="shared" si="12"/>
        <v>Yes</v>
      </c>
    </row>
    <row r="785" spans="1:7" hidden="1" x14ac:dyDescent="0.25">
      <c r="A785" s="3" t="s">
        <v>544</v>
      </c>
      <c r="B785" s="3" t="s">
        <v>1911</v>
      </c>
      <c r="C785" s="3" t="s">
        <v>1912</v>
      </c>
      <c r="D785" s="3" t="s">
        <v>66</v>
      </c>
      <c r="E785" s="3" t="s">
        <v>2668</v>
      </c>
      <c r="F785" s="3">
        <f>COUNTIF(C785,PickedPlayers!D:D)</f>
        <v>0</v>
      </c>
      <c r="G785" s="3" t="str">
        <f t="shared" si="12"/>
        <v>Yes</v>
      </c>
    </row>
    <row r="786" spans="1:7" hidden="1" x14ac:dyDescent="0.25">
      <c r="A786" s="3" t="s">
        <v>544</v>
      </c>
      <c r="B786" s="3" t="s">
        <v>1915</v>
      </c>
      <c r="C786" s="3" t="s">
        <v>1916</v>
      </c>
      <c r="D786" s="3" t="s">
        <v>66</v>
      </c>
      <c r="E786" s="3" t="s">
        <v>2668</v>
      </c>
      <c r="F786" s="3">
        <f>COUNTIF(C786,PickedPlayers!D:D)</f>
        <v>0</v>
      </c>
      <c r="G786" s="3" t="str">
        <f t="shared" si="12"/>
        <v>Yes</v>
      </c>
    </row>
    <row r="787" spans="1:7" hidden="1" x14ac:dyDescent="0.25">
      <c r="A787" s="3" t="s">
        <v>544</v>
      </c>
      <c r="B787" s="3" t="s">
        <v>1927</v>
      </c>
      <c r="C787" s="3" t="s">
        <v>1928</v>
      </c>
      <c r="D787" s="3" t="s">
        <v>66</v>
      </c>
      <c r="E787" s="3" t="s">
        <v>2668</v>
      </c>
      <c r="F787" s="3">
        <f>COUNTIF(C787,PickedPlayers!D:D)</f>
        <v>0</v>
      </c>
      <c r="G787" s="3" t="str">
        <f t="shared" si="12"/>
        <v>Yes</v>
      </c>
    </row>
    <row r="788" spans="1:7" hidden="1" x14ac:dyDescent="0.25">
      <c r="A788" s="3" t="s">
        <v>544</v>
      </c>
      <c r="B788" s="3" t="s">
        <v>1917</v>
      </c>
      <c r="C788" s="3" t="s">
        <v>1918</v>
      </c>
      <c r="D788" s="3" t="s">
        <v>66</v>
      </c>
      <c r="E788" s="3" t="s">
        <v>2668</v>
      </c>
      <c r="F788" s="3">
        <f>COUNTIF(C788,PickedPlayers!D:D)</f>
        <v>0</v>
      </c>
      <c r="G788" s="3" t="str">
        <f t="shared" si="12"/>
        <v>Yes</v>
      </c>
    </row>
    <row r="789" spans="1:7" hidden="1" x14ac:dyDescent="0.25">
      <c r="A789" s="3" t="s">
        <v>544</v>
      </c>
      <c r="B789" s="3" t="s">
        <v>1913</v>
      </c>
      <c r="C789" s="3" t="s">
        <v>1914</v>
      </c>
      <c r="D789" s="3" t="s">
        <v>66</v>
      </c>
      <c r="E789" s="3" t="s">
        <v>2668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563</v>
      </c>
      <c r="B790" s="3" t="s">
        <v>1939</v>
      </c>
      <c r="C790" s="3" t="s">
        <v>501</v>
      </c>
      <c r="D790" s="3" t="s">
        <v>66</v>
      </c>
      <c r="E790" s="3" t="s">
        <v>2669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563</v>
      </c>
      <c r="B791" s="3" t="s">
        <v>1943</v>
      </c>
      <c r="C791" s="3" t="s">
        <v>1944</v>
      </c>
      <c r="D791" s="3" t="s">
        <v>66</v>
      </c>
      <c r="E791" s="3" t="s">
        <v>2669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563</v>
      </c>
      <c r="B792" s="3" t="s">
        <v>1945</v>
      </c>
      <c r="C792" s="3" t="s">
        <v>1946</v>
      </c>
      <c r="D792" s="3" t="s">
        <v>66</v>
      </c>
      <c r="E792" s="3" t="s">
        <v>2669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563</v>
      </c>
      <c r="B793" s="3" t="s">
        <v>1931</v>
      </c>
      <c r="C793" s="3" t="s">
        <v>1932</v>
      </c>
      <c r="D793" s="3" t="s">
        <v>66</v>
      </c>
      <c r="E793" s="3" t="s">
        <v>2669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563</v>
      </c>
      <c r="B794" s="3" t="s">
        <v>1940</v>
      </c>
      <c r="C794" s="3" t="s">
        <v>416</v>
      </c>
      <c r="D794" s="3" t="s">
        <v>66</v>
      </c>
      <c r="E794" s="3" t="s">
        <v>2669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563</v>
      </c>
      <c r="B795" s="3" t="s">
        <v>1929</v>
      </c>
      <c r="C795" s="3" t="s">
        <v>1930</v>
      </c>
      <c r="D795" s="3" t="s">
        <v>66</v>
      </c>
      <c r="E795" s="3" t="s">
        <v>2669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563</v>
      </c>
      <c r="B796" s="3" t="s">
        <v>1941</v>
      </c>
      <c r="C796" s="3" t="s">
        <v>1942</v>
      </c>
      <c r="D796" s="3" t="s">
        <v>66</v>
      </c>
      <c r="E796" s="3" t="s">
        <v>2669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563</v>
      </c>
      <c r="B797" s="3" t="s">
        <v>1933</v>
      </c>
      <c r="C797" s="3" t="s">
        <v>1934</v>
      </c>
      <c r="D797" s="3" t="s">
        <v>66</v>
      </c>
      <c r="E797" s="3" t="s">
        <v>2669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563</v>
      </c>
      <c r="B798" s="3" t="s">
        <v>1937</v>
      </c>
      <c r="C798" s="3" t="s">
        <v>1938</v>
      </c>
      <c r="D798" s="3" t="s">
        <v>66</v>
      </c>
      <c r="E798" s="3" t="s">
        <v>2669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563</v>
      </c>
      <c r="B799" s="3" t="s">
        <v>1935</v>
      </c>
      <c r="C799" s="3" t="s">
        <v>1936</v>
      </c>
      <c r="D799" s="3" t="s">
        <v>66</v>
      </c>
      <c r="E799" s="3" t="s">
        <v>2669</v>
      </c>
      <c r="F799" s="3">
        <f>COUNTIF(C799,PickedPlayers!D:D)</f>
        <v>0</v>
      </c>
      <c r="G799" s="3" t="str">
        <f t="shared" si="12"/>
        <v>Yes</v>
      </c>
    </row>
    <row r="800" spans="1:7" hidden="1" x14ac:dyDescent="0.25">
      <c r="A800" s="3" t="s">
        <v>578</v>
      </c>
      <c r="B800" s="3" t="s">
        <v>1952</v>
      </c>
      <c r="C800" s="3" t="s">
        <v>1953</v>
      </c>
      <c r="D800" s="3" t="s">
        <v>66</v>
      </c>
      <c r="E800" s="3" t="s">
        <v>2671</v>
      </c>
      <c r="F800" s="3">
        <f>COUNTIF(C800,PickedPlayers!D:D)</f>
        <v>0</v>
      </c>
      <c r="G800" s="3" t="str">
        <f t="shared" si="12"/>
        <v>Yes</v>
      </c>
    </row>
    <row r="801" spans="1:7" hidden="1" x14ac:dyDescent="0.25">
      <c r="A801" s="3" t="s">
        <v>578</v>
      </c>
      <c r="B801" s="3" t="s">
        <v>1947</v>
      </c>
      <c r="C801" s="3" t="s">
        <v>1948</v>
      </c>
      <c r="D801" s="3" t="s">
        <v>66</v>
      </c>
      <c r="E801" s="3" t="s">
        <v>2671</v>
      </c>
      <c r="F801" s="3">
        <f>COUNTIF(C801,PickedPlayers!D:D)</f>
        <v>0</v>
      </c>
      <c r="G801" s="3" t="str">
        <f t="shared" si="12"/>
        <v>Yes</v>
      </c>
    </row>
    <row r="802" spans="1:7" hidden="1" x14ac:dyDescent="0.25">
      <c r="A802" s="3" t="s">
        <v>578</v>
      </c>
      <c r="B802" s="3" t="s">
        <v>1951</v>
      </c>
      <c r="C802" s="3" t="s">
        <v>306</v>
      </c>
      <c r="D802" s="3" t="s">
        <v>66</v>
      </c>
      <c r="E802" s="3" t="s">
        <v>2671</v>
      </c>
      <c r="F802" s="3">
        <f>COUNTIF(C802,PickedPlayers!D:D)</f>
        <v>0</v>
      </c>
      <c r="G802" s="3" t="str">
        <f t="shared" si="12"/>
        <v>Yes</v>
      </c>
    </row>
    <row r="803" spans="1:7" hidden="1" x14ac:dyDescent="0.25">
      <c r="A803" s="3" t="s">
        <v>578</v>
      </c>
      <c r="B803" s="3" t="s">
        <v>1949</v>
      </c>
      <c r="C803" s="3" t="s">
        <v>1950</v>
      </c>
      <c r="D803" s="3" t="s">
        <v>66</v>
      </c>
      <c r="E803" s="3" t="s">
        <v>2671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537</v>
      </c>
      <c r="B804" s="3" t="s">
        <v>1958</v>
      </c>
      <c r="C804" s="3" t="s">
        <v>1959</v>
      </c>
      <c r="D804" s="3" t="s">
        <v>108</v>
      </c>
      <c r="E804" s="3" t="s">
        <v>2667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537</v>
      </c>
      <c r="B805" s="3" t="s">
        <v>1954</v>
      </c>
      <c r="C805" s="3" t="s">
        <v>1955</v>
      </c>
      <c r="D805" s="3" t="s">
        <v>108</v>
      </c>
      <c r="E805" s="3" t="s">
        <v>2667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537</v>
      </c>
      <c r="B806" s="3" t="s">
        <v>1956</v>
      </c>
      <c r="C806" s="3" t="s">
        <v>1957</v>
      </c>
      <c r="D806" s="3" t="s">
        <v>108</v>
      </c>
      <c r="E806" s="3" t="s">
        <v>2667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544</v>
      </c>
      <c r="B807" s="3" t="s">
        <v>1965</v>
      </c>
      <c r="C807" s="3" t="s">
        <v>1966</v>
      </c>
      <c r="D807" s="3" t="s">
        <v>108</v>
      </c>
      <c r="E807" s="3" t="s">
        <v>2668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544</v>
      </c>
      <c r="B808" s="3" t="s">
        <v>1969</v>
      </c>
      <c r="C808" s="3" t="s">
        <v>1970</v>
      </c>
      <c r="D808" s="3" t="s">
        <v>108</v>
      </c>
      <c r="E808" s="3" t="s">
        <v>2668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544</v>
      </c>
      <c r="B809" s="3" t="s">
        <v>1960</v>
      </c>
      <c r="C809" s="3" t="s">
        <v>1961</v>
      </c>
      <c r="D809" s="3" t="s">
        <v>108</v>
      </c>
      <c r="E809" s="3" t="s">
        <v>2668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544</v>
      </c>
      <c r="B810" s="3" t="s">
        <v>1962</v>
      </c>
      <c r="C810" s="3" t="s">
        <v>1963</v>
      </c>
      <c r="D810" s="3" t="s">
        <v>108</v>
      </c>
      <c r="E810" s="3" t="s">
        <v>2668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544</v>
      </c>
      <c r="B811" s="3" t="s">
        <v>1971</v>
      </c>
      <c r="C811" s="3" t="s">
        <v>1972</v>
      </c>
      <c r="D811" s="3" t="s">
        <v>108</v>
      </c>
      <c r="E811" s="3" t="s">
        <v>2668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544</v>
      </c>
      <c r="B812" s="3" t="s">
        <v>1967</v>
      </c>
      <c r="C812" s="3" t="s">
        <v>1968</v>
      </c>
      <c r="D812" s="3" t="s">
        <v>108</v>
      </c>
      <c r="E812" s="3" t="s">
        <v>2668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544</v>
      </c>
      <c r="B813" s="3" t="s">
        <v>1964</v>
      </c>
      <c r="C813" s="3" t="s">
        <v>967</v>
      </c>
      <c r="D813" s="3" t="s">
        <v>108</v>
      </c>
      <c r="E813" s="3" t="s">
        <v>2668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544</v>
      </c>
      <c r="B814" s="3" t="s">
        <v>1977</v>
      </c>
      <c r="C814" s="3" t="s">
        <v>1978</v>
      </c>
      <c r="D814" s="3" t="s">
        <v>108</v>
      </c>
      <c r="E814" s="3" t="s">
        <v>2668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544</v>
      </c>
      <c r="B815" s="3" t="s">
        <v>1975</v>
      </c>
      <c r="C815" s="3" t="s">
        <v>1976</v>
      </c>
      <c r="D815" s="3" t="s">
        <v>108</v>
      </c>
      <c r="E815" s="3" t="s">
        <v>2668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544</v>
      </c>
      <c r="B816" s="3" t="s">
        <v>1973</v>
      </c>
      <c r="C816" s="3" t="s">
        <v>1974</v>
      </c>
      <c r="D816" s="3" t="s">
        <v>108</v>
      </c>
      <c r="E816" s="3" t="s">
        <v>2668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563</v>
      </c>
      <c r="B817" s="3" t="s">
        <v>1986</v>
      </c>
      <c r="C817" s="3" t="s">
        <v>1987</v>
      </c>
      <c r="D817" s="3" t="s">
        <v>108</v>
      </c>
      <c r="E817" s="3" t="s">
        <v>2669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563</v>
      </c>
      <c r="B818" s="3" t="s">
        <v>1988</v>
      </c>
      <c r="C818" s="3" t="s">
        <v>1989</v>
      </c>
      <c r="D818" s="3" t="s">
        <v>108</v>
      </c>
      <c r="E818" s="3" t="s">
        <v>2669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563</v>
      </c>
      <c r="B819" s="3" t="s">
        <v>1984</v>
      </c>
      <c r="C819" s="3" t="s">
        <v>1985</v>
      </c>
      <c r="D819" s="3" t="s">
        <v>108</v>
      </c>
      <c r="E819" s="3" t="s">
        <v>2669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563</v>
      </c>
      <c r="B820" s="3" t="s">
        <v>1979</v>
      </c>
      <c r="C820" s="3" t="s">
        <v>1980</v>
      </c>
      <c r="D820" s="3" t="s">
        <v>108</v>
      </c>
      <c r="E820" s="3" t="s">
        <v>2669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563</v>
      </c>
      <c r="B821" s="3" t="s">
        <v>1983</v>
      </c>
      <c r="C821" s="3" t="s">
        <v>956</v>
      </c>
      <c r="D821" s="3" t="s">
        <v>108</v>
      </c>
      <c r="E821" s="3" t="s">
        <v>2669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563</v>
      </c>
      <c r="B822" s="3" t="s">
        <v>1981</v>
      </c>
      <c r="C822" s="3" t="s">
        <v>1982</v>
      </c>
      <c r="D822" s="3" t="s">
        <v>108</v>
      </c>
      <c r="E822" s="3" t="s">
        <v>2669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578</v>
      </c>
      <c r="B823" s="3" t="s">
        <v>2000</v>
      </c>
      <c r="C823" s="3" t="s">
        <v>2001</v>
      </c>
      <c r="D823" s="3" t="s">
        <v>108</v>
      </c>
      <c r="E823" s="3" t="s">
        <v>2671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578</v>
      </c>
      <c r="B824" s="3" t="s">
        <v>1992</v>
      </c>
      <c r="C824" s="3" t="s">
        <v>1993</v>
      </c>
      <c r="D824" s="3" t="s">
        <v>108</v>
      </c>
      <c r="E824" s="3" t="s">
        <v>2671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578</v>
      </c>
      <c r="B825" s="3" t="s">
        <v>2002</v>
      </c>
      <c r="C825" s="3" t="s">
        <v>2003</v>
      </c>
      <c r="D825" s="3" t="s">
        <v>108</v>
      </c>
      <c r="E825" s="3" t="s">
        <v>2671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578</v>
      </c>
      <c r="B826" s="3" t="s">
        <v>1996</v>
      </c>
      <c r="C826" s="3" t="s">
        <v>1997</v>
      </c>
      <c r="D826" s="3" t="s">
        <v>108</v>
      </c>
      <c r="E826" s="3" t="s">
        <v>2671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578</v>
      </c>
      <c r="B827" s="3" t="s">
        <v>1994</v>
      </c>
      <c r="C827" s="3" t="s">
        <v>1995</v>
      </c>
      <c r="D827" s="3" t="s">
        <v>108</v>
      </c>
      <c r="E827" s="3" t="s">
        <v>2671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578</v>
      </c>
      <c r="B828" s="3" t="s">
        <v>1998</v>
      </c>
      <c r="C828" s="3" t="s">
        <v>1999</v>
      </c>
      <c r="D828" s="3" t="s">
        <v>108</v>
      </c>
      <c r="E828" s="3" t="s">
        <v>2671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578</v>
      </c>
      <c r="B829" s="3" t="s">
        <v>1990</v>
      </c>
      <c r="C829" s="3" t="s">
        <v>1991</v>
      </c>
      <c r="D829" s="3" t="s">
        <v>108</v>
      </c>
      <c r="E829" s="3" t="s">
        <v>2671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537</v>
      </c>
      <c r="B830" s="3" t="s">
        <v>2006</v>
      </c>
      <c r="C830" s="3" t="s">
        <v>2007</v>
      </c>
      <c r="D830" s="3" t="s">
        <v>75</v>
      </c>
      <c r="E830" s="3" t="s">
        <v>2667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537</v>
      </c>
      <c r="B831" s="3" t="s">
        <v>2008</v>
      </c>
      <c r="C831" s="3" t="s">
        <v>2009</v>
      </c>
      <c r="D831" s="3" t="s">
        <v>75</v>
      </c>
      <c r="E831" s="3" t="s">
        <v>2667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537</v>
      </c>
      <c r="B832" s="3" t="s">
        <v>2004</v>
      </c>
      <c r="C832" s="3" t="s">
        <v>2005</v>
      </c>
      <c r="D832" s="3" t="s">
        <v>75</v>
      </c>
      <c r="E832" s="3" t="s">
        <v>2667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544</v>
      </c>
      <c r="B833" s="3" t="s">
        <v>2024</v>
      </c>
      <c r="C833" s="3" t="s">
        <v>2025</v>
      </c>
      <c r="D833" s="3" t="s">
        <v>75</v>
      </c>
      <c r="E833" s="3" t="s">
        <v>2668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544</v>
      </c>
      <c r="B834" s="3" t="s">
        <v>2022</v>
      </c>
      <c r="C834" s="3" t="s">
        <v>2023</v>
      </c>
      <c r="D834" s="3" t="s">
        <v>75</v>
      </c>
      <c r="E834" s="3" t="s">
        <v>2668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544</v>
      </c>
      <c r="B835" s="3" t="s">
        <v>2020</v>
      </c>
      <c r="C835" s="3" t="s">
        <v>2021</v>
      </c>
      <c r="D835" s="3" t="s">
        <v>75</v>
      </c>
      <c r="E835" s="3" t="s">
        <v>2668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544</v>
      </c>
      <c r="B836" s="3" t="s">
        <v>2010</v>
      </c>
      <c r="C836" s="3" t="s">
        <v>2011</v>
      </c>
      <c r="D836" s="3" t="s">
        <v>75</v>
      </c>
      <c r="E836" s="3" t="s">
        <v>2668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544</v>
      </c>
      <c r="B837" s="3" t="s">
        <v>2012</v>
      </c>
      <c r="C837" s="3" t="s">
        <v>2013</v>
      </c>
      <c r="D837" s="3" t="s">
        <v>75</v>
      </c>
      <c r="E837" s="3" t="s">
        <v>2668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544</v>
      </c>
      <c r="B838" s="3" t="s">
        <v>2018</v>
      </c>
      <c r="C838" s="3" t="s">
        <v>2019</v>
      </c>
      <c r="D838" s="3" t="s">
        <v>75</v>
      </c>
      <c r="E838" s="3" t="s">
        <v>2668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544</v>
      </c>
      <c r="B839" s="3" t="s">
        <v>2016</v>
      </c>
      <c r="C839" s="3" t="s">
        <v>2017</v>
      </c>
      <c r="D839" s="3" t="s">
        <v>75</v>
      </c>
      <c r="E839" s="3" t="s">
        <v>2668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544</v>
      </c>
      <c r="B840" s="3" t="s">
        <v>2014</v>
      </c>
      <c r="C840" s="3" t="s">
        <v>2015</v>
      </c>
      <c r="D840" s="3" t="s">
        <v>75</v>
      </c>
      <c r="E840" s="3" t="s">
        <v>2668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563</v>
      </c>
      <c r="B841" s="3" t="s">
        <v>2034</v>
      </c>
      <c r="C841" s="3" t="s">
        <v>2035</v>
      </c>
      <c r="D841" s="3" t="s">
        <v>75</v>
      </c>
      <c r="E841" s="3" t="s">
        <v>2669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563</v>
      </c>
      <c r="B842" s="3" t="s">
        <v>2028</v>
      </c>
      <c r="C842" s="3" t="s">
        <v>2029</v>
      </c>
      <c r="D842" s="3" t="s">
        <v>75</v>
      </c>
      <c r="E842" s="3" t="s">
        <v>2669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563</v>
      </c>
      <c r="B843" s="3" t="s">
        <v>2036</v>
      </c>
      <c r="C843" s="3" t="s">
        <v>2037</v>
      </c>
      <c r="D843" s="3" t="s">
        <v>75</v>
      </c>
      <c r="E843" s="3" t="s">
        <v>2669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563</v>
      </c>
      <c r="B844" s="3" t="s">
        <v>2038</v>
      </c>
      <c r="C844" s="3" t="s">
        <v>2039</v>
      </c>
      <c r="D844" s="3" t="s">
        <v>75</v>
      </c>
      <c r="E844" s="3" t="s">
        <v>2669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563</v>
      </c>
      <c r="B845" s="3" t="s">
        <v>2026</v>
      </c>
      <c r="C845" s="3" t="s">
        <v>2027</v>
      </c>
      <c r="D845" s="3" t="s">
        <v>75</v>
      </c>
      <c r="E845" s="3" t="s">
        <v>2669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563</v>
      </c>
      <c r="B846" s="3" t="s">
        <v>2032</v>
      </c>
      <c r="C846" s="3" t="s">
        <v>2033</v>
      </c>
      <c r="D846" s="3" t="s">
        <v>75</v>
      </c>
      <c r="E846" s="3" t="s">
        <v>2669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563</v>
      </c>
      <c r="B847" s="3" t="s">
        <v>2040</v>
      </c>
      <c r="C847" s="3" t="s">
        <v>2041</v>
      </c>
      <c r="D847" s="3" t="s">
        <v>75</v>
      </c>
      <c r="E847" s="3" t="s">
        <v>2669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563</v>
      </c>
      <c r="B848" s="3" t="s">
        <v>2030</v>
      </c>
      <c r="C848" s="3" t="s">
        <v>2031</v>
      </c>
      <c r="D848" s="3" t="s">
        <v>75</v>
      </c>
      <c r="E848" s="3" t="s">
        <v>2669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578</v>
      </c>
      <c r="B849" s="3" t="s">
        <v>2054</v>
      </c>
      <c r="C849" s="3" t="s">
        <v>2055</v>
      </c>
      <c r="D849" s="3" t="s">
        <v>75</v>
      </c>
      <c r="E849" s="3" t="s">
        <v>2671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578</v>
      </c>
      <c r="B850" s="3" t="s">
        <v>2046</v>
      </c>
      <c r="C850" s="3" t="s">
        <v>2047</v>
      </c>
      <c r="D850" s="3" t="s">
        <v>75</v>
      </c>
      <c r="E850" s="3" t="s">
        <v>2671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578</v>
      </c>
      <c r="B851" s="3" t="s">
        <v>2044</v>
      </c>
      <c r="C851" s="3" t="s">
        <v>2045</v>
      </c>
      <c r="D851" s="3" t="s">
        <v>75</v>
      </c>
      <c r="E851" s="3" t="s">
        <v>2671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578</v>
      </c>
      <c r="B852" s="3" t="s">
        <v>2048</v>
      </c>
      <c r="C852" s="3" t="s">
        <v>2049</v>
      </c>
      <c r="D852" s="3" t="s">
        <v>75</v>
      </c>
      <c r="E852" s="3" t="s">
        <v>2671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578</v>
      </c>
      <c r="B853" s="3" t="s">
        <v>2052</v>
      </c>
      <c r="C853" s="3" t="s">
        <v>2053</v>
      </c>
      <c r="D853" s="3" t="s">
        <v>75</v>
      </c>
      <c r="E853" s="3" t="s">
        <v>2671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578</v>
      </c>
      <c r="B854" s="3" t="s">
        <v>2050</v>
      </c>
      <c r="C854" s="3" t="s">
        <v>2051</v>
      </c>
      <c r="D854" s="3" t="s">
        <v>75</v>
      </c>
      <c r="E854" s="3" t="s">
        <v>2671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578</v>
      </c>
      <c r="B855" s="3" t="s">
        <v>2042</v>
      </c>
      <c r="C855" s="3" t="s">
        <v>2043</v>
      </c>
      <c r="D855" s="3" t="s">
        <v>75</v>
      </c>
      <c r="E855" s="3" t="s">
        <v>2671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537</v>
      </c>
      <c r="B856" s="3" t="s">
        <v>465</v>
      </c>
      <c r="C856" s="3" t="s">
        <v>465</v>
      </c>
      <c r="D856" s="3" t="s">
        <v>101</v>
      </c>
      <c r="E856" s="3" t="s">
        <v>2667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537</v>
      </c>
      <c r="B857" s="3" t="s">
        <v>2057</v>
      </c>
      <c r="C857" s="3" t="s">
        <v>2057</v>
      </c>
      <c r="D857" s="3" t="s">
        <v>101</v>
      </c>
      <c r="E857" s="3" t="s">
        <v>2667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537</v>
      </c>
      <c r="B858" s="3" t="s">
        <v>2056</v>
      </c>
      <c r="C858" s="3" t="s">
        <v>2056</v>
      </c>
      <c r="D858" s="3" t="s">
        <v>101</v>
      </c>
      <c r="E858" s="3" t="s">
        <v>2667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544</v>
      </c>
      <c r="B859" s="3" t="s">
        <v>2062</v>
      </c>
      <c r="C859" s="3" t="s">
        <v>2062</v>
      </c>
      <c r="D859" s="3" t="s">
        <v>101</v>
      </c>
      <c r="E859" s="3" t="s">
        <v>2668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544</v>
      </c>
      <c r="B860" s="3" t="s">
        <v>2060</v>
      </c>
      <c r="C860" s="3" t="s">
        <v>2060</v>
      </c>
      <c r="D860" s="3" t="s">
        <v>101</v>
      </c>
      <c r="E860" s="3" t="s">
        <v>2668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544</v>
      </c>
      <c r="B861" s="3" t="s">
        <v>348</v>
      </c>
      <c r="C861" s="3" t="s">
        <v>348</v>
      </c>
      <c r="D861" s="3" t="s">
        <v>101</v>
      </c>
      <c r="E861" s="3" t="s">
        <v>2668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544</v>
      </c>
      <c r="B862" s="3" t="s">
        <v>2058</v>
      </c>
      <c r="C862" s="3" t="s">
        <v>2058</v>
      </c>
      <c r="D862" s="3" t="s">
        <v>101</v>
      </c>
      <c r="E862" s="3" t="s">
        <v>2668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544</v>
      </c>
      <c r="B863" s="3" t="s">
        <v>364</v>
      </c>
      <c r="C863" s="3" t="s">
        <v>364</v>
      </c>
      <c r="D863" s="3" t="s">
        <v>101</v>
      </c>
      <c r="E863" s="3" t="s">
        <v>2668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544</v>
      </c>
      <c r="B864" s="3" t="s">
        <v>2059</v>
      </c>
      <c r="C864" s="3" t="s">
        <v>2059</v>
      </c>
      <c r="D864" s="3" t="s">
        <v>101</v>
      </c>
      <c r="E864" s="3" t="s">
        <v>2668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544</v>
      </c>
      <c r="B865" s="3" t="s">
        <v>462</v>
      </c>
      <c r="C865" s="3" t="s">
        <v>462</v>
      </c>
      <c r="D865" s="3" t="s">
        <v>101</v>
      </c>
      <c r="E865" s="3" t="s">
        <v>2668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544</v>
      </c>
      <c r="B866" s="3" t="s">
        <v>2061</v>
      </c>
      <c r="C866" s="3" t="s">
        <v>2061</v>
      </c>
      <c r="D866" s="3" t="s">
        <v>101</v>
      </c>
      <c r="E866" s="3" t="s">
        <v>2668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563</v>
      </c>
      <c r="B867" s="3" t="s">
        <v>410</v>
      </c>
      <c r="C867" s="3" t="s">
        <v>410</v>
      </c>
      <c r="D867" s="3" t="s">
        <v>101</v>
      </c>
      <c r="E867" s="3" t="s">
        <v>2669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563</v>
      </c>
      <c r="B868" s="3" t="s">
        <v>293</v>
      </c>
      <c r="C868" s="3" t="s">
        <v>293</v>
      </c>
      <c r="D868" s="3" t="s">
        <v>101</v>
      </c>
      <c r="E868" s="3" t="s">
        <v>2669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563</v>
      </c>
      <c r="B869" s="3" t="s">
        <v>426</v>
      </c>
      <c r="C869" s="3" t="s">
        <v>426</v>
      </c>
      <c r="D869" s="3" t="s">
        <v>101</v>
      </c>
      <c r="E869" s="3" t="s">
        <v>2669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563</v>
      </c>
      <c r="B870" s="3" t="s">
        <v>2063</v>
      </c>
      <c r="C870" s="3" t="s">
        <v>2063</v>
      </c>
      <c r="D870" s="3" t="s">
        <v>101</v>
      </c>
      <c r="E870" s="3" t="s">
        <v>2669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563</v>
      </c>
      <c r="B871" s="3" t="s">
        <v>2064</v>
      </c>
      <c r="C871" s="3" t="s">
        <v>2064</v>
      </c>
      <c r="D871" s="3" t="s">
        <v>101</v>
      </c>
      <c r="E871" s="3" t="s">
        <v>2669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563</v>
      </c>
      <c r="B872" s="3" t="s">
        <v>2066</v>
      </c>
      <c r="C872" s="3" t="s">
        <v>2066</v>
      </c>
      <c r="D872" s="3" t="s">
        <v>101</v>
      </c>
      <c r="E872" s="3" t="s">
        <v>2669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563</v>
      </c>
      <c r="B873" s="3" t="s">
        <v>2065</v>
      </c>
      <c r="C873" s="3" t="s">
        <v>2065</v>
      </c>
      <c r="D873" s="3" t="s">
        <v>101</v>
      </c>
      <c r="E873" s="3" t="s">
        <v>2669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578</v>
      </c>
      <c r="B874" s="3" t="s">
        <v>296</v>
      </c>
      <c r="C874" s="3" t="s">
        <v>296</v>
      </c>
      <c r="D874" s="3" t="s">
        <v>101</v>
      </c>
      <c r="E874" s="3" t="s">
        <v>2671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578</v>
      </c>
      <c r="B875" s="3" t="s">
        <v>2072</v>
      </c>
      <c r="C875" s="3" t="s">
        <v>2072</v>
      </c>
      <c r="D875" s="3" t="s">
        <v>101</v>
      </c>
      <c r="E875" s="3" t="s">
        <v>2671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578</v>
      </c>
      <c r="B876" s="3" t="s">
        <v>2070</v>
      </c>
      <c r="C876" s="3" t="s">
        <v>2070</v>
      </c>
      <c r="D876" s="3" t="s">
        <v>101</v>
      </c>
      <c r="E876" s="3" t="s">
        <v>2671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578</v>
      </c>
      <c r="B877" s="3" t="s">
        <v>2067</v>
      </c>
      <c r="C877" s="3" t="s">
        <v>2067</v>
      </c>
      <c r="D877" s="3" t="s">
        <v>101</v>
      </c>
      <c r="E877" s="3" t="s">
        <v>2671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578</v>
      </c>
      <c r="B878" s="3" t="s">
        <v>2069</v>
      </c>
      <c r="C878" s="3" t="s">
        <v>2069</v>
      </c>
      <c r="D878" s="3" t="s">
        <v>101</v>
      </c>
      <c r="E878" s="3" t="s">
        <v>2671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578</v>
      </c>
      <c r="B879" s="3" t="s">
        <v>2068</v>
      </c>
      <c r="C879" s="3" t="s">
        <v>2068</v>
      </c>
      <c r="D879" s="3" t="s">
        <v>101</v>
      </c>
      <c r="E879" s="3" t="s">
        <v>2671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578</v>
      </c>
      <c r="B880" s="3" t="s">
        <v>366</v>
      </c>
      <c r="C880" s="3" t="s">
        <v>366</v>
      </c>
      <c r="D880" s="3" t="s">
        <v>101</v>
      </c>
      <c r="E880" s="3" t="s">
        <v>2671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578</v>
      </c>
      <c r="B881" s="3" t="s">
        <v>2071</v>
      </c>
      <c r="C881" s="3" t="s">
        <v>2071</v>
      </c>
      <c r="D881" s="3" t="s">
        <v>101</v>
      </c>
      <c r="E881" s="3" t="s">
        <v>2671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537</v>
      </c>
      <c r="B882" s="3" t="s">
        <v>2073</v>
      </c>
      <c r="C882" s="3" t="s">
        <v>2074</v>
      </c>
      <c r="D882" s="3" t="s">
        <v>162</v>
      </c>
      <c r="E882" s="3" t="s">
        <v>2667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537</v>
      </c>
      <c r="B883" s="3" t="s">
        <v>2075</v>
      </c>
      <c r="C883" s="3" t="s">
        <v>2075</v>
      </c>
      <c r="D883" s="3" t="s">
        <v>162</v>
      </c>
      <c r="E883" s="3" t="s">
        <v>2667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537</v>
      </c>
      <c r="B884" s="3" t="s">
        <v>2076</v>
      </c>
      <c r="C884" s="3" t="s">
        <v>2076</v>
      </c>
      <c r="D884" s="3" t="s">
        <v>162</v>
      </c>
      <c r="E884" s="3" t="s">
        <v>2667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544</v>
      </c>
      <c r="B885" s="3" t="s">
        <v>2084</v>
      </c>
      <c r="C885" s="3" t="s">
        <v>2084</v>
      </c>
      <c r="D885" s="3" t="s">
        <v>162</v>
      </c>
      <c r="E885" s="3" t="s">
        <v>2668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544</v>
      </c>
      <c r="B886" s="3" t="s">
        <v>2085</v>
      </c>
      <c r="C886" s="3" t="s">
        <v>2085</v>
      </c>
      <c r="D886" s="3" t="s">
        <v>162</v>
      </c>
      <c r="E886" s="3" t="s">
        <v>2668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544</v>
      </c>
      <c r="B887" s="3" t="s">
        <v>2080</v>
      </c>
      <c r="C887" s="3" t="s">
        <v>2080</v>
      </c>
      <c r="D887" s="3" t="s">
        <v>162</v>
      </c>
      <c r="E887" s="3" t="s">
        <v>2668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544</v>
      </c>
      <c r="B888" s="3" t="s">
        <v>2078</v>
      </c>
      <c r="C888" s="3" t="s">
        <v>2078</v>
      </c>
      <c r="D888" s="3" t="s">
        <v>162</v>
      </c>
      <c r="E888" s="3" t="s">
        <v>2668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544</v>
      </c>
      <c r="B889" s="3" t="s">
        <v>2081</v>
      </c>
      <c r="C889" s="3" t="s">
        <v>2081</v>
      </c>
      <c r="D889" s="3" t="s">
        <v>162</v>
      </c>
      <c r="E889" s="3" t="s">
        <v>2668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544</v>
      </c>
      <c r="B890" s="3" t="s">
        <v>2083</v>
      </c>
      <c r="C890" s="3" t="s">
        <v>2083</v>
      </c>
      <c r="D890" s="3" t="s">
        <v>162</v>
      </c>
      <c r="E890" s="3" t="s">
        <v>2668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544</v>
      </c>
      <c r="B891" s="3" t="s">
        <v>2079</v>
      </c>
      <c r="C891" s="3" t="s">
        <v>2079</v>
      </c>
      <c r="D891" s="3" t="s">
        <v>162</v>
      </c>
      <c r="E891" s="3" t="s">
        <v>2668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544</v>
      </c>
      <c r="B892" s="3" t="s">
        <v>2077</v>
      </c>
      <c r="C892" s="3" t="s">
        <v>2077</v>
      </c>
      <c r="D892" s="3" t="s">
        <v>162</v>
      </c>
      <c r="E892" s="3" t="s">
        <v>2668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544</v>
      </c>
      <c r="B893" s="3" t="s">
        <v>2082</v>
      </c>
      <c r="C893" s="3" t="s">
        <v>2082</v>
      </c>
      <c r="D893" s="3" t="s">
        <v>162</v>
      </c>
      <c r="E893" s="3" t="s">
        <v>2668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563</v>
      </c>
      <c r="B894" s="3" t="s">
        <v>2086</v>
      </c>
      <c r="C894" s="3" t="s">
        <v>2086</v>
      </c>
      <c r="D894" s="3" t="s">
        <v>162</v>
      </c>
      <c r="E894" s="3" t="s">
        <v>2669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563</v>
      </c>
      <c r="B895" s="3" t="s">
        <v>2090</v>
      </c>
      <c r="C895" s="3" t="s">
        <v>2090</v>
      </c>
      <c r="D895" s="3" t="s">
        <v>162</v>
      </c>
      <c r="E895" s="3" t="s">
        <v>2669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563</v>
      </c>
      <c r="B896" s="3" t="s">
        <v>2087</v>
      </c>
      <c r="C896" s="3" t="s">
        <v>2087</v>
      </c>
      <c r="D896" s="3" t="s">
        <v>162</v>
      </c>
      <c r="E896" s="3" t="s">
        <v>2669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563</v>
      </c>
      <c r="B897" s="3" t="s">
        <v>2088</v>
      </c>
      <c r="C897" s="3" t="s">
        <v>2088</v>
      </c>
      <c r="D897" s="3" t="s">
        <v>162</v>
      </c>
      <c r="E897" s="3" t="s">
        <v>2669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563</v>
      </c>
      <c r="B898" s="3" t="s">
        <v>2089</v>
      </c>
      <c r="C898" s="3" t="s">
        <v>2089</v>
      </c>
      <c r="D898" s="3" t="s">
        <v>162</v>
      </c>
      <c r="E898" s="3" t="s">
        <v>2669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578</v>
      </c>
      <c r="B899" s="3" t="s">
        <v>2094</v>
      </c>
      <c r="C899" s="3" t="s">
        <v>2094</v>
      </c>
      <c r="D899" s="3" t="s">
        <v>162</v>
      </c>
      <c r="E899" s="3" t="s">
        <v>2671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578</v>
      </c>
      <c r="B900" s="3" t="s">
        <v>2091</v>
      </c>
      <c r="C900" s="3" t="s">
        <v>2091</v>
      </c>
      <c r="D900" s="3" t="s">
        <v>162</v>
      </c>
      <c r="E900" s="3" t="s">
        <v>2671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578</v>
      </c>
      <c r="B901" s="3" t="s">
        <v>2099</v>
      </c>
      <c r="C901" s="3" t="s">
        <v>2099</v>
      </c>
      <c r="D901" s="3" t="s">
        <v>162</v>
      </c>
      <c r="E901" s="3" t="s">
        <v>2671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578</v>
      </c>
      <c r="B902" s="3" t="s">
        <v>2096</v>
      </c>
      <c r="C902" s="3" t="s">
        <v>2096</v>
      </c>
      <c r="D902" s="3" t="s">
        <v>162</v>
      </c>
      <c r="E902" s="3" t="s">
        <v>2671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578</v>
      </c>
      <c r="B903" s="3" t="s">
        <v>2093</v>
      </c>
      <c r="C903" s="3" t="s">
        <v>2093</v>
      </c>
      <c r="D903" s="3" t="s">
        <v>162</v>
      </c>
      <c r="E903" s="3" t="s">
        <v>2671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578</v>
      </c>
      <c r="B904" s="3" t="s">
        <v>2097</v>
      </c>
      <c r="C904" s="3" t="s">
        <v>2097</v>
      </c>
      <c r="D904" s="3" t="s">
        <v>162</v>
      </c>
      <c r="E904" s="3" t="s">
        <v>2671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578</v>
      </c>
      <c r="B905" s="3" t="s">
        <v>2095</v>
      </c>
      <c r="C905" s="3" t="s">
        <v>2095</v>
      </c>
      <c r="D905" s="3" t="s">
        <v>162</v>
      </c>
      <c r="E905" s="3" t="s">
        <v>2671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578</v>
      </c>
      <c r="B906" s="3" t="s">
        <v>2098</v>
      </c>
      <c r="C906" s="3" t="s">
        <v>2098</v>
      </c>
      <c r="D906" s="3" t="s">
        <v>162</v>
      </c>
      <c r="E906" s="3" t="s">
        <v>2671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578</v>
      </c>
      <c r="B907" s="3" t="s">
        <v>2092</v>
      </c>
      <c r="C907" s="3" t="s">
        <v>2092</v>
      </c>
      <c r="D907" s="3" t="s">
        <v>162</v>
      </c>
      <c r="E907" s="3" t="s">
        <v>2671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537</v>
      </c>
      <c r="B908" s="3" t="s">
        <v>2101</v>
      </c>
      <c r="C908" s="3" t="s">
        <v>2101</v>
      </c>
      <c r="D908" s="3" t="s">
        <v>119</v>
      </c>
      <c r="E908" s="3" t="s">
        <v>2667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537</v>
      </c>
      <c r="B909" s="3" t="s">
        <v>2102</v>
      </c>
      <c r="C909" s="3" t="s">
        <v>2102</v>
      </c>
      <c r="D909" s="3" t="s">
        <v>119</v>
      </c>
      <c r="E909" s="3" t="s">
        <v>2667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537</v>
      </c>
      <c r="B910" s="3" t="s">
        <v>2100</v>
      </c>
      <c r="C910" s="3" t="s">
        <v>2100</v>
      </c>
      <c r="D910" s="3" t="s">
        <v>119</v>
      </c>
      <c r="E910" s="3" t="s">
        <v>2667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544</v>
      </c>
      <c r="B911" s="3" t="s">
        <v>2107</v>
      </c>
      <c r="C911" s="3" t="s">
        <v>2107</v>
      </c>
      <c r="D911" s="3" t="s">
        <v>119</v>
      </c>
      <c r="E911" s="3" t="s">
        <v>2668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544</v>
      </c>
      <c r="B912" s="3" t="s">
        <v>2105</v>
      </c>
      <c r="C912" s="3" t="s">
        <v>2105</v>
      </c>
      <c r="D912" s="3" t="s">
        <v>119</v>
      </c>
      <c r="E912" s="3" t="s">
        <v>2668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544</v>
      </c>
      <c r="B913" s="3" t="s">
        <v>2103</v>
      </c>
      <c r="C913" s="3" t="s">
        <v>2103</v>
      </c>
      <c r="D913" s="3" t="s">
        <v>119</v>
      </c>
      <c r="E913" s="3" t="s">
        <v>2668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544</v>
      </c>
      <c r="B914" s="3" t="s">
        <v>2109</v>
      </c>
      <c r="C914" s="3" t="s">
        <v>2109</v>
      </c>
      <c r="D914" s="3" t="s">
        <v>119</v>
      </c>
      <c r="E914" s="3" t="s">
        <v>2668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544</v>
      </c>
      <c r="B915" s="3" t="s">
        <v>2106</v>
      </c>
      <c r="C915" s="3" t="s">
        <v>2106</v>
      </c>
      <c r="D915" s="3" t="s">
        <v>119</v>
      </c>
      <c r="E915" s="3" t="s">
        <v>2668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544</v>
      </c>
      <c r="B916" s="3" t="s">
        <v>2110</v>
      </c>
      <c r="C916" s="3" t="s">
        <v>2110</v>
      </c>
      <c r="D916" s="3" t="s">
        <v>119</v>
      </c>
      <c r="E916" s="3" t="s">
        <v>2668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544</v>
      </c>
      <c r="B917" s="3" t="s">
        <v>2108</v>
      </c>
      <c r="C917" s="3" t="s">
        <v>2108</v>
      </c>
      <c r="D917" s="3" t="s">
        <v>119</v>
      </c>
      <c r="E917" s="3" t="s">
        <v>2668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544</v>
      </c>
      <c r="B918" s="3" t="s">
        <v>2104</v>
      </c>
      <c r="C918" s="3" t="s">
        <v>2104</v>
      </c>
      <c r="D918" s="3" t="s">
        <v>119</v>
      </c>
      <c r="E918" s="3" t="s">
        <v>2668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544</v>
      </c>
      <c r="B919" s="3" t="s">
        <v>2111</v>
      </c>
      <c r="C919" s="3" t="s">
        <v>2111</v>
      </c>
      <c r="D919" s="3" t="s">
        <v>119</v>
      </c>
      <c r="E919" s="3" t="s">
        <v>2668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563</v>
      </c>
      <c r="B920" s="3" t="s">
        <v>2120</v>
      </c>
      <c r="C920" s="3" t="s">
        <v>2120</v>
      </c>
      <c r="D920" s="3" t="s">
        <v>119</v>
      </c>
      <c r="E920" s="3" t="s">
        <v>2669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563</v>
      </c>
      <c r="B921" s="3" t="s">
        <v>2116</v>
      </c>
      <c r="C921" s="3" t="s">
        <v>2116</v>
      </c>
      <c r="D921" s="3" t="s">
        <v>119</v>
      </c>
      <c r="E921" s="3" t="s">
        <v>2669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563</v>
      </c>
      <c r="B922" s="3" t="s">
        <v>2115</v>
      </c>
      <c r="C922" s="3" t="s">
        <v>2115</v>
      </c>
      <c r="D922" s="3" t="s">
        <v>119</v>
      </c>
      <c r="E922" s="3" t="s">
        <v>2669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563</v>
      </c>
      <c r="B923" s="3" t="s">
        <v>2117</v>
      </c>
      <c r="C923" s="3" t="s">
        <v>2117</v>
      </c>
      <c r="D923" s="3" t="s">
        <v>119</v>
      </c>
      <c r="E923" s="3" t="s">
        <v>2669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563</v>
      </c>
      <c r="B924" s="3" t="s">
        <v>2119</v>
      </c>
      <c r="C924" s="3" t="s">
        <v>2119</v>
      </c>
      <c r="D924" s="3" t="s">
        <v>119</v>
      </c>
      <c r="E924" s="3" t="s">
        <v>2669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563</v>
      </c>
      <c r="B925" s="3" t="s">
        <v>2114</v>
      </c>
      <c r="C925" s="3" t="s">
        <v>2114</v>
      </c>
      <c r="D925" s="3" t="s">
        <v>119</v>
      </c>
      <c r="E925" s="3" t="s">
        <v>2669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563</v>
      </c>
      <c r="B926" s="3" t="s">
        <v>2112</v>
      </c>
      <c r="C926" s="3" t="s">
        <v>2112</v>
      </c>
      <c r="D926" s="3" t="s">
        <v>119</v>
      </c>
      <c r="E926" s="3" t="s">
        <v>2669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563</v>
      </c>
      <c r="B927" s="3" t="s">
        <v>2118</v>
      </c>
      <c r="C927" s="3" t="s">
        <v>2118</v>
      </c>
      <c r="D927" s="3" t="s">
        <v>119</v>
      </c>
      <c r="E927" s="3" t="s">
        <v>2669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563</v>
      </c>
      <c r="B928" s="3" t="s">
        <v>2113</v>
      </c>
      <c r="C928" s="3" t="s">
        <v>2113</v>
      </c>
      <c r="D928" s="3" t="s">
        <v>119</v>
      </c>
      <c r="E928" s="3" t="s">
        <v>2669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578</v>
      </c>
      <c r="B929" s="3" t="s">
        <v>2122</v>
      </c>
      <c r="C929" s="3" t="s">
        <v>2122</v>
      </c>
      <c r="D929" s="3" t="s">
        <v>119</v>
      </c>
      <c r="E929" s="3" t="s">
        <v>2671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578</v>
      </c>
      <c r="B930" s="3" t="s">
        <v>2121</v>
      </c>
      <c r="C930" s="3" t="s">
        <v>2121</v>
      </c>
      <c r="D930" s="3" t="s">
        <v>119</v>
      </c>
      <c r="E930" s="3" t="s">
        <v>2671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578</v>
      </c>
      <c r="B931" s="3" t="s">
        <v>2125</v>
      </c>
      <c r="C931" s="3" t="s">
        <v>2125</v>
      </c>
      <c r="D931" s="3" t="s">
        <v>119</v>
      </c>
      <c r="E931" s="3" t="s">
        <v>2671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578</v>
      </c>
      <c r="B932" s="3" t="s">
        <v>2123</v>
      </c>
      <c r="C932" s="3" t="s">
        <v>2123</v>
      </c>
      <c r="D932" s="3" t="s">
        <v>119</v>
      </c>
      <c r="E932" s="3" t="s">
        <v>2671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578</v>
      </c>
      <c r="B933" s="3" t="s">
        <v>2124</v>
      </c>
      <c r="C933" s="3" t="s">
        <v>2124</v>
      </c>
      <c r="D933" s="3" t="s">
        <v>119</v>
      </c>
      <c r="E933" s="3" t="s">
        <v>2671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537</v>
      </c>
      <c r="B934" s="3" t="s">
        <v>2126</v>
      </c>
      <c r="C934" s="3" t="s">
        <v>2127</v>
      </c>
      <c r="D934" s="3" t="s">
        <v>156</v>
      </c>
      <c r="E934" s="3" t="s">
        <v>2667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537</v>
      </c>
      <c r="B935" s="3" t="s">
        <v>2128</v>
      </c>
      <c r="C935" s="3" t="s">
        <v>2129</v>
      </c>
      <c r="D935" s="3" t="s">
        <v>156</v>
      </c>
      <c r="E935" s="3" t="s">
        <v>2667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537</v>
      </c>
      <c r="B936" s="3" t="s">
        <v>2130</v>
      </c>
      <c r="C936" s="3" t="s">
        <v>2131</v>
      </c>
      <c r="D936" s="3" t="s">
        <v>156</v>
      </c>
      <c r="E936" s="3" t="s">
        <v>2667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544</v>
      </c>
      <c r="B937" s="3" t="s">
        <v>2132</v>
      </c>
      <c r="C937" s="3" t="s">
        <v>2133</v>
      </c>
      <c r="D937" s="3" t="s">
        <v>156</v>
      </c>
      <c r="E937" s="3" t="s">
        <v>2668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544</v>
      </c>
      <c r="B938" s="3" t="s">
        <v>2146</v>
      </c>
      <c r="C938" s="3" t="s">
        <v>2147</v>
      </c>
      <c r="D938" s="3" t="s">
        <v>156</v>
      </c>
      <c r="E938" s="3" t="s">
        <v>2668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544</v>
      </c>
      <c r="B939" s="3" t="s">
        <v>2136</v>
      </c>
      <c r="C939" s="3" t="s">
        <v>2137</v>
      </c>
      <c r="D939" s="3" t="s">
        <v>156</v>
      </c>
      <c r="E939" s="3" t="s">
        <v>2668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544</v>
      </c>
      <c r="B940" s="3" t="s">
        <v>2138</v>
      </c>
      <c r="C940" s="3" t="s">
        <v>2139</v>
      </c>
      <c r="D940" s="3" t="s">
        <v>156</v>
      </c>
      <c r="E940" s="3" t="s">
        <v>2668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544</v>
      </c>
      <c r="B941" s="3" t="s">
        <v>2140</v>
      </c>
      <c r="C941" s="3" t="s">
        <v>2141</v>
      </c>
      <c r="D941" s="3" t="s">
        <v>156</v>
      </c>
      <c r="E941" s="3" t="s">
        <v>2668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544</v>
      </c>
      <c r="B942" s="3" t="s">
        <v>2148</v>
      </c>
      <c r="C942" s="3" t="s">
        <v>2149</v>
      </c>
      <c r="D942" s="3" t="s">
        <v>156</v>
      </c>
      <c r="E942" s="3" t="s">
        <v>2668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544</v>
      </c>
      <c r="B943" s="3" t="s">
        <v>2134</v>
      </c>
      <c r="C943" s="3" t="s">
        <v>2135</v>
      </c>
      <c r="D943" s="3" t="s">
        <v>156</v>
      </c>
      <c r="E943" s="3" t="s">
        <v>2668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544</v>
      </c>
      <c r="B944" s="3" t="s">
        <v>2144</v>
      </c>
      <c r="C944" s="3" t="s">
        <v>2145</v>
      </c>
      <c r="D944" s="3" t="s">
        <v>156</v>
      </c>
      <c r="E944" s="3" t="s">
        <v>2668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544</v>
      </c>
      <c r="B945" s="3" t="s">
        <v>2142</v>
      </c>
      <c r="C945" s="3" t="s">
        <v>2143</v>
      </c>
      <c r="D945" s="3" t="s">
        <v>156</v>
      </c>
      <c r="E945" s="3" t="s">
        <v>2668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544</v>
      </c>
      <c r="B946" s="3" t="s">
        <v>2150</v>
      </c>
      <c r="C946" s="3" t="s">
        <v>2151</v>
      </c>
      <c r="D946" s="3" t="s">
        <v>156</v>
      </c>
      <c r="E946" s="3" t="s">
        <v>2668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563</v>
      </c>
      <c r="B947" s="3" t="s">
        <v>2155</v>
      </c>
      <c r="C947" s="3" t="s">
        <v>2156</v>
      </c>
      <c r="D947" s="3" t="s">
        <v>156</v>
      </c>
      <c r="E947" s="3" t="s">
        <v>2669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563</v>
      </c>
      <c r="B948" s="3" t="s">
        <v>2161</v>
      </c>
      <c r="C948" s="3" t="s">
        <v>2162</v>
      </c>
      <c r="D948" s="3" t="s">
        <v>156</v>
      </c>
      <c r="E948" s="3" t="s">
        <v>2669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563</v>
      </c>
      <c r="B949" s="3" t="s">
        <v>2157</v>
      </c>
      <c r="C949" s="3" t="s">
        <v>2158</v>
      </c>
      <c r="D949" s="3" t="s">
        <v>156</v>
      </c>
      <c r="E949" s="3" t="s">
        <v>2669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563</v>
      </c>
      <c r="B950" s="3" t="s">
        <v>2153</v>
      </c>
      <c r="C950" s="3" t="s">
        <v>2154</v>
      </c>
      <c r="D950" s="3" t="s">
        <v>156</v>
      </c>
      <c r="E950" s="3" t="s">
        <v>2669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563</v>
      </c>
      <c r="B951" s="3" t="s">
        <v>2152</v>
      </c>
      <c r="C951" s="3" t="s">
        <v>310</v>
      </c>
      <c r="D951" s="3" t="s">
        <v>156</v>
      </c>
      <c r="E951" s="3" t="s">
        <v>2669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563</v>
      </c>
      <c r="B952" s="3" t="s">
        <v>2159</v>
      </c>
      <c r="C952" s="3" t="s">
        <v>2160</v>
      </c>
      <c r="D952" s="3" t="s">
        <v>156</v>
      </c>
      <c r="E952" s="3" t="s">
        <v>2669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578</v>
      </c>
      <c r="B953" s="3" t="s">
        <v>2175</v>
      </c>
      <c r="C953" s="3" t="s">
        <v>2176</v>
      </c>
      <c r="D953" s="3" t="s">
        <v>156</v>
      </c>
      <c r="E953" s="3" t="s">
        <v>2671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578</v>
      </c>
      <c r="B954" s="3" t="s">
        <v>2167</v>
      </c>
      <c r="C954" s="3" t="s">
        <v>2168</v>
      </c>
      <c r="D954" s="3" t="s">
        <v>156</v>
      </c>
      <c r="E954" s="3" t="s">
        <v>2671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578</v>
      </c>
      <c r="B955" s="3" t="s">
        <v>2173</v>
      </c>
      <c r="C955" s="3" t="s">
        <v>2174</v>
      </c>
      <c r="D955" s="3" t="s">
        <v>156</v>
      </c>
      <c r="E955" s="3" t="s">
        <v>2671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578</v>
      </c>
      <c r="B956" s="3" t="s">
        <v>2165</v>
      </c>
      <c r="C956" s="3" t="s">
        <v>2166</v>
      </c>
      <c r="D956" s="3" t="s">
        <v>156</v>
      </c>
      <c r="E956" s="3" t="s">
        <v>2671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578</v>
      </c>
      <c r="B957" s="3" t="s">
        <v>2163</v>
      </c>
      <c r="C957" s="3" t="s">
        <v>2164</v>
      </c>
      <c r="D957" s="3" t="s">
        <v>156</v>
      </c>
      <c r="E957" s="3" t="s">
        <v>2671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578</v>
      </c>
      <c r="B958" s="3" t="s">
        <v>2169</v>
      </c>
      <c r="C958" s="3" t="s">
        <v>2170</v>
      </c>
      <c r="D958" s="3" t="s">
        <v>156</v>
      </c>
      <c r="E958" s="3" t="s">
        <v>2671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578</v>
      </c>
      <c r="B959" s="3" t="s">
        <v>2171</v>
      </c>
      <c r="C959" s="3" t="s">
        <v>2172</v>
      </c>
      <c r="D959" s="3" t="s">
        <v>156</v>
      </c>
      <c r="E959" s="3" t="s">
        <v>2671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537</v>
      </c>
      <c r="B960" s="3" t="s">
        <v>2181</v>
      </c>
      <c r="C960" s="3" t="s">
        <v>2182</v>
      </c>
      <c r="D960" s="3" t="s">
        <v>126</v>
      </c>
      <c r="E960" s="3" t="s">
        <v>2667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537</v>
      </c>
      <c r="B961" s="3" t="s">
        <v>2179</v>
      </c>
      <c r="C961" s="3" t="s">
        <v>2180</v>
      </c>
      <c r="D961" s="3" t="s">
        <v>126</v>
      </c>
      <c r="E961" s="3" t="s">
        <v>2667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537</v>
      </c>
      <c r="B962" s="3" t="s">
        <v>2177</v>
      </c>
      <c r="C962" s="3" t="s">
        <v>2178</v>
      </c>
      <c r="D962" s="3" t="s">
        <v>126</v>
      </c>
      <c r="E962" s="3" t="s">
        <v>2667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544</v>
      </c>
      <c r="B963" s="3" t="s">
        <v>2189</v>
      </c>
      <c r="C963" s="3" t="s">
        <v>2190</v>
      </c>
      <c r="D963" s="3" t="s">
        <v>126</v>
      </c>
      <c r="E963" s="3" t="s">
        <v>2668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544</v>
      </c>
      <c r="B964" s="3" t="s">
        <v>2191</v>
      </c>
      <c r="C964" s="3" t="s">
        <v>2192</v>
      </c>
      <c r="D964" s="3" t="s">
        <v>126</v>
      </c>
      <c r="E964" s="3" t="s">
        <v>2668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544</v>
      </c>
      <c r="B965" s="3" t="s">
        <v>2193</v>
      </c>
      <c r="C965" s="3" t="s">
        <v>2194</v>
      </c>
      <c r="D965" s="3" t="s">
        <v>126</v>
      </c>
      <c r="E965" s="3" t="s">
        <v>2668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544</v>
      </c>
      <c r="B966" s="3" t="s">
        <v>2195</v>
      </c>
      <c r="C966" s="3" t="s">
        <v>2196</v>
      </c>
      <c r="D966" s="3" t="s">
        <v>126</v>
      </c>
      <c r="E966" s="3" t="s">
        <v>2668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544</v>
      </c>
      <c r="B967" s="3" t="s">
        <v>2187</v>
      </c>
      <c r="C967" s="3" t="s">
        <v>2188</v>
      </c>
      <c r="D967" s="3" t="s">
        <v>126</v>
      </c>
      <c r="E967" s="3" t="s">
        <v>2668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544</v>
      </c>
      <c r="B968" s="3" t="s">
        <v>2185</v>
      </c>
      <c r="C968" s="3" t="s">
        <v>2186</v>
      </c>
      <c r="D968" s="3" t="s">
        <v>126</v>
      </c>
      <c r="E968" s="3" t="s">
        <v>2668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544</v>
      </c>
      <c r="B969" s="3" t="s">
        <v>2183</v>
      </c>
      <c r="C969" s="3" t="s">
        <v>2184</v>
      </c>
      <c r="D969" s="3" t="s">
        <v>126</v>
      </c>
      <c r="E969" s="3" t="s">
        <v>2668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563</v>
      </c>
      <c r="B970" s="3" t="s">
        <v>2207</v>
      </c>
      <c r="C970" s="3" t="s">
        <v>2208</v>
      </c>
      <c r="D970" s="3" t="s">
        <v>126</v>
      </c>
      <c r="E970" s="3" t="s">
        <v>2669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563</v>
      </c>
      <c r="B971" s="3" t="s">
        <v>2203</v>
      </c>
      <c r="C971" s="3" t="s">
        <v>2204</v>
      </c>
      <c r="D971" s="3" t="s">
        <v>126</v>
      </c>
      <c r="E971" s="3" t="s">
        <v>2669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563</v>
      </c>
      <c r="B972" s="3" t="s">
        <v>2197</v>
      </c>
      <c r="C972" s="3" t="s">
        <v>2198</v>
      </c>
      <c r="D972" s="3" t="s">
        <v>126</v>
      </c>
      <c r="E972" s="3" t="s">
        <v>2669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563</v>
      </c>
      <c r="B973" s="3" t="s">
        <v>2209</v>
      </c>
      <c r="C973" s="3" t="s">
        <v>2210</v>
      </c>
      <c r="D973" s="3" t="s">
        <v>126</v>
      </c>
      <c r="E973" s="3" t="s">
        <v>2669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563</v>
      </c>
      <c r="B974" s="3" t="s">
        <v>2205</v>
      </c>
      <c r="C974" s="3" t="s">
        <v>2206</v>
      </c>
      <c r="D974" s="3" t="s">
        <v>126</v>
      </c>
      <c r="E974" s="3" t="s">
        <v>2669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563</v>
      </c>
      <c r="B975" s="3" t="s">
        <v>2201</v>
      </c>
      <c r="C975" s="3" t="s">
        <v>2202</v>
      </c>
      <c r="D975" s="3" t="s">
        <v>126</v>
      </c>
      <c r="E975" s="3" t="s">
        <v>2669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563</v>
      </c>
      <c r="B976" s="3" t="s">
        <v>2211</v>
      </c>
      <c r="C976" s="3" t="s">
        <v>2212</v>
      </c>
      <c r="D976" s="3" t="s">
        <v>126</v>
      </c>
      <c r="E976" s="3" t="s">
        <v>2669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563</v>
      </c>
      <c r="B977" s="3" t="s">
        <v>2199</v>
      </c>
      <c r="C977" s="3" t="s">
        <v>2200</v>
      </c>
      <c r="D977" s="3" t="s">
        <v>126</v>
      </c>
      <c r="E977" s="3" t="s">
        <v>2669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578</v>
      </c>
      <c r="B978" s="3" t="s">
        <v>2213</v>
      </c>
      <c r="C978" s="3" t="s">
        <v>2214</v>
      </c>
      <c r="D978" s="3" t="s">
        <v>126</v>
      </c>
      <c r="E978" s="3" t="s">
        <v>2671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578</v>
      </c>
      <c r="B979" s="3" t="s">
        <v>2217</v>
      </c>
      <c r="C979" s="3" t="s">
        <v>2218</v>
      </c>
      <c r="D979" s="3" t="s">
        <v>126</v>
      </c>
      <c r="E979" s="3" t="s">
        <v>2671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578</v>
      </c>
      <c r="B980" s="3" t="s">
        <v>2215</v>
      </c>
      <c r="C980" s="3" t="s">
        <v>2216</v>
      </c>
      <c r="D980" s="3" t="s">
        <v>126</v>
      </c>
      <c r="E980" s="3" t="s">
        <v>2671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578</v>
      </c>
      <c r="B981" s="3" t="s">
        <v>2226</v>
      </c>
      <c r="C981" s="3" t="s">
        <v>2227</v>
      </c>
      <c r="D981" s="3" t="s">
        <v>126</v>
      </c>
      <c r="E981" s="3" t="s">
        <v>2671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578</v>
      </c>
      <c r="B982" s="3" t="s">
        <v>2219</v>
      </c>
      <c r="C982" s="3" t="s">
        <v>2220</v>
      </c>
      <c r="D982" s="3" t="s">
        <v>126</v>
      </c>
      <c r="E982" s="3" t="s">
        <v>2671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578</v>
      </c>
      <c r="B983" s="3" t="s">
        <v>2222</v>
      </c>
      <c r="C983" s="3" t="s">
        <v>2223</v>
      </c>
      <c r="D983" s="3" t="s">
        <v>126</v>
      </c>
      <c r="E983" s="3" t="s">
        <v>2671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578</v>
      </c>
      <c r="B984" s="3" t="s">
        <v>2224</v>
      </c>
      <c r="C984" s="3" t="s">
        <v>2225</v>
      </c>
      <c r="D984" s="3" t="s">
        <v>126</v>
      </c>
      <c r="E984" s="3" t="s">
        <v>2671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578</v>
      </c>
      <c r="B985" s="3" t="s">
        <v>2221</v>
      </c>
      <c r="C985" s="3" t="s">
        <v>446</v>
      </c>
      <c r="D985" s="3" t="s">
        <v>126</v>
      </c>
      <c r="E985" s="3" t="s">
        <v>2671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537</v>
      </c>
      <c r="B986" s="3" t="s">
        <v>2230</v>
      </c>
      <c r="C986" s="3" t="s">
        <v>2231</v>
      </c>
      <c r="D986" s="3" t="s">
        <v>82</v>
      </c>
      <c r="E986" s="3" t="s">
        <v>2667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537</v>
      </c>
      <c r="B987" s="3" t="s">
        <v>2228</v>
      </c>
      <c r="C987" s="3" t="s">
        <v>2229</v>
      </c>
      <c r="D987" s="3" t="s">
        <v>82</v>
      </c>
      <c r="E987" s="3" t="s">
        <v>2667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537</v>
      </c>
      <c r="B988" s="3" t="s">
        <v>2232</v>
      </c>
      <c r="C988" s="3" t="s">
        <v>2233</v>
      </c>
      <c r="D988" s="3" t="s">
        <v>82</v>
      </c>
      <c r="E988" s="3" t="s">
        <v>2667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544</v>
      </c>
      <c r="B989" s="3" t="s">
        <v>2242</v>
      </c>
      <c r="C989" s="3" t="s">
        <v>2243</v>
      </c>
      <c r="D989" s="3" t="s">
        <v>82</v>
      </c>
      <c r="E989" s="3" t="s">
        <v>2668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544</v>
      </c>
      <c r="B990" s="3" t="s">
        <v>2252</v>
      </c>
      <c r="C990" s="3" t="s">
        <v>2253</v>
      </c>
      <c r="D990" s="3" t="s">
        <v>82</v>
      </c>
      <c r="E990" s="3" t="s">
        <v>2668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544</v>
      </c>
      <c r="B991" s="3" t="s">
        <v>2244</v>
      </c>
      <c r="C991" s="3" t="s">
        <v>2245</v>
      </c>
      <c r="D991" s="3" t="s">
        <v>82</v>
      </c>
      <c r="E991" s="3" t="s">
        <v>2668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544</v>
      </c>
      <c r="B992" s="3" t="s">
        <v>2240</v>
      </c>
      <c r="C992" s="3" t="s">
        <v>2241</v>
      </c>
      <c r="D992" s="3" t="s">
        <v>82</v>
      </c>
      <c r="E992" s="3" t="s">
        <v>2668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544</v>
      </c>
      <c r="B993" s="3" t="s">
        <v>2238</v>
      </c>
      <c r="C993" s="3" t="s">
        <v>2239</v>
      </c>
      <c r="D993" s="3" t="s">
        <v>82</v>
      </c>
      <c r="E993" s="3" t="s">
        <v>2668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544</v>
      </c>
      <c r="B994" s="3" t="s">
        <v>2246</v>
      </c>
      <c r="C994" s="3" t="s">
        <v>2247</v>
      </c>
      <c r="D994" s="3" t="s">
        <v>82</v>
      </c>
      <c r="E994" s="3" t="s">
        <v>2668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544</v>
      </c>
      <c r="B995" s="3" t="s">
        <v>2236</v>
      </c>
      <c r="C995" s="3" t="s">
        <v>2237</v>
      </c>
      <c r="D995" s="3" t="s">
        <v>82</v>
      </c>
      <c r="E995" s="3" t="s">
        <v>2668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544</v>
      </c>
      <c r="B996" s="3" t="s">
        <v>2248</v>
      </c>
      <c r="C996" s="3" t="s">
        <v>2249</v>
      </c>
      <c r="D996" s="3" t="s">
        <v>82</v>
      </c>
      <c r="E996" s="3" t="s">
        <v>2668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544</v>
      </c>
      <c r="B997" s="3" t="s">
        <v>2250</v>
      </c>
      <c r="C997" s="3" t="s">
        <v>2251</v>
      </c>
      <c r="D997" s="3" t="s">
        <v>82</v>
      </c>
      <c r="E997" s="3" t="s">
        <v>2668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544</v>
      </c>
      <c r="B998" s="3" t="s">
        <v>2234</v>
      </c>
      <c r="C998" s="3" t="s">
        <v>2235</v>
      </c>
      <c r="D998" s="3" t="s">
        <v>82</v>
      </c>
      <c r="E998" s="3" t="s">
        <v>2668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563</v>
      </c>
      <c r="B999" s="3" t="s">
        <v>2260</v>
      </c>
      <c r="C999" s="3" t="s">
        <v>2261</v>
      </c>
      <c r="D999" s="3" t="s">
        <v>82</v>
      </c>
      <c r="E999" s="3" t="s">
        <v>2669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563</v>
      </c>
      <c r="B1000" s="3" t="s">
        <v>2264</v>
      </c>
      <c r="C1000" s="3" t="s">
        <v>2265</v>
      </c>
      <c r="D1000" s="3" t="s">
        <v>82</v>
      </c>
      <c r="E1000" s="3" t="s">
        <v>2669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563</v>
      </c>
      <c r="B1001" s="3" t="s">
        <v>2258</v>
      </c>
      <c r="C1001" s="3" t="s">
        <v>2259</v>
      </c>
      <c r="D1001" s="3" t="s">
        <v>82</v>
      </c>
      <c r="E1001" s="3" t="s">
        <v>2669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563</v>
      </c>
      <c r="B1002" s="3" t="s">
        <v>2254</v>
      </c>
      <c r="C1002" s="3" t="s">
        <v>2255</v>
      </c>
      <c r="D1002" s="3" t="s">
        <v>82</v>
      </c>
      <c r="E1002" s="3" t="s">
        <v>2669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563</v>
      </c>
      <c r="B1003" s="3" t="s">
        <v>2262</v>
      </c>
      <c r="C1003" s="3" t="s">
        <v>2263</v>
      </c>
      <c r="D1003" s="3" t="s">
        <v>82</v>
      </c>
      <c r="E1003" s="3" t="s">
        <v>2669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563</v>
      </c>
      <c r="B1004" s="3" t="s">
        <v>2256</v>
      </c>
      <c r="C1004" s="3" t="s">
        <v>2257</v>
      </c>
      <c r="D1004" s="3" t="s">
        <v>82</v>
      </c>
      <c r="E1004" s="3" t="s">
        <v>2669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578</v>
      </c>
      <c r="B1005" s="3" t="s">
        <v>2276</v>
      </c>
      <c r="C1005" s="3" t="s">
        <v>2277</v>
      </c>
      <c r="D1005" s="3" t="s">
        <v>82</v>
      </c>
      <c r="E1005" s="3" t="s">
        <v>2671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578</v>
      </c>
      <c r="B1006" s="3" t="s">
        <v>2272</v>
      </c>
      <c r="C1006" s="3" t="s">
        <v>2273</v>
      </c>
      <c r="D1006" s="3" t="s">
        <v>82</v>
      </c>
      <c r="E1006" s="3" t="s">
        <v>2671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578</v>
      </c>
      <c r="B1007" s="3" t="s">
        <v>2274</v>
      </c>
      <c r="C1007" s="3" t="s">
        <v>2275</v>
      </c>
      <c r="D1007" s="3" t="s">
        <v>82</v>
      </c>
      <c r="E1007" s="3" t="s">
        <v>2671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578</v>
      </c>
      <c r="B1008" s="3" t="s">
        <v>2266</v>
      </c>
      <c r="C1008" s="3" t="s">
        <v>2267</v>
      </c>
      <c r="D1008" s="3" t="s">
        <v>82</v>
      </c>
      <c r="E1008" s="3" t="s">
        <v>2671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578</v>
      </c>
      <c r="B1009" s="3" t="s">
        <v>2278</v>
      </c>
      <c r="C1009" s="3" t="s">
        <v>527</v>
      </c>
      <c r="D1009" s="3" t="s">
        <v>82</v>
      </c>
      <c r="E1009" s="3" t="s">
        <v>2671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578</v>
      </c>
      <c r="B1010" s="3" t="s">
        <v>2268</v>
      </c>
      <c r="C1010" s="3" t="s">
        <v>2269</v>
      </c>
      <c r="D1010" s="3" t="s">
        <v>82</v>
      </c>
      <c r="E1010" s="3" t="s">
        <v>2671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578</v>
      </c>
      <c r="B1011" s="3" t="s">
        <v>2270</v>
      </c>
      <c r="C1011" s="3" t="s">
        <v>2271</v>
      </c>
      <c r="D1011" s="3" t="s">
        <v>82</v>
      </c>
      <c r="E1011" s="3" t="s">
        <v>2671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537</v>
      </c>
      <c r="B1012" s="3" t="s">
        <v>1685</v>
      </c>
      <c r="C1012" s="3" t="s">
        <v>1685</v>
      </c>
      <c r="D1012" s="3" t="s">
        <v>2689</v>
      </c>
      <c r="E1012" s="3" t="s">
        <v>2667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537</v>
      </c>
      <c r="B1013" s="3" t="s">
        <v>1684</v>
      </c>
      <c r="C1013" s="3" t="s">
        <v>1684</v>
      </c>
      <c r="D1013" s="3" t="s">
        <v>2689</v>
      </c>
      <c r="E1013" s="3" t="s">
        <v>2667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537</v>
      </c>
      <c r="B1014" s="3" t="s">
        <v>1686</v>
      </c>
      <c r="C1014" s="3" t="s">
        <v>1686</v>
      </c>
      <c r="D1014" s="3" t="s">
        <v>2689</v>
      </c>
      <c r="E1014" s="3" t="s">
        <v>2667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544</v>
      </c>
      <c r="B1015" s="3" t="s">
        <v>1690</v>
      </c>
      <c r="C1015" s="3" t="s">
        <v>1690</v>
      </c>
      <c r="D1015" s="3" t="s">
        <v>2689</v>
      </c>
      <c r="E1015" s="3" t="s">
        <v>2668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544</v>
      </c>
      <c r="B1016" s="3" t="s">
        <v>473</v>
      </c>
      <c r="C1016" s="3" t="s">
        <v>473</v>
      </c>
      <c r="D1016" s="3" t="s">
        <v>2689</v>
      </c>
      <c r="E1016" s="3" t="s">
        <v>2668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544</v>
      </c>
      <c r="B1017" s="3" t="s">
        <v>1691</v>
      </c>
      <c r="C1017" s="3" t="s">
        <v>1691</v>
      </c>
      <c r="D1017" s="3" t="s">
        <v>2689</v>
      </c>
      <c r="E1017" s="3" t="s">
        <v>2668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544</v>
      </c>
      <c r="B1018" s="3" t="s">
        <v>1692</v>
      </c>
      <c r="C1018" s="3" t="s">
        <v>1692</v>
      </c>
      <c r="D1018" s="3" t="s">
        <v>2689</v>
      </c>
      <c r="E1018" s="3" t="s">
        <v>2668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544</v>
      </c>
      <c r="B1019" s="3" t="s">
        <v>1689</v>
      </c>
      <c r="C1019" s="3" t="s">
        <v>1689</v>
      </c>
      <c r="D1019" s="3" t="s">
        <v>2689</v>
      </c>
      <c r="E1019" s="3" t="s">
        <v>2668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544</v>
      </c>
      <c r="B1020" s="3" t="s">
        <v>1687</v>
      </c>
      <c r="C1020" s="3" t="s">
        <v>1687</v>
      </c>
      <c r="D1020" s="3" t="s">
        <v>2689</v>
      </c>
      <c r="E1020" s="3" t="s">
        <v>2668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544</v>
      </c>
      <c r="B1021" s="3" t="s">
        <v>1688</v>
      </c>
      <c r="C1021" s="3" t="s">
        <v>1688</v>
      </c>
      <c r="D1021" s="3" t="s">
        <v>2689</v>
      </c>
      <c r="E1021" s="3" t="s">
        <v>2668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544</v>
      </c>
      <c r="B1022" s="3" t="s">
        <v>1693</v>
      </c>
      <c r="C1022" s="3" t="s">
        <v>1693</v>
      </c>
      <c r="D1022" s="3" t="s">
        <v>2689</v>
      </c>
      <c r="E1022" s="3" t="s">
        <v>2668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563</v>
      </c>
      <c r="B1023" s="3" t="s">
        <v>1703</v>
      </c>
      <c r="C1023" s="3" t="s">
        <v>1703</v>
      </c>
      <c r="D1023" s="3" t="s">
        <v>2689</v>
      </c>
      <c r="E1023" s="3" t="s">
        <v>2669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563</v>
      </c>
      <c r="B1024" s="3" t="s">
        <v>1694</v>
      </c>
      <c r="C1024" s="3" t="s">
        <v>1694</v>
      </c>
      <c r="D1024" s="3" t="s">
        <v>2689</v>
      </c>
      <c r="E1024" s="3" t="s">
        <v>2669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563</v>
      </c>
      <c r="B1025" s="3" t="s">
        <v>1697</v>
      </c>
      <c r="C1025" s="3" t="s">
        <v>1698</v>
      </c>
      <c r="D1025" s="3" t="s">
        <v>2689</v>
      </c>
      <c r="E1025" s="3" t="s">
        <v>2669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563</v>
      </c>
      <c r="B1026" s="3" t="s">
        <v>1700</v>
      </c>
      <c r="C1026" s="3" t="s">
        <v>1700</v>
      </c>
      <c r="D1026" s="3" t="s">
        <v>2689</v>
      </c>
      <c r="E1026" s="3" t="s">
        <v>2669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563</v>
      </c>
      <c r="B1027" s="3" t="s">
        <v>1702</v>
      </c>
      <c r="C1027" s="3" t="s">
        <v>1702</v>
      </c>
      <c r="D1027" s="3" t="s">
        <v>2689</v>
      </c>
      <c r="E1027" s="3" t="s">
        <v>2669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563</v>
      </c>
      <c r="B1028" s="3" t="s">
        <v>1699</v>
      </c>
      <c r="C1028" s="3" t="s">
        <v>1699</v>
      </c>
      <c r="D1028" s="3" t="s">
        <v>2689</v>
      </c>
      <c r="E1028" s="3" t="s">
        <v>2669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563</v>
      </c>
      <c r="B1029" s="3" t="s">
        <v>1695</v>
      </c>
      <c r="C1029" s="3" t="s">
        <v>1695</v>
      </c>
      <c r="D1029" s="3" t="s">
        <v>2689</v>
      </c>
      <c r="E1029" s="3" t="s">
        <v>2669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563</v>
      </c>
      <c r="B1030" s="3" t="s">
        <v>1696</v>
      </c>
      <c r="C1030" s="3" t="s">
        <v>1696</v>
      </c>
      <c r="D1030" s="3" t="s">
        <v>2689</v>
      </c>
      <c r="E1030" s="3" t="s">
        <v>2669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563</v>
      </c>
      <c r="B1031" s="3" t="s">
        <v>1701</v>
      </c>
      <c r="C1031" s="3" t="s">
        <v>1701</v>
      </c>
      <c r="D1031" s="3" t="s">
        <v>2689</v>
      </c>
      <c r="E1031" s="3" t="s">
        <v>2669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578</v>
      </c>
      <c r="B1032" s="3" t="s">
        <v>1705</v>
      </c>
      <c r="C1032" s="3" t="s">
        <v>1705</v>
      </c>
      <c r="D1032" s="3" t="s">
        <v>2689</v>
      </c>
      <c r="E1032" s="3" t="s">
        <v>2671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578</v>
      </c>
      <c r="B1033" s="3" t="s">
        <v>1708</v>
      </c>
      <c r="C1033" s="3" t="s">
        <v>1708</v>
      </c>
      <c r="D1033" s="3" t="s">
        <v>2689</v>
      </c>
      <c r="E1033" s="3" t="s">
        <v>2671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578</v>
      </c>
      <c r="B1034" s="3" t="s">
        <v>1707</v>
      </c>
      <c r="C1034" s="3" t="s">
        <v>1707</v>
      </c>
      <c r="D1034" s="3" t="s">
        <v>2689</v>
      </c>
      <c r="E1034" s="3" t="s">
        <v>2671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578</v>
      </c>
      <c r="B1035" s="3" t="s">
        <v>1704</v>
      </c>
      <c r="C1035" s="3" t="s">
        <v>1704</v>
      </c>
      <c r="D1035" s="3" t="s">
        <v>2689</v>
      </c>
      <c r="E1035" s="3" t="s">
        <v>2671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578</v>
      </c>
      <c r="B1036" s="3" t="s">
        <v>440</v>
      </c>
      <c r="C1036" s="3" t="s">
        <v>440</v>
      </c>
      <c r="D1036" s="3" t="s">
        <v>2689</v>
      </c>
      <c r="E1036" s="3" t="s">
        <v>2671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578</v>
      </c>
      <c r="B1037" s="3" t="s">
        <v>1706</v>
      </c>
      <c r="C1037" s="3" t="s">
        <v>1706</v>
      </c>
      <c r="D1037" s="3" t="s">
        <v>2689</v>
      </c>
      <c r="E1037" s="3" t="s">
        <v>2671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537</v>
      </c>
      <c r="B1038" s="3" t="s">
        <v>2279</v>
      </c>
      <c r="C1038" s="3" t="s">
        <v>529</v>
      </c>
      <c r="D1038" s="3" t="s">
        <v>123</v>
      </c>
      <c r="E1038" s="3" t="s">
        <v>2667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537</v>
      </c>
      <c r="B1039" s="3" t="s">
        <v>2281</v>
      </c>
      <c r="C1039" s="3" t="s">
        <v>2281</v>
      </c>
      <c r="D1039" s="3" t="s">
        <v>123</v>
      </c>
      <c r="E1039" s="3" t="s">
        <v>2667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537</v>
      </c>
      <c r="B1040" s="3" t="s">
        <v>2280</v>
      </c>
      <c r="C1040" s="3" t="s">
        <v>352</v>
      </c>
      <c r="D1040" s="3" t="s">
        <v>123</v>
      </c>
      <c r="E1040" s="3" t="s">
        <v>2667</v>
      </c>
      <c r="F1040" s="3">
        <f>COUNTIF(C1040,PickedPlayers!D:D)</f>
        <v>0</v>
      </c>
      <c r="G1040" s="3" t="str">
        <f t="shared" si="16"/>
        <v>Yes</v>
      </c>
    </row>
    <row r="1041" spans="1:7" hidden="1" x14ac:dyDescent="0.25">
      <c r="A1041" s="3" t="s">
        <v>544</v>
      </c>
      <c r="B1041" s="3" t="s">
        <v>2285</v>
      </c>
      <c r="C1041" s="3" t="s">
        <v>398</v>
      </c>
      <c r="D1041" s="3" t="s">
        <v>123</v>
      </c>
      <c r="E1041" s="3" t="s">
        <v>2668</v>
      </c>
      <c r="F1041" s="3">
        <f>COUNTIF(C1041,PickedPlayers!D:D)</f>
        <v>0</v>
      </c>
      <c r="G1041" s="3" t="str">
        <f t="shared" si="16"/>
        <v>Yes</v>
      </c>
    </row>
    <row r="1042" spans="1:7" hidden="1" x14ac:dyDescent="0.25">
      <c r="A1042" s="3" t="s">
        <v>544</v>
      </c>
      <c r="B1042" s="3" t="s">
        <v>2284</v>
      </c>
      <c r="C1042" s="3" t="s">
        <v>378</v>
      </c>
      <c r="D1042" s="3" t="s">
        <v>123</v>
      </c>
      <c r="E1042" s="3" t="s">
        <v>2668</v>
      </c>
      <c r="F1042" s="3">
        <f>COUNTIF(C1042,PickedPlayers!D:D)</f>
        <v>0</v>
      </c>
      <c r="G1042" s="3" t="str">
        <f t="shared" si="16"/>
        <v>Yes</v>
      </c>
    </row>
    <row r="1043" spans="1:7" hidden="1" x14ac:dyDescent="0.25">
      <c r="A1043" s="3" t="s">
        <v>544</v>
      </c>
      <c r="B1043" s="3" t="s">
        <v>2287</v>
      </c>
      <c r="C1043" s="3" t="s">
        <v>2287</v>
      </c>
      <c r="D1043" s="3" t="s">
        <v>123</v>
      </c>
      <c r="E1043" s="3" t="s">
        <v>2668</v>
      </c>
      <c r="F1043" s="3">
        <f>COUNTIF(C1043,PickedPlayers!D:D)</f>
        <v>0</v>
      </c>
      <c r="G1043" s="3" t="str">
        <f t="shared" si="16"/>
        <v>Yes</v>
      </c>
    </row>
    <row r="1044" spans="1:7" hidden="1" x14ac:dyDescent="0.25">
      <c r="A1044" s="3" t="s">
        <v>544</v>
      </c>
      <c r="B1044" s="3" t="s">
        <v>2288</v>
      </c>
      <c r="C1044" s="3" t="s">
        <v>370</v>
      </c>
      <c r="D1044" s="3" t="s">
        <v>123</v>
      </c>
      <c r="E1044" s="3" t="s">
        <v>2668</v>
      </c>
      <c r="F1044" s="3">
        <f>COUNTIF(C1044,PickedPlayers!D:D)</f>
        <v>0</v>
      </c>
      <c r="G1044" s="3" t="str">
        <f t="shared" si="16"/>
        <v>Yes</v>
      </c>
    </row>
    <row r="1045" spans="1:7" hidden="1" x14ac:dyDescent="0.25">
      <c r="A1045" s="3" t="s">
        <v>544</v>
      </c>
      <c r="B1045" s="3" t="s">
        <v>2282</v>
      </c>
      <c r="C1045" s="3" t="s">
        <v>2283</v>
      </c>
      <c r="D1045" s="3" t="s">
        <v>123</v>
      </c>
      <c r="E1045" s="3" t="s">
        <v>2668</v>
      </c>
      <c r="F1045" s="3">
        <f>COUNTIF(C1045,PickedPlayers!D:D)</f>
        <v>0</v>
      </c>
      <c r="G1045" s="3" t="str">
        <f t="shared" si="16"/>
        <v>Yes</v>
      </c>
    </row>
    <row r="1046" spans="1:7" hidden="1" x14ac:dyDescent="0.25">
      <c r="A1046" s="3" t="s">
        <v>544</v>
      </c>
      <c r="B1046" s="3" t="s">
        <v>2286</v>
      </c>
      <c r="C1046" s="3" t="s">
        <v>469</v>
      </c>
      <c r="D1046" s="3" t="s">
        <v>123</v>
      </c>
      <c r="E1046" s="3" t="s">
        <v>2668</v>
      </c>
      <c r="F1046" s="3">
        <f>COUNTIF(C1046,PickedPlayers!D:D)</f>
        <v>0</v>
      </c>
      <c r="G1046" s="3" t="str">
        <f t="shared" si="16"/>
        <v>Yes</v>
      </c>
    </row>
    <row r="1047" spans="1:7" hidden="1" x14ac:dyDescent="0.25">
      <c r="A1047" s="3" t="s">
        <v>544</v>
      </c>
      <c r="B1047" s="3" t="s">
        <v>2289</v>
      </c>
      <c r="C1047" s="3" t="s">
        <v>402</v>
      </c>
      <c r="D1047" s="3" t="s">
        <v>123</v>
      </c>
      <c r="E1047" s="3" t="s">
        <v>2668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563</v>
      </c>
      <c r="B1048" s="3" t="s">
        <v>2295</v>
      </c>
      <c r="C1048" s="3" t="s">
        <v>2296</v>
      </c>
      <c r="D1048" s="3" t="s">
        <v>123</v>
      </c>
      <c r="E1048" s="3" t="s">
        <v>2669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563</v>
      </c>
      <c r="B1049" s="3" t="s">
        <v>2301</v>
      </c>
      <c r="C1049" s="3" t="s">
        <v>519</v>
      </c>
      <c r="D1049" s="3" t="s">
        <v>123</v>
      </c>
      <c r="E1049" s="3" t="s">
        <v>2669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563</v>
      </c>
      <c r="B1050" s="3" t="s">
        <v>2297</v>
      </c>
      <c r="C1050" s="3" t="s">
        <v>481</v>
      </c>
      <c r="D1050" s="3" t="s">
        <v>123</v>
      </c>
      <c r="E1050" s="3" t="s">
        <v>2669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563</v>
      </c>
      <c r="B1051" s="3" t="s">
        <v>2298</v>
      </c>
      <c r="C1051" s="3" t="s">
        <v>2298</v>
      </c>
      <c r="D1051" s="3" t="s">
        <v>123</v>
      </c>
      <c r="E1051" s="3" t="s">
        <v>2669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563</v>
      </c>
      <c r="B1052" s="3" t="s">
        <v>2290</v>
      </c>
      <c r="C1052" s="3" t="s">
        <v>406</v>
      </c>
      <c r="D1052" s="3" t="s">
        <v>123</v>
      </c>
      <c r="E1052" s="3" t="s">
        <v>2669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563</v>
      </c>
      <c r="B1053" s="3" t="s">
        <v>2299</v>
      </c>
      <c r="C1053" s="3" t="s">
        <v>2300</v>
      </c>
      <c r="D1053" s="3" t="s">
        <v>123</v>
      </c>
      <c r="E1053" s="3" t="s">
        <v>2669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563</v>
      </c>
      <c r="B1054" s="3" t="s">
        <v>2293</v>
      </c>
      <c r="C1054" s="3" t="s">
        <v>2294</v>
      </c>
      <c r="D1054" s="3" t="s">
        <v>123</v>
      </c>
      <c r="E1054" s="3" t="s">
        <v>2669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563</v>
      </c>
      <c r="B1055" s="3" t="s">
        <v>330</v>
      </c>
      <c r="C1055" s="3" t="s">
        <v>330</v>
      </c>
      <c r="D1055" s="3" t="s">
        <v>123</v>
      </c>
      <c r="E1055" s="3" t="s">
        <v>2669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563</v>
      </c>
      <c r="B1056" s="3" t="s">
        <v>384</v>
      </c>
      <c r="C1056" s="3" t="s">
        <v>384</v>
      </c>
      <c r="D1056" s="3" t="s">
        <v>123</v>
      </c>
      <c r="E1056" s="3" t="s">
        <v>2669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563</v>
      </c>
      <c r="B1057" s="3" t="s">
        <v>2291</v>
      </c>
      <c r="C1057" s="3" t="s">
        <v>2292</v>
      </c>
      <c r="D1057" s="3" t="s">
        <v>123</v>
      </c>
      <c r="E1057" s="3" t="s">
        <v>2669</v>
      </c>
      <c r="F1057" s="3">
        <f>COUNTIF(C1057,PickedPlayers!D:D)</f>
        <v>0</v>
      </c>
      <c r="G1057" s="3" t="str">
        <f t="shared" si="16"/>
        <v>Yes</v>
      </c>
    </row>
    <row r="1058" spans="1:7" hidden="1" x14ac:dyDescent="0.25">
      <c r="A1058" s="3" t="s">
        <v>578</v>
      </c>
      <c r="B1058" s="3" t="s">
        <v>2307</v>
      </c>
      <c r="C1058" s="3" t="s">
        <v>2308</v>
      </c>
      <c r="D1058" s="3" t="s">
        <v>123</v>
      </c>
      <c r="E1058" s="3" t="s">
        <v>2671</v>
      </c>
      <c r="F1058" s="3">
        <f>COUNTIF(C1058,PickedPlayers!D:D)</f>
        <v>0</v>
      </c>
      <c r="G1058" s="3" t="str">
        <f t="shared" si="16"/>
        <v>Yes</v>
      </c>
    </row>
    <row r="1059" spans="1:7" hidden="1" x14ac:dyDescent="0.25">
      <c r="A1059" s="3" t="s">
        <v>578</v>
      </c>
      <c r="B1059" s="3" t="s">
        <v>2302</v>
      </c>
      <c r="C1059" s="3" t="s">
        <v>491</v>
      </c>
      <c r="D1059" s="3" t="s">
        <v>123</v>
      </c>
      <c r="E1059" s="3" t="s">
        <v>2671</v>
      </c>
      <c r="F1059" s="3">
        <f>COUNTIF(C1059,PickedPlayers!D:D)</f>
        <v>0</v>
      </c>
      <c r="G1059" s="3" t="str">
        <f t="shared" si="16"/>
        <v>Yes</v>
      </c>
    </row>
    <row r="1060" spans="1:7" hidden="1" x14ac:dyDescent="0.25">
      <c r="A1060" s="3" t="s">
        <v>578</v>
      </c>
      <c r="B1060" s="3" t="s">
        <v>284</v>
      </c>
      <c r="C1060" s="3" t="s">
        <v>284</v>
      </c>
      <c r="D1060" s="3" t="s">
        <v>123</v>
      </c>
      <c r="E1060" s="3" t="s">
        <v>2671</v>
      </c>
      <c r="F1060" s="3">
        <f>COUNTIF(C1060,PickedPlayers!D:D)</f>
        <v>0</v>
      </c>
      <c r="G1060" s="3" t="str">
        <f t="shared" si="16"/>
        <v>Yes</v>
      </c>
    </row>
    <row r="1061" spans="1:7" hidden="1" x14ac:dyDescent="0.25">
      <c r="A1061" s="3" t="s">
        <v>578</v>
      </c>
      <c r="B1061" s="3" t="s">
        <v>2303</v>
      </c>
      <c r="C1061" s="3" t="s">
        <v>281</v>
      </c>
      <c r="D1061" s="3" t="s">
        <v>123</v>
      </c>
      <c r="E1061" s="3" t="s">
        <v>2671</v>
      </c>
      <c r="F1061" s="3">
        <f>COUNTIF(C1061,PickedPlayers!D:D)</f>
        <v>0</v>
      </c>
      <c r="G1061" s="3" t="str">
        <f t="shared" si="16"/>
        <v>Yes</v>
      </c>
    </row>
    <row r="1062" spans="1:7" hidden="1" x14ac:dyDescent="0.25">
      <c r="A1062" s="3" t="s">
        <v>578</v>
      </c>
      <c r="B1062" s="3" t="s">
        <v>2304</v>
      </c>
      <c r="C1062" s="3" t="s">
        <v>346</v>
      </c>
      <c r="D1062" s="3" t="s">
        <v>123</v>
      </c>
      <c r="E1062" s="3" t="s">
        <v>2671</v>
      </c>
      <c r="F1062" s="3">
        <f>COUNTIF(C1062,PickedPlayers!D:D)</f>
        <v>0</v>
      </c>
      <c r="G1062" s="3" t="str">
        <f t="shared" si="16"/>
        <v>Yes</v>
      </c>
    </row>
    <row r="1063" spans="1:7" hidden="1" x14ac:dyDescent="0.25">
      <c r="A1063" s="3" t="s">
        <v>578</v>
      </c>
      <c r="B1063" s="3" t="s">
        <v>2305</v>
      </c>
      <c r="C1063" s="3" t="s">
        <v>2306</v>
      </c>
      <c r="D1063" s="3" t="s">
        <v>123</v>
      </c>
      <c r="E1063" s="3" t="s">
        <v>2671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537</v>
      </c>
      <c r="B1064" s="3" t="s">
        <v>2309</v>
      </c>
      <c r="C1064" s="3" t="s">
        <v>2310</v>
      </c>
      <c r="D1064" s="3" t="s">
        <v>62</v>
      </c>
      <c r="E1064" s="3" t="s">
        <v>2667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537</v>
      </c>
      <c r="B1065" s="3" t="s">
        <v>2311</v>
      </c>
      <c r="C1065" s="3" t="s">
        <v>2312</v>
      </c>
      <c r="D1065" s="3" t="s">
        <v>62</v>
      </c>
      <c r="E1065" s="3" t="s">
        <v>2667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537</v>
      </c>
      <c r="B1066" s="3" t="s">
        <v>2313</v>
      </c>
      <c r="C1066" s="3" t="s">
        <v>2314</v>
      </c>
      <c r="D1066" s="3" t="s">
        <v>62</v>
      </c>
      <c r="E1066" s="3" t="s">
        <v>2667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544</v>
      </c>
      <c r="B1067" s="3" t="s">
        <v>2325</v>
      </c>
      <c r="C1067" s="3" t="s">
        <v>2326</v>
      </c>
      <c r="D1067" s="3" t="s">
        <v>62</v>
      </c>
      <c r="E1067" s="3" t="s">
        <v>2668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544</v>
      </c>
      <c r="B1068" s="3" t="s">
        <v>2317</v>
      </c>
      <c r="C1068" s="3" t="s">
        <v>2318</v>
      </c>
      <c r="D1068" s="3" t="s">
        <v>62</v>
      </c>
      <c r="E1068" s="3" t="s">
        <v>2668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544</v>
      </c>
      <c r="B1069" s="3" t="s">
        <v>2329</v>
      </c>
      <c r="C1069" s="3" t="s">
        <v>2330</v>
      </c>
      <c r="D1069" s="3" t="s">
        <v>62</v>
      </c>
      <c r="E1069" s="3" t="s">
        <v>2668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544</v>
      </c>
      <c r="B1070" s="3" t="s">
        <v>2327</v>
      </c>
      <c r="C1070" s="3" t="s">
        <v>2328</v>
      </c>
      <c r="D1070" s="3" t="s">
        <v>62</v>
      </c>
      <c r="E1070" s="3" t="s">
        <v>2668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544</v>
      </c>
      <c r="B1071" s="3" t="s">
        <v>2315</v>
      </c>
      <c r="C1071" s="3" t="s">
        <v>2316</v>
      </c>
      <c r="D1071" s="3" t="s">
        <v>62</v>
      </c>
      <c r="E1071" s="3" t="s">
        <v>2668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544</v>
      </c>
      <c r="B1072" s="3" t="s">
        <v>2321</v>
      </c>
      <c r="C1072" s="3" t="s">
        <v>2322</v>
      </c>
      <c r="D1072" s="3" t="s">
        <v>62</v>
      </c>
      <c r="E1072" s="3" t="s">
        <v>2668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544</v>
      </c>
      <c r="B1073" s="3" t="s">
        <v>2323</v>
      </c>
      <c r="C1073" s="3" t="s">
        <v>2324</v>
      </c>
      <c r="D1073" s="3" t="s">
        <v>62</v>
      </c>
      <c r="E1073" s="3" t="s">
        <v>2668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544</v>
      </c>
      <c r="B1074" s="3" t="s">
        <v>2319</v>
      </c>
      <c r="C1074" s="3" t="s">
        <v>2320</v>
      </c>
      <c r="D1074" s="3" t="s">
        <v>62</v>
      </c>
      <c r="E1074" s="3" t="s">
        <v>2668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563</v>
      </c>
      <c r="B1075" s="3" t="s">
        <v>2337</v>
      </c>
      <c r="C1075" s="3" t="s">
        <v>2338</v>
      </c>
      <c r="D1075" s="3" t="s">
        <v>62</v>
      </c>
      <c r="E1075" s="3" t="s">
        <v>2669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563</v>
      </c>
      <c r="B1076" s="3" t="s">
        <v>2341</v>
      </c>
      <c r="C1076" s="3" t="s">
        <v>2342</v>
      </c>
      <c r="D1076" s="3" t="s">
        <v>62</v>
      </c>
      <c r="E1076" s="3" t="s">
        <v>2669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563</v>
      </c>
      <c r="B1077" s="3" t="s">
        <v>2331</v>
      </c>
      <c r="C1077" s="3" t="s">
        <v>2332</v>
      </c>
      <c r="D1077" s="3" t="s">
        <v>62</v>
      </c>
      <c r="E1077" s="3" t="s">
        <v>2669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563</v>
      </c>
      <c r="B1078" s="3" t="s">
        <v>2343</v>
      </c>
      <c r="C1078" s="3" t="s">
        <v>2344</v>
      </c>
      <c r="D1078" s="3" t="s">
        <v>62</v>
      </c>
      <c r="E1078" s="3" t="s">
        <v>2669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563</v>
      </c>
      <c r="B1079" s="3" t="s">
        <v>2339</v>
      </c>
      <c r="C1079" s="3" t="s">
        <v>2340</v>
      </c>
      <c r="D1079" s="3" t="s">
        <v>62</v>
      </c>
      <c r="E1079" s="3" t="s">
        <v>2669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563</v>
      </c>
      <c r="B1080" s="3" t="s">
        <v>2335</v>
      </c>
      <c r="C1080" s="3" t="s">
        <v>2336</v>
      </c>
      <c r="D1080" s="3" t="s">
        <v>62</v>
      </c>
      <c r="E1080" s="3" t="s">
        <v>2669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563</v>
      </c>
      <c r="B1081" s="3" t="s">
        <v>2333</v>
      </c>
      <c r="C1081" s="3" t="s">
        <v>2334</v>
      </c>
      <c r="D1081" s="3" t="s">
        <v>62</v>
      </c>
      <c r="E1081" s="3" t="s">
        <v>2669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563</v>
      </c>
      <c r="B1082" s="3" t="s">
        <v>2345</v>
      </c>
      <c r="C1082" s="3" t="s">
        <v>2346</v>
      </c>
      <c r="D1082" s="3" t="s">
        <v>62</v>
      </c>
      <c r="E1082" s="3" t="s">
        <v>2669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563</v>
      </c>
      <c r="B1083" s="3" t="s">
        <v>2347</v>
      </c>
      <c r="C1083" s="3" t="s">
        <v>2348</v>
      </c>
      <c r="D1083" s="3" t="s">
        <v>62</v>
      </c>
      <c r="E1083" s="3" t="s">
        <v>2669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578</v>
      </c>
      <c r="B1084" s="3" t="s">
        <v>2353</v>
      </c>
      <c r="C1084" s="3" t="s">
        <v>2354</v>
      </c>
      <c r="D1084" s="3" t="s">
        <v>62</v>
      </c>
      <c r="E1084" s="3" t="s">
        <v>2671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578</v>
      </c>
      <c r="B1085" s="3" t="s">
        <v>2355</v>
      </c>
      <c r="C1085" s="3" t="s">
        <v>2356</v>
      </c>
      <c r="D1085" s="3" t="s">
        <v>62</v>
      </c>
      <c r="E1085" s="3" t="s">
        <v>2671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578</v>
      </c>
      <c r="B1086" s="3" t="s">
        <v>2349</v>
      </c>
      <c r="C1086" s="3" t="s">
        <v>503</v>
      </c>
      <c r="D1086" s="3" t="s">
        <v>62</v>
      </c>
      <c r="E1086" s="3" t="s">
        <v>2671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578</v>
      </c>
      <c r="B1087" s="3" t="s">
        <v>2351</v>
      </c>
      <c r="C1087" s="3" t="s">
        <v>2352</v>
      </c>
      <c r="D1087" s="3" t="s">
        <v>62</v>
      </c>
      <c r="E1087" s="3" t="s">
        <v>2671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578</v>
      </c>
      <c r="B1088" s="3" t="s">
        <v>2357</v>
      </c>
      <c r="C1088" s="3" t="s">
        <v>2358</v>
      </c>
      <c r="D1088" s="3" t="s">
        <v>62</v>
      </c>
      <c r="E1088" s="3" t="s">
        <v>2671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578</v>
      </c>
      <c r="B1089" s="3" t="s">
        <v>2350</v>
      </c>
      <c r="C1089" s="3" t="s">
        <v>392</v>
      </c>
      <c r="D1089" s="3" t="s">
        <v>62</v>
      </c>
      <c r="E1089" s="3" t="s">
        <v>2671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537</v>
      </c>
      <c r="B1090" s="3" t="s">
        <v>2359</v>
      </c>
      <c r="C1090" s="3" t="s">
        <v>507</v>
      </c>
      <c r="D1090" s="3" t="s">
        <v>165</v>
      </c>
      <c r="E1090" s="3" t="s">
        <v>2667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537</v>
      </c>
      <c r="B1091" s="3" t="s">
        <v>2360</v>
      </c>
      <c r="C1091" s="3" t="s">
        <v>2361</v>
      </c>
      <c r="D1091" s="3" t="s">
        <v>165</v>
      </c>
      <c r="E1091" s="3" t="s">
        <v>2667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537</v>
      </c>
      <c r="B1092" s="3" t="s">
        <v>2362</v>
      </c>
      <c r="C1092" s="3" t="s">
        <v>2363</v>
      </c>
      <c r="D1092" s="3" t="s">
        <v>165</v>
      </c>
      <c r="E1092" s="3" t="s">
        <v>2667</v>
      </c>
      <c r="F1092" s="3">
        <f>COUNTIF(C1092,PickedPlayers!D:D)</f>
        <v>0</v>
      </c>
      <c r="G1092" s="3" t="str">
        <f t="shared" si="17"/>
        <v>Yes</v>
      </c>
    </row>
    <row r="1093" spans="1:7" hidden="1" x14ac:dyDescent="0.25">
      <c r="A1093" s="3" t="s">
        <v>544</v>
      </c>
      <c r="B1093" s="3" t="s">
        <v>2374</v>
      </c>
      <c r="C1093" s="3" t="s">
        <v>2375</v>
      </c>
      <c r="D1093" s="3" t="s">
        <v>165</v>
      </c>
      <c r="E1093" s="3" t="s">
        <v>2668</v>
      </c>
      <c r="F1093" s="3">
        <f>COUNTIF(C1093,PickedPlayers!D:D)</f>
        <v>0</v>
      </c>
      <c r="G1093" s="3" t="str">
        <f t="shared" si="17"/>
        <v>Yes</v>
      </c>
    </row>
    <row r="1094" spans="1:7" hidden="1" x14ac:dyDescent="0.25">
      <c r="A1094" s="3" t="s">
        <v>544</v>
      </c>
      <c r="B1094" s="3" t="s">
        <v>2370</v>
      </c>
      <c r="C1094" s="3" t="s">
        <v>2371</v>
      </c>
      <c r="D1094" s="3" t="s">
        <v>165</v>
      </c>
      <c r="E1094" s="3" t="s">
        <v>2668</v>
      </c>
      <c r="F1094" s="3">
        <f>COUNTIF(C1094,PickedPlayers!D:D)</f>
        <v>0</v>
      </c>
      <c r="G1094" s="3" t="str">
        <f t="shared" si="17"/>
        <v>Yes</v>
      </c>
    </row>
    <row r="1095" spans="1:7" hidden="1" x14ac:dyDescent="0.25">
      <c r="A1095" s="3" t="s">
        <v>544</v>
      </c>
      <c r="B1095" s="3" t="s">
        <v>2378</v>
      </c>
      <c r="C1095" s="3" t="s">
        <v>2379</v>
      </c>
      <c r="D1095" s="3" t="s">
        <v>165</v>
      </c>
      <c r="E1095" s="3" t="s">
        <v>2668</v>
      </c>
      <c r="F1095" s="3">
        <f>COUNTIF(C1095,PickedPlayers!D:D)</f>
        <v>0</v>
      </c>
      <c r="G1095" s="3" t="str">
        <f t="shared" si="17"/>
        <v>Yes</v>
      </c>
    </row>
    <row r="1096" spans="1:7" hidden="1" x14ac:dyDescent="0.25">
      <c r="A1096" s="3" t="s">
        <v>544</v>
      </c>
      <c r="B1096" s="3" t="s">
        <v>2376</v>
      </c>
      <c r="C1096" s="3" t="s">
        <v>2377</v>
      </c>
      <c r="D1096" s="3" t="s">
        <v>165</v>
      </c>
      <c r="E1096" s="3" t="s">
        <v>2668</v>
      </c>
      <c r="F1096" s="3">
        <f>COUNTIF(C1096,PickedPlayers!D:D)</f>
        <v>0</v>
      </c>
      <c r="G1096" s="3" t="str">
        <f t="shared" si="17"/>
        <v>Yes</v>
      </c>
    </row>
    <row r="1097" spans="1:7" hidden="1" x14ac:dyDescent="0.25">
      <c r="A1097" s="3" t="s">
        <v>544</v>
      </c>
      <c r="B1097" s="3" t="s">
        <v>2364</v>
      </c>
      <c r="C1097" s="3" t="s">
        <v>2365</v>
      </c>
      <c r="D1097" s="3" t="s">
        <v>165</v>
      </c>
      <c r="E1097" s="3" t="s">
        <v>2668</v>
      </c>
      <c r="F1097" s="3">
        <f>COUNTIF(C1097,PickedPlayers!D:D)</f>
        <v>0</v>
      </c>
      <c r="G1097" s="3" t="str">
        <f t="shared" si="17"/>
        <v>Yes</v>
      </c>
    </row>
    <row r="1098" spans="1:7" hidden="1" x14ac:dyDescent="0.25">
      <c r="A1098" s="3" t="s">
        <v>544</v>
      </c>
      <c r="B1098" s="3" t="s">
        <v>2372</v>
      </c>
      <c r="C1098" s="3" t="s">
        <v>2373</v>
      </c>
      <c r="D1098" s="3" t="s">
        <v>165</v>
      </c>
      <c r="E1098" s="3" t="s">
        <v>2668</v>
      </c>
      <c r="F1098" s="3">
        <f>COUNTIF(C1098,PickedPlayers!D:D)</f>
        <v>0</v>
      </c>
      <c r="G1098" s="3" t="str">
        <f t="shared" si="17"/>
        <v>Yes</v>
      </c>
    </row>
    <row r="1099" spans="1:7" hidden="1" x14ac:dyDescent="0.25">
      <c r="A1099" s="3" t="s">
        <v>544</v>
      </c>
      <c r="B1099" s="3" t="s">
        <v>2366</v>
      </c>
      <c r="C1099" s="3" t="s">
        <v>2367</v>
      </c>
      <c r="D1099" s="3" t="s">
        <v>165</v>
      </c>
      <c r="E1099" s="3" t="s">
        <v>2668</v>
      </c>
      <c r="F1099" s="3">
        <f>COUNTIF(C1099,PickedPlayers!D:D)</f>
        <v>0</v>
      </c>
      <c r="G1099" s="3" t="str">
        <f t="shared" si="17"/>
        <v>Yes</v>
      </c>
    </row>
    <row r="1100" spans="1:7" hidden="1" x14ac:dyDescent="0.25">
      <c r="A1100" s="3" t="s">
        <v>544</v>
      </c>
      <c r="B1100" s="3" t="s">
        <v>2368</v>
      </c>
      <c r="C1100" s="3" t="s">
        <v>2369</v>
      </c>
      <c r="D1100" s="3" t="s">
        <v>165</v>
      </c>
      <c r="E1100" s="3" t="s">
        <v>2668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563</v>
      </c>
      <c r="B1101" s="3" t="s">
        <v>2396</v>
      </c>
      <c r="C1101" s="3" t="s">
        <v>2397</v>
      </c>
      <c r="D1101" s="3" t="s">
        <v>165</v>
      </c>
      <c r="E1101" s="3" t="s">
        <v>2669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563</v>
      </c>
      <c r="B1102" s="3" t="s">
        <v>2386</v>
      </c>
      <c r="C1102" s="3" t="s">
        <v>2387</v>
      </c>
      <c r="D1102" s="3" t="s">
        <v>165</v>
      </c>
      <c r="E1102" s="3" t="s">
        <v>2669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563</v>
      </c>
      <c r="B1103" s="3" t="s">
        <v>2382</v>
      </c>
      <c r="C1103" s="3" t="s">
        <v>2383</v>
      </c>
      <c r="D1103" s="3" t="s">
        <v>165</v>
      </c>
      <c r="E1103" s="3" t="s">
        <v>2669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563</v>
      </c>
      <c r="B1104" s="3" t="s">
        <v>2380</v>
      </c>
      <c r="C1104" s="3" t="s">
        <v>2381</v>
      </c>
      <c r="D1104" s="3" t="s">
        <v>165</v>
      </c>
      <c r="E1104" s="3" t="s">
        <v>2669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563</v>
      </c>
      <c r="B1105" s="3" t="s">
        <v>2398</v>
      </c>
      <c r="C1105" s="3" t="s">
        <v>2399</v>
      </c>
      <c r="D1105" s="3" t="s">
        <v>165</v>
      </c>
      <c r="E1105" s="3" t="s">
        <v>2669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563</v>
      </c>
      <c r="B1106" s="3" t="s">
        <v>2392</v>
      </c>
      <c r="C1106" s="3" t="s">
        <v>2393</v>
      </c>
      <c r="D1106" s="3" t="s">
        <v>165</v>
      </c>
      <c r="E1106" s="3" t="s">
        <v>2669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563</v>
      </c>
      <c r="B1107" s="3" t="s">
        <v>2388</v>
      </c>
      <c r="C1107" s="3" t="s">
        <v>2389</v>
      </c>
      <c r="D1107" s="3" t="s">
        <v>165</v>
      </c>
      <c r="E1107" s="3" t="s">
        <v>2669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563</v>
      </c>
      <c r="B1108" s="3" t="s">
        <v>2394</v>
      </c>
      <c r="C1108" s="3" t="s">
        <v>2395</v>
      </c>
      <c r="D1108" s="3" t="s">
        <v>165</v>
      </c>
      <c r="E1108" s="3" t="s">
        <v>2669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563</v>
      </c>
      <c r="B1109" s="3" t="s">
        <v>2384</v>
      </c>
      <c r="C1109" s="3" t="s">
        <v>2385</v>
      </c>
      <c r="D1109" s="3" t="s">
        <v>165</v>
      </c>
      <c r="E1109" s="3" t="s">
        <v>2669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563</v>
      </c>
      <c r="B1110" s="3" t="s">
        <v>2390</v>
      </c>
      <c r="C1110" s="3" t="s">
        <v>2391</v>
      </c>
      <c r="D1110" s="3" t="s">
        <v>165</v>
      </c>
      <c r="E1110" s="3" t="s">
        <v>2669</v>
      </c>
      <c r="F1110" s="3">
        <f>COUNTIF(C1110,PickedPlayers!D:D)</f>
        <v>0</v>
      </c>
      <c r="G1110" s="3" t="str">
        <f t="shared" si="17"/>
        <v>Yes</v>
      </c>
    </row>
    <row r="1111" spans="1:7" hidden="1" x14ac:dyDescent="0.25">
      <c r="A1111" s="3" t="s">
        <v>578</v>
      </c>
      <c r="B1111" s="3" t="s">
        <v>2400</v>
      </c>
      <c r="C1111" s="3" t="s">
        <v>2401</v>
      </c>
      <c r="D1111" s="3" t="s">
        <v>165</v>
      </c>
      <c r="E1111" s="3" t="s">
        <v>2671</v>
      </c>
      <c r="F1111" s="3">
        <f>COUNTIF(C1111,PickedPlayers!D:D)</f>
        <v>0</v>
      </c>
      <c r="G1111" s="3" t="str">
        <f t="shared" si="17"/>
        <v>Yes</v>
      </c>
    </row>
    <row r="1112" spans="1:7" hidden="1" x14ac:dyDescent="0.25">
      <c r="A1112" s="3" t="s">
        <v>578</v>
      </c>
      <c r="B1112" s="3" t="s">
        <v>2405</v>
      </c>
      <c r="C1112" s="3" t="s">
        <v>2406</v>
      </c>
      <c r="D1112" s="3" t="s">
        <v>165</v>
      </c>
      <c r="E1112" s="3" t="s">
        <v>2671</v>
      </c>
      <c r="F1112" s="3">
        <f>COUNTIF(C1112,PickedPlayers!D:D)</f>
        <v>0</v>
      </c>
      <c r="G1112" s="3" t="str">
        <f t="shared" si="17"/>
        <v>Yes</v>
      </c>
    </row>
    <row r="1113" spans="1:7" hidden="1" x14ac:dyDescent="0.25">
      <c r="A1113" s="3" t="s">
        <v>578</v>
      </c>
      <c r="B1113" s="3" t="s">
        <v>2404</v>
      </c>
      <c r="C1113" s="3" t="s">
        <v>438</v>
      </c>
      <c r="D1113" s="3" t="s">
        <v>165</v>
      </c>
      <c r="E1113" s="3" t="s">
        <v>2671</v>
      </c>
      <c r="F1113" s="3">
        <f>COUNTIF(C1113,PickedPlayers!D:D)</f>
        <v>0</v>
      </c>
      <c r="G1113" s="3" t="str">
        <f t="shared" si="17"/>
        <v>Yes</v>
      </c>
    </row>
    <row r="1114" spans="1:7" hidden="1" x14ac:dyDescent="0.25">
      <c r="A1114" s="3" t="s">
        <v>578</v>
      </c>
      <c r="B1114" s="3" t="s">
        <v>2407</v>
      </c>
      <c r="C1114" s="3" t="s">
        <v>2408</v>
      </c>
      <c r="D1114" s="3" t="s">
        <v>165</v>
      </c>
      <c r="E1114" s="3" t="s">
        <v>2671</v>
      </c>
      <c r="F1114" s="3">
        <f>COUNTIF(C1114,PickedPlayers!D:D)</f>
        <v>0</v>
      </c>
      <c r="G1114" s="3" t="str">
        <f t="shared" si="17"/>
        <v>Yes</v>
      </c>
    </row>
    <row r="1115" spans="1:7" hidden="1" x14ac:dyDescent="0.25">
      <c r="A1115" s="3" t="s">
        <v>578</v>
      </c>
      <c r="B1115" s="3" t="s">
        <v>2402</v>
      </c>
      <c r="C1115" s="3" t="s">
        <v>2403</v>
      </c>
      <c r="D1115" s="3" t="s">
        <v>165</v>
      </c>
      <c r="E1115" s="3" t="s">
        <v>2671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537</v>
      </c>
      <c r="B1116" s="3" t="s">
        <v>2409</v>
      </c>
      <c r="C1116" s="3" t="s">
        <v>2410</v>
      </c>
      <c r="D1116" s="3" t="s">
        <v>139</v>
      </c>
      <c r="E1116" s="3" t="s">
        <v>2667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537</v>
      </c>
      <c r="B1117" s="3" t="s">
        <v>2413</v>
      </c>
      <c r="C1117" s="3" t="s">
        <v>2414</v>
      </c>
      <c r="D1117" s="3" t="s">
        <v>139</v>
      </c>
      <c r="E1117" s="3" t="s">
        <v>2667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537</v>
      </c>
      <c r="B1118" s="3" t="s">
        <v>2411</v>
      </c>
      <c r="C1118" s="3" t="s">
        <v>2412</v>
      </c>
      <c r="D1118" s="3" t="s">
        <v>139</v>
      </c>
      <c r="E1118" s="3" t="s">
        <v>2667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544</v>
      </c>
      <c r="B1119" s="3" t="s">
        <v>2415</v>
      </c>
      <c r="C1119" s="3" t="s">
        <v>2416</v>
      </c>
      <c r="D1119" s="3" t="s">
        <v>139</v>
      </c>
      <c r="E1119" s="3" t="s">
        <v>2668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544</v>
      </c>
      <c r="B1120" s="3" t="s">
        <v>2427</v>
      </c>
      <c r="C1120" s="3" t="s">
        <v>2428</v>
      </c>
      <c r="D1120" s="3" t="s">
        <v>139</v>
      </c>
      <c r="E1120" s="3" t="s">
        <v>2668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544</v>
      </c>
      <c r="B1121" s="3" t="s">
        <v>2431</v>
      </c>
      <c r="C1121" s="3" t="s">
        <v>2432</v>
      </c>
      <c r="D1121" s="3" t="s">
        <v>139</v>
      </c>
      <c r="E1121" s="3" t="s">
        <v>2668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544</v>
      </c>
      <c r="B1122" s="3" t="s">
        <v>2421</v>
      </c>
      <c r="C1122" s="3" t="s">
        <v>2422</v>
      </c>
      <c r="D1122" s="3" t="s">
        <v>139</v>
      </c>
      <c r="E1122" s="3" t="s">
        <v>2668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544</v>
      </c>
      <c r="B1123" s="3" t="s">
        <v>2425</v>
      </c>
      <c r="C1123" s="3" t="s">
        <v>2426</v>
      </c>
      <c r="D1123" s="3" t="s">
        <v>139</v>
      </c>
      <c r="E1123" s="3" t="s">
        <v>2668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544</v>
      </c>
      <c r="B1124" s="3" t="s">
        <v>2419</v>
      </c>
      <c r="C1124" s="3" t="s">
        <v>2420</v>
      </c>
      <c r="D1124" s="3" t="s">
        <v>139</v>
      </c>
      <c r="E1124" s="3" t="s">
        <v>2668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544</v>
      </c>
      <c r="B1125" s="3" t="s">
        <v>2423</v>
      </c>
      <c r="C1125" s="3" t="s">
        <v>2424</v>
      </c>
      <c r="D1125" s="3" t="s">
        <v>139</v>
      </c>
      <c r="E1125" s="3" t="s">
        <v>2668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544</v>
      </c>
      <c r="B1126" s="3" t="s">
        <v>2429</v>
      </c>
      <c r="C1126" s="3" t="s">
        <v>2430</v>
      </c>
      <c r="D1126" s="3" t="s">
        <v>139</v>
      </c>
      <c r="E1126" s="3" t="s">
        <v>2668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544</v>
      </c>
      <c r="B1127" s="3" t="s">
        <v>2417</v>
      </c>
      <c r="C1127" s="3" t="s">
        <v>2418</v>
      </c>
      <c r="D1127" s="3" t="s">
        <v>139</v>
      </c>
      <c r="E1127" s="3" t="s">
        <v>2668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563</v>
      </c>
      <c r="B1128" s="3" t="s">
        <v>2443</v>
      </c>
      <c r="C1128" s="3" t="s">
        <v>2444</v>
      </c>
      <c r="D1128" s="3" t="s">
        <v>139</v>
      </c>
      <c r="E1128" s="3" t="s">
        <v>2669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563</v>
      </c>
      <c r="B1129" s="3" t="s">
        <v>2433</v>
      </c>
      <c r="C1129" s="3" t="s">
        <v>2434</v>
      </c>
      <c r="D1129" s="3" t="s">
        <v>139</v>
      </c>
      <c r="E1129" s="3" t="s">
        <v>2669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563</v>
      </c>
      <c r="B1130" s="3" t="s">
        <v>2439</v>
      </c>
      <c r="C1130" s="3" t="s">
        <v>2440</v>
      </c>
      <c r="D1130" s="3" t="s">
        <v>139</v>
      </c>
      <c r="E1130" s="3" t="s">
        <v>2669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563</v>
      </c>
      <c r="B1131" s="3" t="s">
        <v>2435</v>
      </c>
      <c r="C1131" s="3" t="s">
        <v>2436</v>
      </c>
      <c r="D1131" s="3" t="s">
        <v>139</v>
      </c>
      <c r="E1131" s="3" t="s">
        <v>2669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563</v>
      </c>
      <c r="B1132" s="3" t="s">
        <v>2437</v>
      </c>
      <c r="C1132" s="3" t="s">
        <v>2438</v>
      </c>
      <c r="D1132" s="3" t="s">
        <v>139</v>
      </c>
      <c r="E1132" s="3" t="s">
        <v>2669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563</v>
      </c>
      <c r="B1133" s="3" t="s">
        <v>2441</v>
      </c>
      <c r="C1133" s="3" t="s">
        <v>2442</v>
      </c>
      <c r="D1133" s="3" t="s">
        <v>139</v>
      </c>
      <c r="E1133" s="3" t="s">
        <v>2669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563</v>
      </c>
      <c r="B1134" s="3" t="s">
        <v>2445</v>
      </c>
      <c r="C1134" s="3" t="s">
        <v>2446</v>
      </c>
      <c r="D1134" s="3" t="s">
        <v>139</v>
      </c>
      <c r="E1134" s="3" t="s">
        <v>2669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578</v>
      </c>
      <c r="B1135" s="3" t="s">
        <v>2447</v>
      </c>
      <c r="C1135" s="3" t="s">
        <v>2448</v>
      </c>
      <c r="D1135" s="3" t="s">
        <v>139</v>
      </c>
      <c r="E1135" s="3" t="s">
        <v>2671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578</v>
      </c>
      <c r="B1136" s="3" t="s">
        <v>2453</v>
      </c>
      <c r="C1136" s="3" t="s">
        <v>2454</v>
      </c>
      <c r="D1136" s="3" t="s">
        <v>139</v>
      </c>
      <c r="E1136" s="3" t="s">
        <v>2671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578</v>
      </c>
      <c r="B1137" s="3" t="s">
        <v>2451</v>
      </c>
      <c r="C1137" s="3" t="s">
        <v>2452</v>
      </c>
      <c r="D1137" s="3" t="s">
        <v>139</v>
      </c>
      <c r="E1137" s="3" t="s">
        <v>2671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578</v>
      </c>
      <c r="B1138" s="3" t="s">
        <v>2455</v>
      </c>
      <c r="C1138" s="3" t="s">
        <v>2456</v>
      </c>
      <c r="D1138" s="3" t="s">
        <v>139</v>
      </c>
      <c r="E1138" s="3" t="s">
        <v>2671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578</v>
      </c>
      <c r="B1139" s="3" t="s">
        <v>2459</v>
      </c>
      <c r="C1139" s="3" t="s">
        <v>2460</v>
      </c>
      <c r="D1139" s="3" t="s">
        <v>139</v>
      </c>
      <c r="E1139" s="3" t="s">
        <v>2671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578</v>
      </c>
      <c r="B1140" s="3" t="s">
        <v>2449</v>
      </c>
      <c r="C1140" s="3" t="s">
        <v>2450</v>
      </c>
      <c r="D1140" s="3" t="s">
        <v>139</v>
      </c>
      <c r="E1140" s="3" t="s">
        <v>2671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578</v>
      </c>
      <c r="B1141" s="3" t="s">
        <v>2457</v>
      </c>
      <c r="C1141" s="3" t="s">
        <v>2458</v>
      </c>
      <c r="D1141" s="3" t="s">
        <v>139</v>
      </c>
      <c r="E1141" s="3" t="s">
        <v>2671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537</v>
      </c>
      <c r="B1142" s="3" t="s">
        <v>2466</v>
      </c>
      <c r="C1142" s="3" t="s">
        <v>2467</v>
      </c>
      <c r="D1142" s="3" t="s">
        <v>2688</v>
      </c>
      <c r="E1142" s="3" t="s">
        <v>2667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537</v>
      </c>
      <c r="B1143" s="3" t="s">
        <v>2461</v>
      </c>
      <c r="C1143" s="3" t="s">
        <v>2462</v>
      </c>
      <c r="D1143" s="3" t="s">
        <v>2688</v>
      </c>
      <c r="E1143" s="3" t="s">
        <v>2667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537</v>
      </c>
      <c r="B1144" s="3" t="s">
        <v>2464</v>
      </c>
      <c r="C1144" s="3" t="s">
        <v>2465</v>
      </c>
      <c r="D1144" s="3" t="s">
        <v>2688</v>
      </c>
      <c r="E1144" s="3" t="s">
        <v>2667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544</v>
      </c>
      <c r="B1145" s="3" t="s">
        <v>2484</v>
      </c>
      <c r="C1145" s="3" t="s">
        <v>2485</v>
      </c>
      <c r="D1145" s="3" t="s">
        <v>2688</v>
      </c>
      <c r="E1145" s="3" t="s">
        <v>2668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544</v>
      </c>
      <c r="B1146" s="3" t="s">
        <v>2476</v>
      </c>
      <c r="C1146" s="3" t="s">
        <v>2477</v>
      </c>
      <c r="D1146" s="3" t="s">
        <v>2688</v>
      </c>
      <c r="E1146" s="3" t="s">
        <v>2668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544</v>
      </c>
      <c r="B1147" s="3" t="s">
        <v>2480</v>
      </c>
      <c r="C1147" s="3" t="s">
        <v>2481</v>
      </c>
      <c r="D1147" s="3" t="s">
        <v>2688</v>
      </c>
      <c r="E1147" s="3" t="s">
        <v>2668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544</v>
      </c>
      <c r="B1148" s="3" t="s">
        <v>2478</v>
      </c>
      <c r="C1148" s="3" t="s">
        <v>2479</v>
      </c>
      <c r="D1148" s="3" t="s">
        <v>2688</v>
      </c>
      <c r="E1148" s="3" t="s">
        <v>2668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544</v>
      </c>
      <c r="B1149" s="3" t="s">
        <v>2482</v>
      </c>
      <c r="C1149" s="3" t="s">
        <v>2483</v>
      </c>
      <c r="D1149" s="3" t="s">
        <v>2688</v>
      </c>
      <c r="E1149" s="3" t="s">
        <v>2668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544</v>
      </c>
      <c r="B1150" s="3" t="s">
        <v>2472</v>
      </c>
      <c r="C1150" s="3" t="s">
        <v>2473</v>
      </c>
      <c r="D1150" s="3" t="s">
        <v>2688</v>
      </c>
      <c r="E1150" s="3" t="s">
        <v>2668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544</v>
      </c>
      <c r="B1151" s="3" t="s">
        <v>2474</v>
      </c>
      <c r="C1151" s="3" t="s">
        <v>2475</v>
      </c>
      <c r="D1151" s="3" t="s">
        <v>2688</v>
      </c>
      <c r="E1151" s="3" t="s">
        <v>2668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544</v>
      </c>
      <c r="B1152" s="3" t="s">
        <v>2470</v>
      </c>
      <c r="C1152" s="3" t="s">
        <v>2471</v>
      </c>
      <c r="D1152" s="3" t="s">
        <v>2688</v>
      </c>
      <c r="E1152" s="3" t="s">
        <v>2668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544</v>
      </c>
      <c r="B1153" s="3" t="s">
        <v>2486</v>
      </c>
      <c r="C1153" s="3" t="s">
        <v>2487</v>
      </c>
      <c r="D1153" s="3" t="s">
        <v>2688</v>
      </c>
      <c r="E1153" s="3" t="s">
        <v>2668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544</v>
      </c>
      <c r="B1154" s="3" t="s">
        <v>2468</v>
      </c>
      <c r="C1154" s="3" t="s">
        <v>2469</v>
      </c>
      <c r="D1154" s="3" t="s">
        <v>2688</v>
      </c>
      <c r="E1154" s="3" t="s">
        <v>2668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563</v>
      </c>
      <c r="B1155" s="3" t="s">
        <v>2496</v>
      </c>
      <c r="C1155" s="3" t="s">
        <v>434</v>
      </c>
      <c r="D1155" s="3" t="s">
        <v>2688</v>
      </c>
      <c r="E1155" s="3" t="s">
        <v>2669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563</v>
      </c>
      <c r="B1156" s="3" t="s">
        <v>2497</v>
      </c>
      <c r="C1156" s="3" t="s">
        <v>2498</v>
      </c>
      <c r="D1156" s="3" t="s">
        <v>2688</v>
      </c>
      <c r="E1156" s="3" t="s">
        <v>2669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563</v>
      </c>
      <c r="B1157" s="3" t="s">
        <v>2499</v>
      </c>
      <c r="C1157" s="3" t="s">
        <v>2500</v>
      </c>
      <c r="D1157" s="3" t="s">
        <v>2688</v>
      </c>
      <c r="E1157" s="3" t="s">
        <v>2669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563</v>
      </c>
      <c r="B1158" s="3" t="s">
        <v>2494</v>
      </c>
      <c r="C1158" s="3" t="s">
        <v>2495</v>
      </c>
      <c r="D1158" s="3" t="s">
        <v>2688</v>
      </c>
      <c r="E1158" s="3" t="s">
        <v>2669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563</v>
      </c>
      <c r="B1159" s="3" t="s">
        <v>2490</v>
      </c>
      <c r="C1159" s="3" t="s">
        <v>2491</v>
      </c>
      <c r="D1159" s="3" t="s">
        <v>2688</v>
      </c>
      <c r="E1159" s="3" t="s">
        <v>2669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563</v>
      </c>
      <c r="B1160" s="3" t="s">
        <v>2492</v>
      </c>
      <c r="C1160" s="3" t="s">
        <v>2493</v>
      </c>
      <c r="D1160" s="3" t="s">
        <v>2688</v>
      </c>
      <c r="E1160" s="3" t="s">
        <v>2669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563</v>
      </c>
      <c r="B1161" s="3" t="s">
        <v>2488</v>
      </c>
      <c r="C1161" s="3" t="s">
        <v>2489</v>
      </c>
      <c r="D1161" s="3" t="s">
        <v>2688</v>
      </c>
      <c r="E1161" s="3" t="s">
        <v>2669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578</v>
      </c>
      <c r="B1162" s="3" t="s">
        <v>2507</v>
      </c>
      <c r="C1162" s="3" t="s">
        <v>2508</v>
      </c>
      <c r="D1162" s="3" t="s">
        <v>2688</v>
      </c>
      <c r="E1162" s="3" t="s">
        <v>2671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578</v>
      </c>
      <c r="B1163" s="3" t="s">
        <v>2505</v>
      </c>
      <c r="C1163" s="3" t="s">
        <v>2506</v>
      </c>
      <c r="D1163" s="3" t="s">
        <v>2688</v>
      </c>
      <c r="E1163" s="3" t="s">
        <v>2671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578</v>
      </c>
      <c r="B1164" s="3" t="s">
        <v>2501</v>
      </c>
      <c r="C1164" s="3" t="s">
        <v>2502</v>
      </c>
      <c r="D1164" s="3" t="s">
        <v>2688</v>
      </c>
      <c r="E1164" s="3" t="s">
        <v>2671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578</v>
      </c>
      <c r="B1165" s="3" t="s">
        <v>2509</v>
      </c>
      <c r="C1165" s="3" t="s">
        <v>2510</v>
      </c>
      <c r="D1165" s="3" t="s">
        <v>2688</v>
      </c>
      <c r="E1165" s="3" t="s">
        <v>2671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578</v>
      </c>
      <c r="B1166" s="3" t="s">
        <v>2511</v>
      </c>
      <c r="C1166" s="3" t="s">
        <v>2512</v>
      </c>
      <c r="D1166" s="3" t="s">
        <v>2688</v>
      </c>
      <c r="E1166" s="3" t="s">
        <v>2671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578</v>
      </c>
      <c r="B1167" s="3" t="s">
        <v>2503</v>
      </c>
      <c r="C1167" s="3" t="s">
        <v>2504</v>
      </c>
      <c r="D1167" s="3" t="s">
        <v>2688</v>
      </c>
      <c r="E1167" s="3" t="s">
        <v>2671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537</v>
      </c>
      <c r="B1168" s="3" t="s">
        <v>2565</v>
      </c>
      <c r="C1168" s="3" t="s">
        <v>2566</v>
      </c>
      <c r="D1168" s="3" t="s">
        <v>122</v>
      </c>
      <c r="E1168" s="3" t="s">
        <v>2667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537</v>
      </c>
      <c r="B1169" s="3" t="s">
        <v>2567</v>
      </c>
      <c r="C1169" s="3" t="s">
        <v>2568</v>
      </c>
      <c r="D1169" s="3" t="s">
        <v>122</v>
      </c>
      <c r="E1169" s="3" t="s">
        <v>2667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537</v>
      </c>
      <c r="B1170" s="3" t="s">
        <v>2563</v>
      </c>
      <c r="C1170" s="3" t="s">
        <v>2564</v>
      </c>
      <c r="D1170" s="3" t="s">
        <v>122</v>
      </c>
      <c r="E1170" s="3" t="s">
        <v>2667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544</v>
      </c>
      <c r="B1171" s="3" t="s">
        <v>2581</v>
      </c>
      <c r="C1171" s="3" t="s">
        <v>2582</v>
      </c>
      <c r="D1171" s="3" t="s">
        <v>122</v>
      </c>
      <c r="E1171" s="3" t="s">
        <v>2668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544</v>
      </c>
      <c r="B1172" s="3" t="s">
        <v>2569</v>
      </c>
      <c r="C1172" s="3" t="s">
        <v>2570</v>
      </c>
      <c r="D1172" s="3" t="s">
        <v>122</v>
      </c>
      <c r="E1172" s="3" t="s">
        <v>2668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544</v>
      </c>
      <c r="B1173" s="3" t="s">
        <v>2579</v>
      </c>
      <c r="C1173" s="3" t="s">
        <v>2580</v>
      </c>
      <c r="D1173" s="3" t="s">
        <v>122</v>
      </c>
      <c r="E1173" s="3" t="s">
        <v>2668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544</v>
      </c>
      <c r="B1174" s="3" t="s">
        <v>2571</v>
      </c>
      <c r="C1174" s="3" t="s">
        <v>2572</v>
      </c>
      <c r="D1174" s="3" t="s">
        <v>122</v>
      </c>
      <c r="E1174" s="3" t="s">
        <v>2668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544</v>
      </c>
      <c r="B1175" s="3" t="s">
        <v>2575</v>
      </c>
      <c r="C1175" s="3" t="s">
        <v>2576</v>
      </c>
      <c r="D1175" s="3" t="s">
        <v>122</v>
      </c>
      <c r="E1175" s="3" t="s">
        <v>2668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544</v>
      </c>
      <c r="B1176" s="3" t="s">
        <v>2577</v>
      </c>
      <c r="C1176" s="3" t="s">
        <v>2578</v>
      </c>
      <c r="D1176" s="3" t="s">
        <v>122</v>
      </c>
      <c r="E1176" s="3" t="s">
        <v>2668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544</v>
      </c>
      <c r="B1177" s="3" t="s">
        <v>2583</v>
      </c>
      <c r="C1177" s="3" t="s">
        <v>2584</v>
      </c>
      <c r="D1177" s="3" t="s">
        <v>122</v>
      </c>
      <c r="E1177" s="3" t="s">
        <v>2668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544</v>
      </c>
      <c r="B1178" s="3" t="s">
        <v>2573</v>
      </c>
      <c r="C1178" s="3" t="s">
        <v>2574</v>
      </c>
      <c r="D1178" s="3" t="s">
        <v>122</v>
      </c>
      <c r="E1178" s="3" t="s">
        <v>2668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563</v>
      </c>
      <c r="B1179" s="3" t="s">
        <v>2591</v>
      </c>
      <c r="C1179" s="3" t="s">
        <v>340</v>
      </c>
      <c r="D1179" s="3" t="s">
        <v>122</v>
      </c>
      <c r="E1179" s="3" t="s">
        <v>2669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563</v>
      </c>
      <c r="B1180" s="3" t="s">
        <v>2587</v>
      </c>
      <c r="C1180" s="3" t="s">
        <v>2588</v>
      </c>
      <c r="D1180" s="3" t="s">
        <v>122</v>
      </c>
      <c r="E1180" s="3" t="s">
        <v>2669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563</v>
      </c>
      <c r="B1181" s="3" t="s">
        <v>2596</v>
      </c>
      <c r="C1181" s="3" t="s">
        <v>388</v>
      </c>
      <c r="D1181" s="3" t="s">
        <v>122</v>
      </c>
      <c r="E1181" s="3" t="s">
        <v>2669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563</v>
      </c>
      <c r="B1182" s="3" t="s">
        <v>2599</v>
      </c>
      <c r="C1182" s="3" t="s">
        <v>2600</v>
      </c>
      <c r="D1182" s="3" t="s">
        <v>122</v>
      </c>
      <c r="E1182" s="3" t="s">
        <v>2669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563</v>
      </c>
      <c r="B1183" s="3" t="s">
        <v>2597</v>
      </c>
      <c r="C1183" s="3" t="s">
        <v>2598</v>
      </c>
      <c r="D1183" s="3" t="s">
        <v>122</v>
      </c>
      <c r="E1183" s="3" t="s">
        <v>2669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563</v>
      </c>
      <c r="B1184" s="3" t="s">
        <v>2594</v>
      </c>
      <c r="C1184" s="3" t="s">
        <v>2595</v>
      </c>
      <c r="D1184" s="3" t="s">
        <v>122</v>
      </c>
      <c r="E1184" s="3" t="s">
        <v>2669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563</v>
      </c>
      <c r="B1185" s="3" t="s">
        <v>2585</v>
      </c>
      <c r="C1185" s="3" t="s">
        <v>2586</v>
      </c>
      <c r="D1185" s="3" t="s">
        <v>122</v>
      </c>
      <c r="E1185" s="3" t="s">
        <v>2669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563</v>
      </c>
      <c r="B1186" s="3" t="s">
        <v>2592</v>
      </c>
      <c r="C1186" s="3" t="s">
        <v>2593</v>
      </c>
      <c r="D1186" s="3" t="s">
        <v>122</v>
      </c>
      <c r="E1186" s="3" t="s">
        <v>2669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563</v>
      </c>
      <c r="B1187" s="3" t="s">
        <v>2589</v>
      </c>
      <c r="C1187" s="3" t="s">
        <v>2590</v>
      </c>
      <c r="D1187" s="3" t="s">
        <v>122</v>
      </c>
      <c r="E1187" s="3" t="s">
        <v>2669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563</v>
      </c>
      <c r="B1188" s="3" t="s">
        <v>2601</v>
      </c>
      <c r="C1188" s="3" t="s">
        <v>2602</v>
      </c>
      <c r="D1188" s="3" t="s">
        <v>122</v>
      </c>
      <c r="E1188" s="3" t="s">
        <v>2669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578</v>
      </c>
      <c r="B1189" s="3" t="s">
        <v>2606</v>
      </c>
      <c r="C1189" s="3" t="s">
        <v>2607</v>
      </c>
      <c r="D1189" s="3" t="s">
        <v>122</v>
      </c>
      <c r="E1189" s="3" t="s">
        <v>2671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578</v>
      </c>
      <c r="B1190" s="3" t="s">
        <v>2610</v>
      </c>
      <c r="C1190" s="3" t="s">
        <v>2611</v>
      </c>
      <c r="D1190" s="3" t="s">
        <v>122</v>
      </c>
      <c r="E1190" s="3" t="s">
        <v>2671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578</v>
      </c>
      <c r="B1191" s="3" t="s">
        <v>2603</v>
      </c>
      <c r="C1191" s="3" t="s">
        <v>414</v>
      </c>
      <c r="D1191" s="3" t="s">
        <v>122</v>
      </c>
      <c r="E1191" s="3" t="s">
        <v>2671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578</v>
      </c>
      <c r="B1192" s="3" t="s">
        <v>2608</v>
      </c>
      <c r="C1192" s="3" t="s">
        <v>2609</v>
      </c>
      <c r="D1192" s="3" t="s">
        <v>122</v>
      </c>
      <c r="E1192" s="3" t="s">
        <v>2671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578</v>
      </c>
      <c r="B1193" s="3" t="s">
        <v>2604</v>
      </c>
      <c r="C1193" s="3" t="s">
        <v>2605</v>
      </c>
      <c r="D1193" s="3" t="s">
        <v>122</v>
      </c>
      <c r="E1193" s="3" t="s">
        <v>2671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537</v>
      </c>
      <c r="B1194" s="3" t="s">
        <v>2516</v>
      </c>
      <c r="C1194" s="3" t="s">
        <v>2517</v>
      </c>
      <c r="D1194" s="3" t="s">
        <v>2515</v>
      </c>
      <c r="E1194" s="3" t="s">
        <v>2667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537</v>
      </c>
      <c r="B1195" s="3" t="s">
        <v>2518</v>
      </c>
      <c r="C1195" s="3" t="s">
        <v>513</v>
      </c>
      <c r="D1195" s="3" t="s">
        <v>2515</v>
      </c>
      <c r="E1195" s="3" t="s">
        <v>2667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537</v>
      </c>
      <c r="B1196" s="3" t="s">
        <v>2513</v>
      </c>
      <c r="C1196" s="3" t="s">
        <v>2514</v>
      </c>
      <c r="D1196" s="3" t="s">
        <v>2515</v>
      </c>
      <c r="E1196" s="3" t="s">
        <v>2667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544</v>
      </c>
      <c r="B1197" s="3" t="s">
        <v>2525</v>
      </c>
      <c r="C1197" s="3" t="s">
        <v>2526</v>
      </c>
      <c r="D1197" s="3" t="s">
        <v>2515</v>
      </c>
      <c r="E1197" s="3" t="s">
        <v>2668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544</v>
      </c>
      <c r="B1198" s="3" t="s">
        <v>2527</v>
      </c>
      <c r="C1198" s="3" t="s">
        <v>456</v>
      </c>
      <c r="D1198" s="3" t="s">
        <v>2515</v>
      </c>
      <c r="E1198" s="3" t="s">
        <v>2668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544</v>
      </c>
      <c r="B1199" s="3" t="s">
        <v>2530</v>
      </c>
      <c r="C1199" s="3" t="s">
        <v>2531</v>
      </c>
      <c r="D1199" s="3" t="s">
        <v>2515</v>
      </c>
      <c r="E1199" s="3" t="s">
        <v>2668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544</v>
      </c>
      <c r="B1200" s="3" t="s">
        <v>2523</v>
      </c>
      <c r="C1200" s="3" t="s">
        <v>2524</v>
      </c>
      <c r="D1200" s="3" t="s">
        <v>2515</v>
      </c>
      <c r="E1200" s="3" t="s">
        <v>2668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544</v>
      </c>
      <c r="B1201" s="3" t="s">
        <v>2532</v>
      </c>
      <c r="C1201" s="3" t="s">
        <v>2533</v>
      </c>
      <c r="D1201" s="3" t="s">
        <v>2515</v>
      </c>
      <c r="E1201" s="3" t="s">
        <v>2668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544</v>
      </c>
      <c r="B1202" s="3" t="s">
        <v>2528</v>
      </c>
      <c r="C1202" s="3" t="s">
        <v>2529</v>
      </c>
      <c r="D1202" s="3" t="s">
        <v>2515</v>
      </c>
      <c r="E1202" s="3" t="s">
        <v>2668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544</v>
      </c>
      <c r="B1203" s="3" t="s">
        <v>2534</v>
      </c>
      <c r="C1203" s="3" t="s">
        <v>2535</v>
      </c>
      <c r="D1203" s="3" t="s">
        <v>2515</v>
      </c>
      <c r="E1203" s="3" t="s">
        <v>2668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544</v>
      </c>
      <c r="B1204" s="3" t="s">
        <v>2519</v>
      </c>
      <c r="C1204" s="3" t="s">
        <v>2520</v>
      </c>
      <c r="D1204" s="3" t="s">
        <v>2515</v>
      </c>
      <c r="E1204" s="3" t="s">
        <v>2668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544</v>
      </c>
      <c r="B1205" s="3" t="s">
        <v>2521</v>
      </c>
      <c r="C1205" s="3" t="s">
        <v>2522</v>
      </c>
      <c r="D1205" s="3" t="s">
        <v>2515</v>
      </c>
      <c r="E1205" s="3" t="s">
        <v>2668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563</v>
      </c>
      <c r="B1206" s="3" t="s">
        <v>2551</v>
      </c>
      <c r="C1206" s="3" t="s">
        <v>2552</v>
      </c>
      <c r="D1206" s="3" t="s">
        <v>2515</v>
      </c>
      <c r="E1206" s="3" t="s">
        <v>2669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563</v>
      </c>
      <c r="B1207" s="3" t="s">
        <v>2548</v>
      </c>
      <c r="C1207" s="3" t="s">
        <v>386</v>
      </c>
      <c r="D1207" s="3" t="s">
        <v>2515</v>
      </c>
      <c r="E1207" s="3" t="s">
        <v>2669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563</v>
      </c>
      <c r="B1208" s="3" t="s">
        <v>2542</v>
      </c>
      <c r="C1208" s="3" t="s">
        <v>2543</v>
      </c>
      <c r="D1208" s="3" t="s">
        <v>2515</v>
      </c>
      <c r="E1208" s="3" t="s">
        <v>2669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563</v>
      </c>
      <c r="B1209" s="3" t="s">
        <v>2540</v>
      </c>
      <c r="C1209" s="3" t="s">
        <v>2541</v>
      </c>
      <c r="D1209" s="3" t="s">
        <v>2515</v>
      </c>
      <c r="E1209" s="3" t="s">
        <v>2669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563</v>
      </c>
      <c r="B1210" s="3" t="s">
        <v>2549</v>
      </c>
      <c r="C1210" s="3" t="s">
        <v>2550</v>
      </c>
      <c r="D1210" s="3" t="s">
        <v>2515</v>
      </c>
      <c r="E1210" s="3" t="s">
        <v>2669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563</v>
      </c>
      <c r="B1211" s="3" t="s">
        <v>2546</v>
      </c>
      <c r="C1211" s="3" t="s">
        <v>2547</v>
      </c>
      <c r="D1211" s="3" t="s">
        <v>2515</v>
      </c>
      <c r="E1211" s="3" t="s">
        <v>2669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563</v>
      </c>
      <c r="B1212" s="3" t="s">
        <v>2538</v>
      </c>
      <c r="C1212" s="3" t="s">
        <v>2539</v>
      </c>
      <c r="D1212" s="3" t="s">
        <v>2515</v>
      </c>
      <c r="E1212" s="3" t="s">
        <v>2669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563</v>
      </c>
      <c r="B1213" s="3" t="s">
        <v>2536</v>
      </c>
      <c r="C1213" s="3" t="s">
        <v>2537</v>
      </c>
      <c r="D1213" s="3" t="s">
        <v>2515</v>
      </c>
      <c r="E1213" s="3" t="s">
        <v>2669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563</v>
      </c>
      <c r="B1214" s="3" t="s">
        <v>2544</v>
      </c>
      <c r="C1214" s="3" t="s">
        <v>2545</v>
      </c>
      <c r="D1214" s="3" t="s">
        <v>2515</v>
      </c>
      <c r="E1214" s="3" t="s">
        <v>2669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578</v>
      </c>
      <c r="B1215" s="3" t="s">
        <v>2559</v>
      </c>
      <c r="C1215" s="3" t="s">
        <v>2560</v>
      </c>
      <c r="D1215" s="3" t="s">
        <v>2515</v>
      </c>
      <c r="E1215" s="3" t="s">
        <v>2671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578</v>
      </c>
      <c r="B1216" s="3" t="s">
        <v>2561</v>
      </c>
      <c r="C1216" s="3" t="s">
        <v>2562</v>
      </c>
      <c r="D1216" s="3" t="s">
        <v>2515</v>
      </c>
      <c r="E1216" s="3" t="s">
        <v>2671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578</v>
      </c>
      <c r="B1217" s="3" t="s">
        <v>2557</v>
      </c>
      <c r="C1217" s="3" t="s">
        <v>2558</v>
      </c>
      <c r="D1217" s="3" t="s">
        <v>2515</v>
      </c>
      <c r="E1217" s="3" t="s">
        <v>2671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578</v>
      </c>
      <c r="B1218" s="3" t="s">
        <v>2553</v>
      </c>
      <c r="C1218" s="3" t="s">
        <v>2554</v>
      </c>
      <c r="D1218" s="3" t="s">
        <v>2515</v>
      </c>
      <c r="E1218" s="3" t="s">
        <v>2671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578</v>
      </c>
      <c r="B1219" s="3" t="s">
        <v>2555</v>
      </c>
      <c r="C1219" s="3" t="s">
        <v>2556</v>
      </c>
      <c r="D1219" s="3" t="s">
        <v>2515</v>
      </c>
      <c r="E1219" s="3" t="s">
        <v>2671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537</v>
      </c>
      <c r="B1220" s="3" t="s">
        <v>2616</v>
      </c>
      <c r="C1220" s="3" t="s">
        <v>2617</v>
      </c>
      <c r="D1220" s="3" t="s">
        <v>97</v>
      </c>
      <c r="E1220" s="3" t="s">
        <v>2667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537</v>
      </c>
      <c r="B1221" s="3" t="s">
        <v>2614</v>
      </c>
      <c r="C1221" s="3" t="s">
        <v>2615</v>
      </c>
      <c r="D1221" s="3" t="s">
        <v>97</v>
      </c>
      <c r="E1221" s="3" t="s">
        <v>2667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537</v>
      </c>
      <c r="B1222" s="3" t="s">
        <v>2612</v>
      </c>
      <c r="C1222" s="3" t="s">
        <v>2613</v>
      </c>
      <c r="D1222" s="3" t="s">
        <v>97</v>
      </c>
      <c r="E1222" s="3" t="s">
        <v>2667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544</v>
      </c>
      <c r="B1223" s="3" t="s">
        <v>2618</v>
      </c>
      <c r="C1223" s="3" t="s">
        <v>2619</v>
      </c>
      <c r="D1223" s="3" t="s">
        <v>97</v>
      </c>
      <c r="E1223" s="3" t="s">
        <v>2668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544</v>
      </c>
      <c r="B1224" s="3" t="s">
        <v>2628</v>
      </c>
      <c r="C1224" s="3" t="s">
        <v>2629</v>
      </c>
      <c r="D1224" s="3" t="s">
        <v>97</v>
      </c>
      <c r="E1224" s="3" t="s">
        <v>2668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544</v>
      </c>
      <c r="B1225" s="3" t="s">
        <v>2624</v>
      </c>
      <c r="C1225" s="3" t="s">
        <v>2625</v>
      </c>
      <c r="D1225" s="3" t="s">
        <v>97</v>
      </c>
      <c r="E1225" s="3" t="s">
        <v>2668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544</v>
      </c>
      <c r="B1226" s="3" t="s">
        <v>2626</v>
      </c>
      <c r="C1226" s="3" t="s">
        <v>2627</v>
      </c>
      <c r="D1226" s="3" t="s">
        <v>97</v>
      </c>
      <c r="E1226" s="3" t="s">
        <v>2668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544</v>
      </c>
      <c r="B1227" s="3" t="s">
        <v>2632</v>
      </c>
      <c r="C1227" s="3" t="s">
        <v>2633</v>
      </c>
      <c r="D1227" s="3" t="s">
        <v>97</v>
      </c>
      <c r="E1227" s="3" t="s">
        <v>2668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544</v>
      </c>
      <c r="B1228" s="3" t="s">
        <v>2622</v>
      </c>
      <c r="C1228" s="3" t="s">
        <v>2623</v>
      </c>
      <c r="D1228" s="3" t="s">
        <v>97</v>
      </c>
      <c r="E1228" s="3" t="s">
        <v>2668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544</v>
      </c>
      <c r="B1229" s="3" t="s">
        <v>2630</v>
      </c>
      <c r="C1229" s="3" t="s">
        <v>2631</v>
      </c>
      <c r="D1229" s="3" t="s">
        <v>97</v>
      </c>
      <c r="E1229" s="3" t="s">
        <v>2668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544</v>
      </c>
      <c r="B1230" s="3" t="s">
        <v>2634</v>
      </c>
      <c r="C1230" s="3" t="s">
        <v>2635</v>
      </c>
      <c r="D1230" s="3" t="s">
        <v>97</v>
      </c>
      <c r="E1230" s="3" t="s">
        <v>2668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544</v>
      </c>
      <c r="B1231" s="3" t="s">
        <v>2620</v>
      </c>
      <c r="C1231" s="3" t="s">
        <v>2621</v>
      </c>
      <c r="D1231" s="3" t="s">
        <v>97</v>
      </c>
      <c r="E1231" s="3" t="s">
        <v>2668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563</v>
      </c>
      <c r="B1232" s="3" t="s">
        <v>2642</v>
      </c>
      <c r="C1232" s="3" t="s">
        <v>2643</v>
      </c>
      <c r="D1232" s="3" t="s">
        <v>97</v>
      </c>
      <c r="E1232" s="3" t="s">
        <v>2669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563</v>
      </c>
      <c r="B1233" s="3" t="s">
        <v>2650</v>
      </c>
      <c r="C1233" s="3" t="s">
        <v>2651</v>
      </c>
      <c r="D1233" s="3" t="s">
        <v>97</v>
      </c>
      <c r="E1233" s="3" t="s">
        <v>2669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563</v>
      </c>
      <c r="B1234" s="3" t="s">
        <v>2646</v>
      </c>
      <c r="C1234" s="3" t="s">
        <v>2647</v>
      </c>
      <c r="D1234" s="3" t="s">
        <v>97</v>
      </c>
      <c r="E1234" s="3" t="s">
        <v>2669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563</v>
      </c>
      <c r="B1235" s="3" t="s">
        <v>2636</v>
      </c>
      <c r="C1235" s="3" t="s">
        <v>2637</v>
      </c>
      <c r="D1235" s="3" t="s">
        <v>97</v>
      </c>
      <c r="E1235" s="3" t="s">
        <v>2669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563</v>
      </c>
      <c r="B1236" s="3" t="s">
        <v>2638</v>
      </c>
      <c r="C1236" s="3" t="s">
        <v>2639</v>
      </c>
      <c r="D1236" s="3" t="s">
        <v>97</v>
      </c>
      <c r="E1236" s="3" t="s">
        <v>2669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563</v>
      </c>
      <c r="B1237" s="3" t="s">
        <v>2644</v>
      </c>
      <c r="C1237" s="3" t="s">
        <v>2645</v>
      </c>
      <c r="D1237" s="3" t="s">
        <v>97</v>
      </c>
      <c r="E1237" s="3" t="s">
        <v>2669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563</v>
      </c>
      <c r="B1238" s="3" t="s">
        <v>2652</v>
      </c>
      <c r="C1238" s="3" t="s">
        <v>2653</v>
      </c>
      <c r="D1238" s="3" t="s">
        <v>97</v>
      </c>
      <c r="E1238" s="3" t="s">
        <v>2669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563</v>
      </c>
      <c r="B1239" s="3" t="s">
        <v>2648</v>
      </c>
      <c r="C1239" s="3" t="s">
        <v>2649</v>
      </c>
      <c r="D1239" s="3" t="s">
        <v>97</v>
      </c>
      <c r="E1239" s="3" t="s">
        <v>2669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563</v>
      </c>
      <c r="B1240" s="3" t="s">
        <v>2640</v>
      </c>
      <c r="C1240" s="3" t="s">
        <v>2641</v>
      </c>
      <c r="D1240" s="3" t="s">
        <v>97</v>
      </c>
      <c r="E1240" s="3" t="s">
        <v>2669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563</v>
      </c>
      <c r="B1241" s="3" t="s">
        <v>2656</v>
      </c>
      <c r="C1241" s="3" t="s">
        <v>2657</v>
      </c>
      <c r="D1241" s="3" t="s">
        <v>97</v>
      </c>
      <c r="E1241" s="3" t="s">
        <v>2669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563</v>
      </c>
      <c r="B1242" s="3" t="s">
        <v>2654</v>
      </c>
      <c r="C1242" s="3" t="s">
        <v>2655</v>
      </c>
      <c r="D1242" s="3" t="s">
        <v>97</v>
      </c>
      <c r="E1242" s="3" t="s">
        <v>2669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578</v>
      </c>
      <c r="B1243" s="3" t="s">
        <v>2662</v>
      </c>
      <c r="C1243" s="3" t="s">
        <v>2663</v>
      </c>
      <c r="D1243" s="3" t="s">
        <v>97</v>
      </c>
      <c r="E1243" s="3" t="s">
        <v>2671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578</v>
      </c>
      <c r="B1244" s="3" t="s">
        <v>2658</v>
      </c>
      <c r="C1244" s="3" t="s">
        <v>2659</v>
      </c>
      <c r="D1244" s="3" t="s">
        <v>97</v>
      </c>
      <c r="E1244" s="3" t="s">
        <v>2671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578</v>
      </c>
      <c r="B1245" s="3" t="s">
        <v>2660</v>
      </c>
      <c r="C1245" s="3" t="s">
        <v>2661</v>
      </c>
      <c r="D1245" s="3" t="s">
        <v>97</v>
      </c>
      <c r="E1245" s="3" t="s">
        <v>2671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lgeria"/>
        <filter val="Argentina"/>
        <filter val="Australia"/>
        <filter val="Austria"/>
        <filter val="Belgium"/>
        <filter val="Bosnia &amp; Herzogovina"/>
        <filter val="Brazil"/>
        <filter val="Canada"/>
        <filter val="Cape Verde"/>
        <filter val="Colombia"/>
        <filter val="Croatia"/>
        <filter val="DR Congo"/>
        <filter val="Ecuador"/>
        <filter val="Egypt"/>
        <filter val="England"/>
        <filter val="France"/>
        <filter val="Germany"/>
        <filter val="Ghana"/>
        <filter val="Ivory Coast"/>
        <filter val="Japan"/>
        <filter val="Mexico"/>
        <filter val="Morocco"/>
        <filter val="Netherlands"/>
        <filter val="Norway"/>
        <filter val="Paraguay"/>
        <filter val="Portugal"/>
        <filter val="Senegal"/>
        <filter val="South Africa"/>
        <filter val="Spain"/>
        <filter val="Sweden"/>
        <filter val="Switzerland"/>
        <filter val="USA"/>
      </filters>
    </filterColumn>
    <filterColumn colId="4">
      <filters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2821</v>
      </c>
      <c r="D2" s="4" t="s">
        <v>2822</v>
      </c>
      <c r="G2" s="4" t="s">
        <v>2823</v>
      </c>
      <c r="J2" s="4" t="s">
        <v>2824</v>
      </c>
      <c r="M2" s="4" t="s">
        <v>2825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2667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2777</v>
      </c>
      <c r="E4" s="3">
        <f>COUNTIF(PickedPlayers!F:F,D4)</f>
        <v>0</v>
      </c>
      <c r="G4" s="3" t="s">
        <v>70</v>
      </c>
      <c r="H4" s="3">
        <f>COUNTIF(PickedPlayers!F:F,G4)</f>
        <v>3</v>
      </c>
      <c r="J4" s="3" t="s">
        <v>75</v>
      </c>
      <c r="K4" s="3">
        <f>COUNTIF(PickedPlayers!F:F,J4)</f>
        <v>0</v>
      </c>
      <c r="M4" s="3" t="s">
        <v>2668</v>
      </c>
      <c r="N4" s="3">
        <f>COUNTIF(PickedPlayers!G:G,M4)</f>
        <v>43</v>
      </c>
    </row>
    <row r="5" spans="1:14" x14ac:dyDescent="0.25">
      <c r="A5" s="3" t="s">
        <v>2689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2669</v>
      </c>
      <c r="N5" s="3">
        <f>COUNTIF(PickedPlayers!G:G,M5)</f>
        <v>37</v>
      </c>
    </row>
    <row r="6" spans="1:14" x14ac:dyDescent="0.25">
      <c r="A6" s="3" t="s">
        <v>2826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2688</v>
      </c>
      <c r="K6" s="3">
        <f>COUNTIF(PickedPlayers!F:F,J6)</f>
        <v>1</v>
      </c>
      <c r="M6" s="3" t="s">
        <v>2671</v>
      </c>
      <c r="N6" s="3">
        <f>COUNTIF(PickedPlayers!G:G,M6)</f>
        <v>40</v>
      </c>
    </row>
    <row r="8" spans="1:14" s="4" customFormat="1" x14ac:dyDescent="0.25">
      <c r="A8" s="4" t="s">
        <v>2827</v>
      </c>
      <c r="D8" s="4" t="s">
        <v>2828</v>
      </c>
      <c r="G8" s="4" t="s">
        <v>2829</v>
      </c>
      <c r="J8" s="4" t="s">
        <v>2830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16</v>
      </c>
    </row>
    <row r="10" spans="1:14" x14ac:dyDescent="0.25">
      <c r="A10" s="3" t="s">
        <v>2796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2691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1530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2734</v>
      </c>
      <c r="K12" s="3">
        <f>COUNTIF(PickedPlayers!F:F,J12)</f>
        <v>0</v>
      </c>
    </row>
    <row r="14" spans="1:14" s="4" customFormat="1" x14ac:dyDescent="0.25">
      <c r="A14" s="4" t="s">
        <v>2831</v>
      </c>
      <c r="D14" s="4" t="s">
        <v>2832</v>
      </c>
      <c r="G14" s="4" t="s">
        <v>2833</v>
      </c>
      <c r="J14" s="4" t="s">
        <v>2834</v>
      </c>
    </row>
    <row r="15" spans="1:14" x14ac:dyDescent="0.25">
      <c r="A15" s="3" t="s">
        <v>61</v>
      </c>
      <c r="B15" s="3">
        <f>COUNTIF(PickedPlayers!F:F,A15)</f>
        <v>12</v>
      </c>
      <c r="D15" s="3" t="s">
        <v>39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14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3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2802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ColWidth="8.85546875"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2835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2836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2837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2838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2839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2840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2841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2842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2843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2844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2845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2846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2847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2848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2849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2850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ColWidth="8.85546875"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2851</v>
      </c>
      <c r="B1" t="s">
        <v>2825</v>
      </c>
      <c r="C1" t="s">
        <v>2819</v>
      </c>
    </row>
    <row r="2" spans="1:6" x14ac:dyDescent="0.25">
      <c r="A2" s="3" t="s">
        <v>87</v>
      </c>
      <c r="B2" t="s">
        <v>2667</v>
      </c>
      <c r="C2" t="s">
        <v>550</v>
      </c>
      <c r="E2" t="s">
        <v>2681</v>
      </c>
      <c r="F2" t="s">
        <v>2681</v>
      </c>
    </row>
    <row r="3" spans="1:6" x14ac:dyDescent="0.25">
      <c r="A3" s="3" t="s">
        <v>39</v>
      </c>
      <c r="B3" t="s">
        <v>2668</v>
      </c>
      <c r="C3" t="s">
        <v>2416</v>
      </c>
      <c r="E3" t="s">
        <v>2685</v>
      </c>
      <c r="F3" t="s">
        <v>2685</v>
      </c>
    </row>
    <row r="4" spans="1:6" x14ac:dyDescent="0.25">
      <c r="A4" s="3" t="s">
        <v>45</v>
      </c>
      <c r="B4" t="s">
        <v>2669</v>
      </c>
      <c r="C4" t="s">
        <v>2643</v>
      </c>
      <c r="E4" t="s">
        <v>2684</v>
      </c>
      <c r="F4" t="s">
        <v>2684</v>
      </c>
    </row>
    <row r="5" spans="1:6" x14ac:dyDescent="0.25">
      <c r="A5" s="3" t="s">
        <v>88</v>
      </c>
      <c r="B5" t="s">
        <v>2671</v>
      </c>
      <c r="C5" t="s">
        <v>907</v>
      </c>
      <c r="E5" t="s">
        <v>2686</v>
      </c>
      <c r="F5" t="s">
        <v>2680</v>
      </c>
    </row>
    <row r="6" spans="1:6" x14ac:dyDescent="0.25">
      <c r="A6" s="3" t="s">
        <v>113</v>
      </c>
      <c r="C6" t="s">
        <v>1580</v>
      </c>
      <c r="E6" t="s">
        <v>2682</v>
      </c>
      <c r="F6" t="s">
        <v>2679</v>
      </c>
    </row>
    <row r="7" spans="1:6" x14ac:dyDescent="0.25">
      <c r="A7" s="3" t="s">
        <v>2777</v>
      </c>
      <c r="C7" t="s">
        <v>1808</v>
      </c>
      <c r="E7" t="s">
        <v>2687</v>
      </c>
    </row>
    <row r="8" spans="1:6" x14ac:dyDescent="0.25">
      <c r="A8" s="3" t="s">
        <v>78</v>
      </c>
      <c r="C8" t="s">
        <v>2375</v>
      </c>
      <c r="E8" t="s">
        <v>2683</v>
      </c>
    </row>
    <row r="9" spans="1:6" x14ac:dyDescent="0.25">
      <c r="A9" s="3" t="s">
        <v>83</v>
      </c>
      <c r="C9" t="s">
        <v>2663</v>
      </c>
      <c r="E9" t="s">
        <v>2679</v>
      </c>
    </row>
    <row r="10" spans="1:6" x14ac:dyDescent="0.25">
      <c r="A10" s="3" t="s">
        <v>2734</v>
      </c>
      <c r="C10" t="s">
        <v>1966</v>
      </c>
    </row>
    <row r="11" spans="1:6" x14ac:dyDescent="0.25">
      <c r="A11" s="3" t="s">
        <v>100</v>
      </c>
      <c r="C11" t="s">
        <v>2055</v>
      </c>
    </row>
    <row r="12" spans="1:6" x14ac:dyDescent="0.25">
      <c r="A12" s="3" t="s">
        <v>104</v>
      </c>
      <c r="C12" t="s">
        <v>2428</v>
      </c>
    </row>
    <row r="13" spans="1:6" x14ac:dyDescent="0.25">
      <c r="A13" s="3" t="s">
        <v>2796</v>
      </c>
      <c r="C13" t="s">
        <v>1447</v>
      </c>
    </row>
    <row r="14" spans="1:6" x14ac:dyDescent="0.25">
      <c r="A14" s="3" t="s">
        <v>152</v>
      </c>
      <c r="C14" t="s">
        <v>2485</v>
      </c>
    </row>
    <row r="15" spans="1:6" x14ac:dyDescent="0.25">
      <c r="A15" s="3" t="s">
        <v>2802</v>
      </c>
      <c r="C15" t="s">
        <v>2467</v>
      </c>
    </row>
    <row r="16" spans="1:6" x14ac:dyDescent="0.25">
      <c r="A16" s="3" t="s">
        <v>146</v>
      </c>
      <c r="C16" t="s">
        <v>644</v>
      </c>
    </row>
    <row r="17" spans="1:3" x14ac:dyDescent="0.25">
      <c r="A17" s="3" t="s">
        <v>46</v>
      </c>
      <c r="C17" t="s">
        <v>1529</v>
      </c>
    </row>
    <row r="18" spans="1:3" x14ac:dyDescent="0.25">
      <c r="A18" s="3" t="s">
        <v>109</v>
      </c>
      <c r="C18" t="s">
        <v>2444</v>
      </c>
    </row>
    <row r="19" spans="1:3" x14ac:dyDescent="0.25">
      <c r="A19" s="3" t="s">
        <v>61</v>
      </c>
      <c r="C19" t="s">
        <v>2354</v>
      </c>
    </row>
    <row r="20" spans="1:3" x14ac:dyDescent="0.25">
      <c r="A20" s="3" t="s">
        <v>74</v>
      </c>
      <c r="C20" t="s">
        <v>1463</v>
      </c>
    </row>
    <row r="21" spans="1:3" x14ac:dyDescent="0.25">
      <c r="A21" s="3" t="s">
        <v>105</v>
      </c>
      <c r="C21" t="s">
        <v>1212</v>
      </c>
    </row>
    <row r="22" spans="1:3" x14ac:dyDescent="0.25">
      <c r="A22" s="3" t="s">
        <v>159</v>
      </c>
      <c r="C22" t="s">
        <v>1787</v>
      </c>
    </row>
    <row r="23" spans="1:3" x14ac:dyDescent="0.25">
      <c r="A23" s="3" t="s">
        <v>1530</v>
      </c>
      <c r="C23" t="s">
        <v>586</v>
      </c>
    </row>
    <row r="24" spans="1:3" x14ac:dyDescent="0.25">
      <c r="A24" s="3" t="s">
        <v>127</v>
      </c>
      <c r="C24" t="s">
        <v>1066</v>
      </c>
    </row>
    <row r="25" spans="1:3" x14ac:dyDescent="0.25">
      <c r="A25" s="3" t="s">
        <v>2691</v>
      </c>
      <c r="C25" t="s">
        <v>2607</v>
      </c>
    </row>
    <row r="26" spans="1:3" x14ac:dyDescent="0.25">
      <c r="A26" s="3" t="s">
        <v>79</v>
      </c>
      <c r="C26" t="s">
        <v>1987</v>
      </c>
    </row>
    <row r="27" spans="1:3" x14ac:dyDescent="0.25">
      <c r="A27" s="3" t="s">
        <v>92</v>
      </c>
      <c r="C27" t="s">
        <v>2410</v>
      </c>
    </row>
    <row r="28" spans="1:3" x14ac:dyDescent="0.25">
      <c r="A28" s="3" t="s">
        <v>153</v>
      </c>
      <c r="C28" t="s">
        <v>642</v>
      </c>
    </row>
    <row r="29" spans="1:3" x14ac:dyDescent="0.25">
      <c r="A29" s="3" t="s">
        <v>70</v>
      </c>
      <c r="C29" t="s">
        <v>2035</v>
      </c>
    </row>
    <row r="30" spans="1:3" x14ac:dyDescent="0.25">
      <c r="A30" s="3" t="s">
        <v>69</v>
      </c>
      <c r="C30" t="s">
        <v>2414</v>
      </c>
    </row>
    <row r="31" spans="1:3" x14ac:dyDescent="0.25">
      <c r="A31" s="3" t="s">
        <v>112</v>
      </c>
      <c r="C31" t="s">
        <v>487</v>
      </c>
    </row>
    <row r="32" spans="1:3" x14ac:dyDescent="0.25">
      <c r="A32" s="3" t="s">
        <v>66</v>
      </c>
      <c r="C32" t="s">
        <v>788</v>
      </c>
    </row>
    <row r="33" spans="1:3" x14ac:dyDescent="0.25">
      <c r="A33" s="3" t="s">
        <v>108</v>
      </c>
      <c r="C33" t="s">
        <v>1214</v>
      </c>
    </row>
    <row r="34" spans="1:3" x14ac:dyDescent="0.25">
      <c r="A34" s="3" t="s">
        <v>75</v>
      </c>
      <c r="C34" t="s">
        <v>2214</v>
      </c>
    </row>
    <row r="35" spans="1:3" x14ac:dyDescent="0.25">
      <c r="A35" s="3" t="s">
        <v>101</v>
      </c>
      <c r="C35" t="s">
        <v>1804</v>
      </c>
    </row>
    <row r="36" spans="1:3" x14ac:dyDescent="0.25">
      <c r="A36" s="3" t="s">
        <v>162</v>
      </c>
      <c r="C36" t="s">
        <v>2356</v>
      </c>
    </row>
    <row r="37" spans="1:3" x14ac:dyDescent="0.25">
      <c r="A37" s="3" t="s">
        <v>119</v>
      </c>
      <c r="C37" t="s">
        <v>1800</v>
      </c>
    </row>
    <row r="38" spans="1:3" x14ac:dyDescent="0.25">
      <c r="A38" s="3" t="s">
        <v>156</v>
      </c>
      <c r="C38" t="s">
        <v>1457</v>
      </c>
    </row>
    <row r="39" spans="1:3" x14ac:dyDescent="0.25">
      <c r="A39" s="3" t="s">
        <v>126</v>
      </c>
      <c r="C39" t="s">
        <v>2651</v>
      </c>
    </row>
    <row r="40" spans="1:3" x14ac:dyDescent="0.25">
      <c r="A40" s="3" t="s">
        <v>82</v>
      </c>
      <c r="C40" t="s">
        <v>1740</v>
      </c>
    </row>
    <row r="41" spans="1:3" x14ac:dyDescent="0.25">
      <c r="A41" s="3" t="s">
        <v>2689</v>
      </c>
      <c r="C41" t="s">
        <v>1258</v>
      </c>
    </row>
    <row r="42" spans="1:3" x14ac:dyDescent="0.25">
      <c r="A42" s="3" t="s">
        <v>123</v>
      </c>
      <c r="C42" t="s">
        <v>2526</v>
      </c>
    </row>
    <row r="43" spans="1:3" x14ac:dyDescent="0.25">
      <c r="A43" s="3" t="s">
        <v>62</v>
      </c>
      <c r="C43" t="s">
        <v>2647</v>
      </c>
    </row>
    <row r="44" spans="1:3" x14ac:dyDescent="0.25">
      <c r="A44" s="3" t="s">
        <v>165</v>
      </c>
      <c r="C44" t="s">
        <v>806</v>
      </c>
    </row>
    <row r="45" spans="1:3" x14ac:dyDescent="0.25">
      <c r="A45" s="3" t="s">
        <v>139</v>
      </c>
      <c r="C45" t="s">
        <v>1989</v>
      </c>
    </row>
    <row r="46" spans="1:3" x14ac:dyDescent="0.25">
      <c r="A46" s="3" t="s">
        <v>2688</v>
      </c>
      <c r="C46" t="s">
        <v>969</v>
      </c>
    </row>
    <row r="47" spans="1:3" x14ac:dyDescent="0.25">
      <c r="A47" s="3" t="s">
        <v>2515</v>
      </c>
      <c r="C47" t="s">
        <v>1759</v>
      </c>
    </row>
    <row r="48" spans="1:3" x14ac:dyDescent="0.25">
      <c r="A48" s="3" t="s">
        <v>122</v>
      </c>
      <c r="C48" t="s">
        <v>1335</v>
      </c>
    </row>
    <row r="49" spans="1:3" x14ac:dyDescent="0.25">
      <c r="A49" s="3" t="s">
        <v>97</v>
      </c>
      <c r="C49" t="s">
        <v>584</v>
      </c>
    </row>
    <row r="50" spans="1:3" x14ac:dyDescent="0.25">
      <c r="C50" t="s">
        <v>434</v>
      </c>
    </row>
    <row r="51" spans="1:3" x14ac:dyDescent="0.25">
      <c r="C51" t="s">
        <v>2127</v>
      </c>
    </row>
    <row r="52" spans="1:3" x14ac:dyDescent="0.25">
      <c r="C52" t="s">
        <v>588</v>
      </c>
    </row>
    <row r="53" spans="1:3" x14ac:dyDescent="0.25">
      <c r="C53" t="s">
        <v>808</v>
      </c>
    </row>
    <row r="54" spans="1:3" x14ac:dyDescent="0.25">
      <c r="C54" t="s">
        <v>332</v>
      </c>
    </row>
    <row r="55" spans="1:3" x14ac:dyDescent="0.25">
      <c r="C55" t="s">
        <v>2133</v>
      </c>
    </row>
    <row r="56" spans="1:3" x14ac:dyDescent="0.25">
      <c r="C56" t="s">
        <v>1169</v>
      </c>
    </row>
    <row r="57" spans="1:3" x14ac:dyDescent="0.25">
      <c r="C57" t="s">
        <v>1570</v>
      </c>
    </row>
    <row r="58" spans="1:3" x14ac:dyDescent="0.25">
      <c r="C58" t="s">
        <v>662</v>
      </c>
    </row>
    <row r="59" spans="1:3" x14ac:dyDescent="0.25">
      <c r="C59" t="s">
        <v>503</v>
      </c>
    </row>
    <row r="60" spans="1:3" x14ac:dyDescent="0.25">
      <c r="C60" t="s">
        <v>1568</v>
      </c>
    </row>
    <row r="61" spans="1:3" x14ac:dyDescent="0.25">
      <c r="C61" t="s">
        <v>2397</v>
      </c>
    </row>
    <row r="62" spans="1:3" x14ac:dyDescent="0.25">
      <c r="C62" t="s">
        <v>880</v>
      </c>
    </row>
    <row r="63" spans="1:3" x14ac:dyDescent="0.25">
      <c r="C63" t="s">
        <v>884</v>
      </c>
    </row>
    <row r="64" spans="1:3" x14ac:dyDescent="0.25">
      <c r="C64" t="s">
        <v>2619</v>
      </c>
    </row>
    <row r="65" spans="3:3" x14ac:dyDescent="0.25">
      <c r="C65" t="s">
        <v>1062</v>
      </c>
    </row>
    <row r="66" spans="3:3" x14ac:dyDescent="0.25">
      <c r="C66" t="s">
        <v>1181</v>
      </c>
    </row>
    <row r="67" spans="3:3" x14ac:dyDescent="0.25">
      <c r="C67" t="s">
        <v>2001</v>
      </c>
    </row>
    <row r="68" spans="3:3" x14ac:dyDescent="0.25">
      <c r="C68" t="s">
        <v>666</v>
      </c>
    </row>
    <row r="69" spans="3:3" x14ac:dyDescent="0.25">
      <c r="C69" t="s">
        <v>420</v>
      </c>
    </row>
    <row r="70" spans="3:3" x14ac:dyDescent="0.25">
      <c r="C70" t="s">
        <v>2025</v>
      </c>
    </row>
    <row r="71" spans="3:3" x14ac:dyDescent="0.25">
      <c r="C71" t="s">
        <v>546</v>
      </c>
    </row>
    <row r="72" spans="3:3" x14ac:dyDescent="0.25">
      <c r="C72" t="s">
        <v>1101</v>
      </c>
    </row>
    <row r="73" spans="3:3" x14ac:dyDescent="0.25">
      <c r="C73" t="s">
        <v>993</v>
      </c>
    </row>
    <row r="74" spans="3:3" x14ac:dyDescent="0.25">
      <c r="C74" t="s">
        <v>804</v>
      </c>
    </row>
    <row r="75" spans="3:3" x14ac:dyDescent="0.25">
      <c r="C75" t="s">
        <v>2190</v>
      </c>
    </row>
    <row r="76" spans="3:3" x14ac:dyDescent="0.25">
      <c r="C76" t="s">
        <v>1280</v>
      </c>
    </row>
    <row r="77" spans="3:3" x14ac:dyDescent="0.25">
      <c r="C77" t="s">
        <v>2243</v>
      </c>
    </row>
    <row r="78" spans="3:3" x14ac:dyDescent="0.25">
      <c r="C78" t="s">
        <v>925</v>
      </c>
    </row>
    <row r="79" spans="3:3" x14ac:dyDescent="0.25">
      <c r="C79" t="s">
        <v>2637</v>
      </c>
    </row>
    <row r="80" spans="3:3" x14ac:dyDescent="0.25">
      <c r="C80" t="s">
        <v>1439</v>
      </c>
    </row>
    <row r="81" spans="3:3" x14ac:dyDescent="0.25">
      <c r="C81" t="s">
        <v>1970</v>
      </c>
    </row>
    <row r="82" spans="3:3" x14ac:dyDescent="0.25">
      <c r="C82" t="s">
        <v>1542</v>
      </c>
    </row>
    <row r="83" spans="3:3" x14ac:dyDescent="0.25">
      <c r="C83" t="s">
        <v>2617</v>
      </c>
    </row>
    <row r="84" spans="3:3" x14ac:dyDescent="0.25">
      <c r="C84" t="s">
        <v>1385</v>
      </c>
    </row>
    <row r="85" spans="3:3" x14ac:dyDescent="0.25">
      <c r="C85" t="s">
        <v>501</v>
      </c>
    </row>
    <row r="86" spans="3:3" x14ac:dyDescent="0.25">
      <c r="C86" t="s">
        <v>1083</v>
      </c>
    </row>
    <row r="87" spans="3:3" x14ac:dyDescent="0.25">
      <c r="C87" t="s">
        <v>2629</v>
      </c>
    </row>
    <row r="88" spans="3:3" x14ac:dyDescent="0.25">
      <c r="C88" t="s">
        <v>764</v>
      </c>
    </row>
    <row r="89" spans="3:3" x14ac:dyDescent="0.25">
      <c r="C89" t="s">
        <v>670</v>
      </c>
    </row>
    <row r="90" spans="3:3" x14ac:dyDescent="0.25">
      <c r="C90" t="s">
        <v>1413</v>
      </c>
    </row>
    <row r="91" spans="3:3" x14ac:dyDescent="0.25">
      <c r="C91" t="s">
        <v>1791</v>
      </c>
    </row>
    <row r="92" spans="3:3" x14ac:dyDescent="0.25">
      <c r="C92" t="s">
        <v>1858</v>
      </c>
    </row>
    <row r="93" spans="3:3" x14ac:dyDescent="0.25">
      <c r="C93" t="s">
        <v>1399</v>
      </c>
    </row>
    <row r="94" spans="3:3" x14ac:dyDescent="0.25">
      <c r="C94" t="s">
        <v>1481</v>
      </c>
    </row>
    <row r="95" spans="3:3" x14ac:dyDescent="0.25">
      <c r="C95" t="s">
        <v>696</v>
      </c>
    </row>
    <row r="96" spans="3:3" x14ac:dyDescent="0.25">
      <c r="C96" t="s">
        <v>1242</v>
      </c>
    </row>
    <row r="97" spans="3:3" x14ac:dyDescent="0.25">
      <c r="C97" t="s">
        <v>1993</v>
      </c>
    </row>
    <row r="98" spans="3:3" x14ac:dyDescent="0.25">
      <c r="C98" t="s">
        <v>1365</v>
      </c>
    </row>
    <row r="99" spans="3:3" x14ac:dyDescent="0.25">
      <c r="C99" t="s">
        <v>2147</v>
      </c>
    </row>
    <row r="100" spans="3:3" x14ac:dyDescent="0.25">
      <c r="C100" t="s">
        <v>1564</v>
      </c>
    </row>
    <row r="101" spans="3:3" x14ac:dyDescent="0.25">
      <c r="C101" t="s">
        <v>2137</v>
      </c>
    </row>
    <row r="102" spans="3:3" x14ac:dyDescent="0.25">
      <c r="C102" t="s">
        <v>456</v>
      </c>
    </row>
    <row r="103" spans="3:3" x14ac:dyDescent="0.25">
      <c r="C103" t="s">
        <v>2029</v>
      </c>
    </row>
    <row r="104" spans="3:3" x14ac:dyDescent="0.25">
      <c r="C104" t="s">
        <v>436</v>
      </c>
    </row>
    <row r="105" spans="3:3" x14ac:dyDescent="0.25">
      <c r="C105" t="s">
        <v>1880</v>
      </c>
    </row>
    <row r="106" spans="3:3" x14ac:dyDescent="0.25">
      <c r="C106" t="s">
        <v>773</v>
      </c>
    </row>
    <row r="107" spans="3:3" x14ac:dyDescent="0.25">
      <c r="C107" t="s">
        <v>1779</v>
      </c>
    </row>
    <row r="108" spans="3:3" x14ac:dyDescent="0.25">
      <c r="C108" t="s">
        <v>2047</v>
      </c>
    </row>
    <row r="109" spans="3:3" x14ac:dyDescent="0.25">
      <c r="C109" t="s">
        <v>1953</v>
      </c>
    </row>
    <row r="110" spans="3:3" x14ac:dyDescent="0.25">
      <c r="C110" t="s">
        <v>684</v>
      </c>
    </row>
    <row r="111" spans="3:3" x14ac:dyDescent="0.25">
      <c r="C111" t="s">
        <v>726</v>
      </c>
    </row>
    <row r="112" spans="3:3" x14ac:dyDescent="0.25">
      <c r="C112" t="s">
        <v>2192</v>
      </c>
    </row>
    <row r="113" spans="3:3" x14ac:dyDescent="0.25">
      <c r="C113" t="s">
        <v>1431</v>
      </c>
    </row>
    <row r="114" spans="3:3" x14ac:dyDescent="0.25">
      <c r="C114" t="s">
        <v>1616</v>
      </c>
    </row>
    <row r="115" spans="3:3" x14ac:dyDescent="0.25">
      <c r="C115" t="s">
        <v>1469</v>
      </c>
    </row>
    <row r="116" spans="3:3" x14ac:dyDescent="0.25">
      <c r="C116" t="s">
        <v>1159</v>
      </c>
    </row>
    <row r="117" spans="3:3" x14ac:dyDescent="0.25">
      <c r="C117" t="s">
        <v>1948</v>
      </c>
    </row>
    <row r="118" spans="3:3" x14ac:dyDescent="0.25">
      <c r="C118" t="s">
        <v>1401</v>
      </c>
    </row>
    <row r="119" spans="3:3" x14ac:dyDescent="0.25">
      <c r="C119" t="s">
        <v>1762</v>
      </c>
    </row>
    <row r="120" spans="3:3" x14ac:dyDescent="0.25">
      <c r="C120" t="s">
        <v>1636</v>
      </c>
    </row>
    <row r="121" spans="3:3" x14ac:dyDescent="0.25">
      <c r="C121" t="s">
        <v>412</v>
      </c>
    </row>
    <row r="122" spans="3:3" x14ac:dyDescent="0.25">
      <c r="C122" t="s">
        <v>743</v>
      </c>
    </row>
    <row r="123" spans="3:3" x14ac:dyDescent="0.25">
      <c r="C123" t="s">
        <v>2531</v>
      </c>
    </row>
    <row r="124" spans="3:3" x14ac:dyDescent="0.25">
      <c r="C124" t="s">
        <v>1001</v>
      </c>
    </row>
    <row r="125" spans="3:3" x14ac:dyDescent="0.25">
      <c r="C125" t="s">
        <v>987</v>
      </c>
    </row>
    <row r="126" spans="3:3" x14ac:dyDescent="0.25">
      <c r="C126" t="s">
        <v>1650</v>
      </c>
    </row>
    <row r="127" spans="3:3" x14ac:dyDescent="0.25">
      <c r="C127" t="s">
        <v>1264</v>
      </c>
    </row>
    <row r="128" spans="3:3" x14ac:dyDescent="0.25">
      <c r="C128" t="s">
        <v>1751</v>
      </c>
    </row>
    <row r="129" spans="3:3" x14ac:dyDescent="0.25">
      <c r="C129" t="s">
        <v>979</v>
      </c>
    </row>
    <row r="130" spans="3:3" x14ac:dyDescent="0.25">
      <c r="C130" t="s">
        <v>756</v>
      </c>
    </row>
    <row r="131" spans="3:3" x14ac:dyDescent="0.25">
      <c r="C131" t="s">
        <v>1538</v>
      </c>
    </row>
    <row r="132" spans="3:3" x14ac:dyDescent="0.25">
      <c r="C132" t="s">
        <v>2560</v>
      </c>
    </row>
    <row r="133" spans="3:3" x14ac:dyDescent="0.25">
      <c r="C133" t="s">
        <v>1660</v>
      </c>
    </row>
    <row r="134" spans="3:3" x14ac:dyDescent="0.25">
      <c r="C134" t="s">
        <v>1664</v>
      </c>
    </row>
    <row r="135" spans="3:3" x14ac:dyDescent="0.25">
      <c r="C135" t="s">
        <v>2086</v>
      </c>
    </row>
    <row r="136" spans="3:3" x14ac:dyDescent="0.25">
      <c r="C136" t="s">
        <v>2107</v>
      </c>
    </row>
    <row r="137" spans="3:3" x14ac:dyDescent="0.25">
      <c r="C137" t="s">
        <v>2122</v>
      </c>
    </row>
    <row r="138" spans="3:3" x14ac:dyDescent="0.25">
      <c r="C138" t="s">
        <v>2120</v>
      </c>
    </row>
    <row r="139" spans="3:3" x14ac:dyDescent="0.25">
      <c r="C139" t="s">
        <v>2094</v>
      </c>
    </row>
    <row r="140" spans="3:3" x14ac:dyDescent="0.25">
      <c r="C140" t="s">
        <v>2101</v>
      </c>
    </row>
    <row r="141" spans="3:3" x14ac:dyDescent="0.25">
      <c r="C141" t="s">
        <v>2091</v>
      </c>
    </row>
    <row r="142" spans="3:3" x14ac:dyDescent="0.25">
      <c r="C142" t="s">
        <v>1582</v>
      </c>
    </row>
    <row r="143" spans="3:3" x14ac:dyDescent="0.25">
      <c r="C143" t="s">
        <v>2090</v>
      </c>
    </row>
    <row r="144" spans="3:3" x14ac:dyDescent="0.25">
      <c r="C144" t="s">
        <v>1288</v>
      </c>
    </row>
    <row r="145" spans="3:3" x14ac:dyDescent="0.25">
      <c r="C145" t="s">
        <v>1585</v>
      </c>
    </row>
    <row r="146" spans="3:3" x14ac:dyDescent="0.25">
      <c r="C146" t="s">
        <v>1607</v>
      </c>
    </row>
    <row r="147" spans="3:3" x14ac:dyDescent="0.25">
      <c r="C147" t="s">
        <v>2116</v>
      </c>
    </row>
    <row r="148" spans="3:3" x14ac:dyDescent="0.25">
      <c r="C148" t="s">
        <v>1594</v>
      </c>
    </row>
    <row r="149" spans="3:3" x14ac:dyDescent="0.25">
      <c r="C149" t="s">
        <v>1590</v>
      </c>
    </row>
    <row r="150" spans="3:3" x14ac:dyDescent="0.25">
      <c r="C150" t="s">
        <v>2099</v>
      </c>
    </row>
    <row r="151" spans="3:3" x14ac:dyDescent="0.25">
      <c r="C151" t="s">
        <v>2084</v>
      </c>
    </row>
    <row r="152" spans="3:3" x14ac:dyDescent="0.25">
      <c r="C152" t="s">
        <v>2115</v>
      </c>
    </row>
    <row r="153" spans="3:3" x14ac:dyDescent="0.25">
      <c r="C153" t="s">
        <v>398</v>
      </c>
    </row>
    <row r="154" spans="3:3" x14ac:dyDescent="0.25">
      <c r="C154" t="s">
        <v>2296</v>
      </c>
    </row>
    <row r="155" spans="3:3" x14ac:dyDescent="0.25">
      <c r="C155" t="s">
        <v>422</v>
      </c>
    </row>
    <row r="156" spans="3:3" x14ac:dyDescent="0.25">
      <c r="C156" t="s">
        <v>1603</v>
      </c>
    </row>
    <row r="157" spans="3:3" x14ac:dyDescent="0.25">
      <c r="C157" t="s">
        <v>1683</v>
      </c>
    </row>
    <row r="158" spans="3:3" x14ac:dyDescent="0.25">
      <c r="C158" t="s">
        <v>1604</v>
      </c>
    </row>
    <row r="159" spans="3:3" x14ac:dyDescent="0.25">
      <c r="C159" t="s">
        <v>2105</v>
      </c>
    </row>
    <row r="160" spans="3:3" x14ac:dyDescent="0.25">
      <c r="C160" t="s">
        <v>2103</v>
      </c>
    </row>
    <row r="161" spans="3:3" x14ac:dyDescent="0.25">
      <c r="C161" t="s">
        <v>1680</v>
      </c>
    </row>
    <row r="162" spans="3:3" x14ac:dyDescent="0.25">
      <c r="C162" t="s">
        <v>1602</v>
      </c>
    </row>
    <row r="163" spans="3:3" x14ac:dyDescent="0.25">
      <c r="C163" t="s">
        <v>372</v>
      </c>
    </row>
    <row r="164" spans="3:3" x14ac:dyDescent="0.25">
      <c r="C164" t="s">
        <v>2096</v>
      </c>
    </row>
    <row r="165" spans="3:3" x14ac:dyDescent="0.25">
      <c r="C165" t="s">
        <v>1670</v>
      </c>
    </row>
    <row r="166" spans="3:3" x14ac:dyDescent="0.25">
      <c r="C166" t="s">
        <v>1597</v>
      </c>
    </row>
    <row r="167" spans="3:3" x14ac:dyDescent="0.25">
      <c r="C167" t="s">
        <v>1671</v>
      </c>
    </row>
    <row r="168" spans="3:3" x14ac:dyDescent="0.25">
      <c r="C168" t="s">
        <v>2087</v>
      </c>
    </row>
    <row r="169" spans="3:3" x14ac:dyDescent="0.25">
      <c r="C169" t="s">
        <v>1606</v>
      </c>
    </row>
    <row r="170" spans="3:3" x14ac:dyDescent="0.25">
      <c r="C170" t="s">
        <v>378</v>
      </c>
    </row>
    <row r="171" spans="3:3" x14ac:dyDescent="0.25">
      <c r="C171" t="s">
        <v>2085</v>
      </c>
    </row>
    <row r="172" spans="3:3" x14ac:dyDescent="0.25">
      <c r="C172" t="s">
        <v>2552</v>
      </c>
    </row>
    <row r="173" spans="3:3" x14ac:dyDescent="0.25">
      <c r="C173" t="s">
        <v>1427</v>
      </c>
    </row>
    <row r="174" spans="3:3" x14ac:dyDescent="0.25">
      <c r="C174" t="s">
        <v>479</v>
      </c>
    </row>
    <row r="175" spans="3:3" x14ac:dyDescent="0.25">
      <c r="C175" t="s">
        <v>1849</v>
      </c>
    </row>
    <row r="176" spans="3:3" x14ac:dyDescent="0.25">
      <c r="C176" t="s">
        <v>1015</v>
      </c>
    </row>
    <row r="177" spans="3:3" x14ac:dyDescent="0.25">
      <c r="C177" t="s">
        <v>2253</v>
      </c>
    </row>
    <row r="178" spans="3:3" x14ac:dyDescent="0.25">
      <c r="C178" t="s">
        <v>428</v>
      </c>
    </row>
    <row r="179" spans="3:3" x14ac:dyDescent="0.25">
      <c r="C179" t="s">
        <v>2218</v>
      </c>
    </row>
    <row r="180" spans="3:3" x14ac:dyDescent="0.25">
      <c r="C180" t="s">
        <v>1793</v>
      </c>
    </row>
    <row r="181" spans="3:3" x14ac:dyDescent="0.25">
      <c r="C181" t="s">
        <v>2401</v>
      </c>
    </row>
    <row r="182" spans="3:3" x14ac:dyDescent="0.25">
      <c r="C182" t="s">
        <v>2615</v>
      </c>
    </row>
    <row r="183" spans="3:3" x14ac:dyDescent="0.25">
      <c r="C183" t="s">
        <v>2176</v>
      </c>
    </row>
    <row r="184" spans="3:3" x14ac:dyDescent="0.25">
      <c r="C184" t="s">
        <v>1746</v>
      </c>
    </row>
    <row r="185" spans="3:3" x14ac:dyDescent="0.25">
      <c r="C185" t="s">
        <v>2625</v>
      </c>
    </row>
    <row r="186" spans="3:3" x14ac:dyDescent="0.25">
      <c r="C186" t="s">
        <v>1119</v>
      </c>
    </row>
    <row r="187" spans="3:3" x14ac:dyDescent="0.25">
      <c r="C187" t="s">
        <v>747</v>
      </c>
    </row>
    <row r="188" spans="3:3" x14ac:dyDescent="0.25">
      <c r="C188" t="s">
        <v>2208</v>
      </c>
    </row>
    <row r="189" spans="3:3" x14ac:dyDescent="0.25">
      <c r="C189" t="s">
        <v>2352</v>
      </c>
    </row>
    <row r="190" spans="3:3" x14ac:dyDescent="0.25">
      <c r="C190" t="s">
        <v>2037</v>
      </c>
    </row>
    <row r="191" spans="3:3" x14ac:dyDescent="0.25">
      <c r="C191" t="s">
        <v>1900</v>
      </c>
    </row>
    <row r="192" spans="3:3" x14ac:dyDescent="0.25">
      <c r="C192" t="s">
        <v>2611</v>
      </c>
    </row>
    <row r="193" spans="3:3" x14ac:dyDescent="0.25">
      <c r="C193" t="s">
        <v>318</v>
      </c>
    </row>
    <row r="194" spans="3:3" x14ac:dyDescent="0.25">
      <c r="C194" t="s">
        <v>1345</v>
      </c>
    </row>
    <row r="195" spans="3:3" x14ac:dyDescent="0.25">
      <c r="C195" t="s">
        <v>802</v>
      </c>
    </row>
    <row r="196" spans="3:3" x14ac:dyDescent="0.25">
      <c r="C196" t="s">
        <v>1465</v>
      </c>
    </row>
    <row r="197" spans="3:3" x14ac:dyDescent="0.25">
      <c r="C197" t="s">
        <v>1226</v>
      </c>
    </row>
    <row r="198" spans="3:3" x14ac:dyDescent="0.25">
      <c r="C198" t="s">
        <v>505</v>
      </c>
    </row>
    <row r="199" spans="3:3" x14ac:dyDescent="0.25">
      <c r="C199" t="s">
        <v>1896</v>
      </c>
    </row>
    <row r="200" spans="3:3" x14ac:dyDescent="0.25">
      <c r="C200" t="s">
        <v>2508</v>
      </c>
    </row>
    <row r="201" spans="3:3" x14ac:dyDescent="0.25">
      <c r="C201" t="s">
        <v>2338</v>
      </c>
    </row>
    <row r="202" spans="3:3" x14ac:dyDescent="0.25">
      <c r="C202" t="s">
        <v>1703</v>
      </c>
    </row>
    <row r="203" spans="3:3" x14ac:dyDescent="0.25">
      <c r="C203" t="s">
        <v>410</v>
      </c>
    </row>
    <row r="204" spans="3:3" x14ac:dyDescent="0.25">
      <c r="C204" t="s">
        <v>2308</v>
      </c>
    </row>
    <row r="205" spans="3:3" x14ac:dyDescent="0.25">
      <c r="C205" t="s">
        <v>2080</v>
      </c>
    </row>
    <row r="206" spans="3:3" x14ac:dyDescent="0.25">
      <c r="C206" t="s">
        <v>833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1714</v>
      </c>
    </row>
    <row r="210" spans="3:3" x14ac:dyDescent="0.25">
      <c r="C210" t="s">
        <v>2168</v>
      </c>
    </row>
    <row r="211" spans="3:3" x14ac:dyDescent="0.25">
      <c r="C211" t="s">
        <v>1483</v>
      </c>
    </row>
    <row r="212" spans="3:3" x14ac:dyDescent="0.25">
      <c r="C212" t="s">
        <v>1023</v>
      </c>
    </row>
    <row r="213" spans="3:3" x14ac:dyDescent="0.25">
      <c r="C213" t="s">
        <v>1961</v>
      </c>
    </row>
    <row r="214" spans="3:3" x14ac:dyDescent="0.25">
      <c r="C214" t="s">
        <v>1473</v>
      </c>
    </row>
    <row r="215" spans="3:3" x14ac:dyDescent="0.25">
      <c r="C215" t="s">
        <v>2517</v>
      </c>
    </row>
    <row r="216" spans="3:3" x14ac:dyDescent="0.25">
      <c r="C216" t="s">
        <v>652</v>
      </c>
    </row>
    <row r="217" spans="3:3" x14ac:dyDescent="0.25">
      <c r="C217" t="s">
        <v>724</v>
      </c>
    </row>
    <row r="218" spans="3:3" x14ac:dyDescent="0.25">
      <c r="C218" t="s">
        <v>767</v>
      </c>
    </row>
    <row r="219" spans="3:3" x14ac:dyDescent="0.25">
      <c r="C219" t="s">
        <v>660</v>
      </c>
    </row>
    <row r="220" spans="3:3" x14ac:dyDescent="0.25">
      <c r="C220" t="s">
        <v>1870</v>
      </c>
    </row>
    <row r="221" spans="3:3" x14ac:dyDescent="0.25">
      <c r="C221" t="s">
        <v>2387</v>
      </c>
    </row>
    <row r="222" spans="3:3" x14ac:dyDescent="0.25">
      <c r="C222" t="s">
        <v>404</v>
      </c>
    </row>
    <row r="223" spans="3:3" x14ac:dyDescent="0.25">
      <c r="C223" t="s">
        <v>2129</v>
      </c>
    </row>
    <row r="224" spans="3:3" x14ac:dyDescent="0.25">
      <c r="C224" t="s">
        <v>1985</v>
      </c>
    </row>
    <row r="225" spans="3:3" x14ac:dyDescent="0.25">
      <c r="C225" t="s">
        <v>971</v>
      </c>
    </row>
    <row r="226" spans="3:3" x14ac:dyDescent="0.25">
      <c r="C226" t="s">
        <v>1738</v>
      </c>
    </row>
    <row r="227" spans="3:3" x14ac:dyDescent="0.25">
      <c r="C227" t="s">
        <v>1210</v>
      </c>
    </row>
    <row r="228" spans="3:3" x14ac:dyDescent="0.25">
      <c r="C228" t="s">
        <v>2406</v>
      </c>
    </row>
    <row r="229" spans="3:3" x14ac:dyDescent="0.25">
      <c r="C229" t="s">
        <v>909</v>
      </c>
    </row>
    <row r="230" spans="3:3" x14ac:dyDescent="0.25">
      <c r="C230" t="s">
        <v>1980</v>
      </c>
    </row>
    <row r="231" spans="3:3" x14ac:dyDescent="0.25">
      <c r="C231" t="s">
        <v>985</v>
      </c>
    </row>
    <row r="232" spans="3:3" x14ac:dyDescent="0.25">
      <c r="C232" t="s">
        <v>1884</v>
      </c>
    </row>
    <row r="233" spans="3:3" x14ac:dyDescent="0.25">
      <c r="C233" t="s">
        <v>658</v>
      </c>
    </row>
    <row r="234" spans="3:3" x14ac:dyDescent="0.25">
      <c r="C234" t="s">
        <v>1720</v>
      </c>
    </row>
    <row r="235" spans="3:3" x14ac:dyDescent="0.25">
      <c r="C235" t="s">
        <v>2216</v>
      </c>
    </row>
    <row r="236" spans="3:3" x14ac:dyDescent="0.25">
      <c r="C236" t="s">
        <v>1187</v>
      </c>
    </row>
    <row r="237" spans="3:3" x14ac:dyDescent="0.25">
      <c r="C237" t="s">
        <v>1005</v>
      </c>
    </row>
    <row r="238" spans="3:3" x14ac:dyDescent="0.25">
      <c r="C238" t="s">
        <v>386</v>
      </c>
    </row>
    <row r="239" spans="3:3" x14ac:dyDescent="0.25">
      <c r="C239" t="s">
        <v>1767</v>
      </c>
    </row>
    <row r="240" spans="3:3" x14ac:dyDescent="0.25">
      <c r="C240" t="s">
        <v>2524</v>
      </c>
    </row>
    <row r="241" spans="3:3" x14ac:dyDescent="0.25">
      <c r="C241" t="s">
        <v>2543</v>
      </c>
    </row>
    <row r="242" spans="3:3" x14ac:dyDescent="0.25">
      <c r="C242" t="s">
        <v>444</v>
      </c>
    </row>
    <row r="243" spans="3:3" x14ac:dyDescent="0.25">
      <c r="C243" t="s">
        <v>1499</v>
      </c>
    </row>
    <row r="244" spans="3:3" x14ac:dyDescent="0.25">
      <c r="C244" t="s">
        <v>1959</v>
      </c>
    </row>
    <row r="245" spans="3:3" x14ac:dyDescent="0.25">
      <c r="C245" t="s">
        <v>2477</v>
      </c>
    </row>
    <row r="246" spans="3:3" x14ac:dyDescent="0.25">
      <c r="C246" t="s">
        <v>2326</v>
      </c>
    </row>
    <row r="247" spans="3:3" x14ac:dyDescent="0.25">
      <c r="C247" t="s">
        <v>1852</v>
      </c>
    </row>
    <row r="248" spans="3:3" x14ac:dyDescent="0.25">
      <c r="C248" t="s">
        <v>1798</v>
      </c>
    </row>
    <row r="249" spans="3:3" x14ac:dyDescent="0.25">
      <c r="C249" t="s">
        <v>2498</v>
      </c>
    </row>
    <row r="250" spans="3:3" x14ac:dyDescent="0.25">
      <c r="C250" t="s">
        <v>927</v>
      </c>
    </row>
    <row r="251" spans="3:3" x14ac:dyDescent="0.25">
      <c r="C251" t="s">
        <v>664</v>
      </c>
    </row>
    <row r="252" spans="3:3" x14ac:dyDescent="0.25">
      <c r="C252" t="s">
        <v>2003</v>
      </c>
    </row>
    <row r="253" spans="3:3" x14ac:dyDescent="0.25">
      <c r="C253" t="s">
        <v>1894</v>
      </c>
    </row>
    <row r="254" spans="3:3" x14ac:dyDescent="0.25">
      <c r="C254" t="s">
        <v>1997</v>
      </c>
    </row>
    <row r="255" spans="3:3" x14ac:dyDescent="0.25">
      <c r="C255" t="s">
        <v>1449</v>
      </c>
    </row>
    <row r="256" spans="3:3" x14ac:dyDescent="0.25">
      <c r="C256" t="s">
        <v>837</v>
      </c>
    </row>
    <row r="257" spans="3:3" x14ac:dyDescent="0.25">
      <c r="C257" t="s">
        <v>1705</v>
      </c>
    </row>
    <row r="258" spans="3:3" x14ac:dyDescent="0.25">
      <c r="C258" t="s">
        <v>1690</v>
      </c>
    </row>
    <row r="259" spans="3:3" x14ac:dyDescent="0.25">
      <c r="C259" t="s">
        <v>848</v>
      </c>
    </row>
    <row r="260" spans="3:3" x14ac:dyDescent="0.25">
      <c r="C260" t="s">
        <v>296</v>
      </c>
    </row>
    <row r="261" spans="3:3" x14ac:dyDescent="0.25">
      <c r="C261" t="s">
        <v>690</v>
      </c>
    </row>
    <row r="262" spans="3:3" x14ac:dyDescent="0.25">
      <c r="C262" t="s">
        <v>702</v>
      </c>
    </row>
    <row r="263" spans="3:3" x14ac:dyDescent="0.25">
      <c r="C263" t="s">
        <v>991</v>
      </c>
    </row>
    <row r="264" spans="3:3" x14ac:dyDescent="0.25">
      <c r="C264" t="s">
        <v>2039</v>
      </c>
    </row>
    <row r="265" spans="3:3" x14ac:dyDescent="0.25">
      <c r="C265" t="s">
        <v>2432</v>
      </c>
    </row>
    <row r="266" spans="3:3" x14ac:dyDescent="0.25">
      <c r="C266" t="s">
        <v>1313</v>
      </c>
    </row>
    <row r="267" spans="3:3" x14ac:dyDescent="0.25">
      <c r="C267" t="s">
        <v>812</v>
      </c>
    </row>
    <row r="268" spans="3:3" x14ac:dyDescent="0.25">
      <c r="C268" t="s">
        <v>1040</v>
      </c>
    </row>
    <row r="269" spans="3:3" x14ac:dyDescent="0.25">
      <c r="C269" t="s">
        <v>1254</v>
      </c>
    </row>
    <row r="270" spans="3:3" x14ac:dyDescent="0.25">
      <c r="C270" t="s">
        <v>882</v>
      </c>
    </row>
    <row r="271" spans="3:3" x14ac:dyDescent="0.25">
      <c r="C271" t="s">
        <v>1578</v>
      </c>
    </row>
    <row r="272" spans="3:3" x14ac:dyDescent="0.25">
      <c r="C272" t="s">
        <v>1151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1550</v>
      </c>
    </row>
    <row r="276" spans="3:3" x14ac:dyDescent="0.25">
      <c r="C276" t="s">
        <v>1511</v>
      </c>
    </row>
    <row r="277" spans="3:3" x14ac:dyDescent="0.25">
      <c r="C277" t="s">
        <v>1095</v>
      </c>
    </row>
    <row r="278" spans="3:3" x14ac:dyDescent="0.25">
      <c r="C278" t="s">
        <v>2027</v>
      </c>
    </row>
    <row r="279" spans="3:3" x14ac:dyDescent="0.25">
      <c r="C279" t="s">
        <v>2506</v>
      </c>
    </row>
    <row r="280" spans="3:3" x14ac:dyDescent="0.25">
      <c r="C280" t="s">
        <v>790</v>
      </c>
    </row>
    <row r="281" spans="3:3" x14ac:dyDescent="0.25">
      <c r="C281" t="s">
        <v>1310</v>
      </c>
    </row>
    <row r="282" spans="3:3" x14ac:dyDescent="0.25">
      <c r="C282" t="s">
        <v>2139</v>
      </c>
    </row>
    <row r="283" spans="3:3" x14ac:dyDescent="0.25">
      <c r="C283" t="s">
        <v>1501</v>
      </c>
    </row>
    <row r="284" spans="3:3" x14ac:dyDescent="0.25">
      <c r="C284" t="s">
        <v>1143</v>
      </c>
    </row>
    <row r="285" spans="3:3" x14ac:dyDescent="0.25">
      <c r="C285" t="s">
        <v>1634</v>
      </c>
    </row>
    <row r="286" spans="3:3" x14ac:dyDescent="0.25">
      <c r="C286" t="s">
        <v>2639</v>
      </c>
    </row>
    <row r="287" spans="3:3" x14ac:dyDescent="0.25">
      <c r="C287" t="s">
        <v>1026</v>
      </c>
    </row>
    <row r="288" spans="3:3" x14ac:dyDescent="0.25">
      <c r="C288" t="s">
        <v>1489</v>
      </c>
    </row>
    <row r="289" spans="3:3" x14ac:dyDescent="0.25">
      <c r="C289" t="s">
        <v>525</v>
      </c>
    </row>
    <row r="290" spans="3:3" x14ac:dyDescent="0.25">
      <c r="C290" t="s">
        <v>1441</v>
      </c>
    </row>
    <row r="291" spans="3:3" x14ac:dyDescent="0.25">
      <c r="C291" t="s">
        <v>775</v>
      </c>
    </row>
    <row r="292" spans="3:3" x14ac:dyDescent="0.25">
      <c r="C292" t="s">
        <v>938</v>
      </c>
    </row>
    <row r="293" spans="3:3" x14ac:dyDescent="0.25">
      <c r="C293" t="s">
        <v>1652</v>
      </c>
    </row>
    <row r="294" spans="3:3" x14ac:dyDescent="0.25">
      <c r="C294" t="s">
        <v>1846</v>
      </c>
    </row>
    <row r="295" spans="3:3" x14ac:dyDescent="0.25">
      <c r="C295" t="s">
        <v>1920</v>
      </c>
    </row>
    <row r="296" spans="3:3" x14ac:dyDescent="0.25">
      <c r="C296" t="s">
        <v>770</v>
      </c>
    </row>
    <row r="297" spans="3:3" x14ac:dyDescent="0.25">
      <c r="C297" t="s">
        <v>523</v>
      </c>
    </row>
    <row r="298" spans="3:3" x14ac:dyDescent="0.25">
      <c r="C298" t="s">
        <v>1515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923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942</v>
      </c>
    </row>
    <row r="305" spans="3:3" x14ac:dyDescent="0.25">
      <c r="C305" t="s">
        <v>1505</v>
      </c>
    </row>
    <row r="306" spans="3:3" x14ac:dyDescent="0.25">
      <c r="C306" t="s">
        <v>2383</v>
      </c>
    </row>
    <row r="307" spans="3:3" x14ac:dyDescent="0.25">
      <c r="C307" t="s">
        <v>1318</v>
      </c>
    </row>
    <row r="308" spans="3:3" x14ac:dyDescent="0.25">
      <c r="C308" t="s">
        <v>874</v>
      </c>
    </row>
    <row r="309" spans="3:3" x14ac:dyDescent="0.25">
      <c r="C309" t="s">
        <v>2318</v>
      </c>
    </row>
    <row r="310" spans="3:3" x14ac:dyDescent="0.25">
      <c r="C310" t="s">
        <v>1423</v>
      </c>
    </row>
    <row r="311" spans="3:3" x14ac:dyDescent="0.25">
      <c r="C311" t="s">
        <v>467</v>
      </c>
    </row>
    <row r="312" spans="3:3" x14ac:dyDescent="0.25">
      <c r="C312" t="s">
        <v>1167</v>
      </c>
    </row>
    <row r="313" spans="3:3" x14ac:dyDescent="0.25">
      <c r="C313" t="s">
        <v>2381</v>
      </c>
    </row>
    <row r="314" spans="3:3" x14ac:dyDescent="0.25">
      <c r="C314" t="s">
        <v>1133</v>
      </c>
    </row>
    <row r="315" spans="3:3" x14ac:dyDescent="0.25">
      <c r="C315" t="s">
        <v>866</v>
      </c>
    </row>
    <row r="316" spans="3:3" x14ac:dyDescent="0.25">
      <c r="C316" t="s">
        <v>519</v>
      </c>
    </row>
    <row r="317" spans="3:3" x14ac:dyDescent="0.25">
      <c r="C317" t="s">
        <v>531</v>
      </c>
    </row>
    <row r="318" spans="3:3" x14ac:dyDescent="0.25">
      <c r="C318" t="s">
        <v>838</v>
      </c>
    </row>
    <row r="319" spans="3:3" x14ac:dyDescent="0.25">
      <c r="C319" t="s">
        <v>529</v>
      </c>
    </row>
    <row r="320" spans="3:3" x14ac:dyDescent="0.25">
      <c r="C320" t="s">
        <v>864</v>
      </c>
    </row>
    <row r="321" spans="3:3" x14ac:dyDescent="0.25">
      <c r="C321" t="s">
        <v>852</v>
      </c>
    </row>
    <row r="322" spans="3:3" x14ac:dyDescent="0.25">
      <c r="C322" t="s">
        <v>465</v>
      </c>
    </row>
    <row r="323" spans="3:3" x14ac:dyDescent="0.25">
      <c r="C323" t="s">
        <v>2062</v>
      </c>
    </row>
    <row r="324" spans="3:3" x14ac:dyDescent="0.25">
      <c r="C324" t="s">
        <v>835</v>
      </c>
    </row>
    <row r="325" spans="3:3" x14ac:dyDescent="0.25">
      <c r="C325" t="s">
        <v>2434</v>
      </c>
    </row>
    <row r="326" spans="3:3" x14ac:dyDescent="0.25">
      <c r="C326" t="s">
        <v>1195</v>
      </c>
    </row>
    <row r="327" spans="3:3" x14ac:dyDescent="0.25">
      <c r="C327" t="s">
        <v>1728</v>
      </c>
    </row>
    <row r="328" spans="3:3" x14ac:dyDescent="0.25">
      <c r="C328" t="s">
        <v>396</v>
      </c>
    </row>
    <row r="329" spans="3:3" x14ac:dyDescent="0.25">
      <c r="C329" t="s">
        <v>820</v>
      </c>
    </row>
    <row r="330" spans="3:3" x14ac:dyDescent="0.25">
      <c r="C330" t="s">
        <v>2371</v>
      </c>
    </row>
    <row r="331" spans="3:3" x14ac:dyDescent="0.25">
      <c r="C331" t="s">
        <v>1963</v>
      </c>
    </row>
    <row r="332" spans="3:3" x14ac:dyDescent="0.25">
      <c r="C332" t="s">
        <v>822</v>
      </c>
    </row>
    <row r="333" spans="3:3" x14ac:dyDescent="0.25">
      <c r="C333" t="s">
        <v>2194</v>
      </c>
    </row>
    <row r="334" spans="3:3" x14ac:dyDescent="0.25">
      <c r="C334" t="s">
        <v>826</v>
      </c>
    </row>
    <row r="335" spans="3:3" x14ac:dyDescent="0.25">
      <c r="C335" t="s">
        <v>2481</v>
      </c>
    </row>
    <row r="336" spans="3:3" x14ac:dyDescent="0.25">
      <c r="C336" t="s">
        <v>1332</v>
      </c>
    </row>
    <row r="337" spans="3:3" x14ac:dyDescent="0.25">
      <c r="C337" t="s">
        <v>1972</v>
      </c>
    </row>
    <row r="338" spans="3:3" x14ac:dyDescent="0.25">
      <c r="C338" t="s">
        <v>328</v>
      </c>
    </row>
    <row r="339" spans="3:3" x14ac:dyDescent="0.25">
      <c r="C339" t="s">
        <v>1222</v>
      </c>
    </row>
    <row r="340" spans="3:3" x14ac:dyDescent="0.25">
      <c r="C340" t="s">
        <v>306</v>
      </c>
    </row>
    <row r="341" spans="3:3" x14ac:dyDescent="0.25">
      <c r="C341" t="s">
        <v>1540</v>
      </c>
    </row>
    <row r="342" spans="3:3" x14ac:dyDescent="0.25">
      <c r="C342" t="s">
        <v>1898</v>
      </c>
    </row>
    <row r="343" spans="3:3" x14ac:dyDescent="0.25">
      <c r="C343" t="s">
        <v>1009</v>
      </c>
    </row>
    <row r="344" spans="3:3" x14ac:dyDescent="0.25">
      <c r="C344" t="s">
        <v>442</v>
      </c>
    </row>
    <row r="345" spans="3:3" x14ac:dyDescent="0.25">
      <c r="C345" t="s">
        <v>1732</v>
      </c>
    </row>
    <row r="346" spans="3:3" x14ac:dyDescent="0.25">
      <c r="C346" t="s">
        <v>816</v>
      </c>
    </row>
    <row r="347" spans="3:3" x14ac:dyDescent="0.25">
      <c r="C347" t="s">
        <v>2277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2182</v>
      </c>
    </row>
    <row r="351" spans="3:3" x14ac:dyDescent="0.25">
      <c r="C351" t="s">
        <v>1199</v>
      </c>
    </row>
    <row r="352" spans="3:3" x14ac:dyDescent="0.25">
      <c r="C352" t="s">
        <v>1471</v>
      </c>
    </row>
    <row r="353" spans="3:3" x14ac:dyDescent="0.25">
      <c r="C353" t="s">
        <v>1455</v>
      </c>
    </row>
    <row r="354" spans="3:3" x14ac:dyDescent="0.25">
      <c r="C354" t="s">
        <v>610</v>
      </c>
    </row>
    <row r="355" spans="3:3" x14ac:dyDescent="0.25">
      <c r="C355" t="s">
        <v>1074</v>
      </c>
    </row>
    <row r="356" spans="3:3" x14ac:dyDescent="0.25">
      <c r="C356" t="s">
        <v>2448</v>
      </c>
    </row>
    <row r="357" spans="3:3" x14ac:dyDescent="0.25">
      <c r="C357" t="s">
        <v>1908</v>
      </c>
    </row>
    <row r="358" spans="3:3" x14ac:dyDescent="0.25">
      <c r="C358" t="s">
        <v>2659</v>
      </c>
    </row>
    <row r="359" spans="3:3" x14ac:dyDescent="0.25">
      <c r="C359" t="s">
        <v>2440</v>
      </c>
    </row>
    <row r="360" spans="3:3" x14ac:dyDescent="0.25">
      <c r="C360" t="s">
        <v>2330</v>
      </c>
    </row>
    <row r="361" spans="3:3" x14ac:dyDescent="0.25">
      <c r="C361" t="s">
        <v>2342</v>
      </c>
    </row>
    <row r="362" spans="3:3" x14ac:dyDescent="0.25">
      <c r="C362" t="s">
        <v>1276</v>
      </c>
    </row>
    <row r="363" spans="3:3" x14ac:dyDescent="0.25">
      <c r="C363" t="s">
        <v>1224</v>
      </c>
    </row>
    <row r="364" spans="3:3" x14ac:dyDescent="0.25">
      <c r="C364" t="s">
        <v>497</v>
      </c>
    </row>
    <row r="365" spans="3:3" x14ac:dyDescent="0.25">
      <c r="C365" t="s">
        <v>2093</v>
      </c>
    </row>
    <row r="366" spans="3:3" x14ac:dyDescent="0.25">
      <c r="C366" t="s">
        <v>1669</v>
      </c>
    </row>
    <row r="367" spans="3:3" x14ac:dyDescent="0.25">
      <c r="C367" t="s">
        <v>1283</v>
      </c>
    </row>
    <row r="368" spans="3:3" x14ac:dyDescent="0.25">
      <c r="C368" t="s">
        <v>1293</v>
      </c>
    </row>
    <row r="369" spans="3:3" x14ac:dyDescent="0.25">
      <c r="C369" t="s">
        <v>846</v>
      </c>
    </row>
    <row r="370" spans="3:3" x14ac:dyDescent="0.25">
      <c r="C370" t="s">
        <v>1708</v>
      </c>
    </row>
    <row r="371" spans="3:3" x14ac:dyDescent="0.25">
      <c r="C371" t="s">
        <v>2287</v>
      </c>
    </row>
    <row r="372" spans="3:3" x14ac:dyDescent="0.25">
      <c r="C372" t="s">
        <v>1944</v>
      </c>
    </row>
    <row r="373" spans="3:3" x14ac:dyDescent="0.25">
      <c r="C373" t="s">
        <v>2023</v>
      </c>
    </row>
    <row r="374" spans="3:3" x14ac:dyDescent="0.25">
      <c r="C374" t="s">
        <v>2562</v>
      </c>
    </row>
    <row r="375" spans="3:3" x14ac:dyDescent="0.25">
      <c r="C375" t="s">
        <v>1924</v>
      </c>
    </row>
    <row r="376" spans="3:3" x14ac:dyDescent="0.25">
      <c r="C376" t="s">
        <v>573</v>
      </c>
    </row>
    <row r="377" spans="3:3" x14ac:dyDescent="0.25">
      <c r="C377" t="s">
        <v>2454</v>
      </c>
    </row>
    <row r="378" spans="3:3" x14ac:dyDescent="0.25">
      <c r="C378" t="s">
        <v>2174</v>
      </c>
    </row>
    <row r="379" spans="3:3" x14ac:dyDescent="0.25">
      <c r="C379" t="s">
        <v>471</v>
      </c>
    </row>
    <row r="380" spans="3:3" x14ac:dyDescent="0.25">
      <c r="C380" t="s">
        <v>1864</v>
      </c>
    </row>
    <row r="381" spans="3:3" x14ac:dyDescent="0.25">
      <c r="C381" t="s">
        <v>1968</v>
      </c>
    </row>
    <row r="382" spans="3:3" x14ac:dyDescent="0.25">
      <c r="C382" t="s">
        <v>590</v>
      </c>
    </row>
    <row r="383" spans="3:3" x14ac:dyDescent="0.25">
      <c r="C383" t="s">
        <v>720</v>
      </c>
    </row>
    <row r="384" spans="3:3" x14ac:dyDescent="0.25">
      <c r="C384" t="s">
        <v>2479</v>
      </c>
    </row>
    <row r="385" spans="3:3" x14ac:dyDescent="0.25">
      <c r="C385" t="s">
        <v>1208</v>
      </c>
    </row>
    <row r="386" spans="3:3" x14ac:dyDescent="0.25">
      <c r="C386" t="s">
        <v>1013</v>
      </c>
    </row>
    <row r="387" spans="3:3" x14ac:dyDescent="0.25">
      <c r="C387" t="s">
        <v>604</v>
      </c>
    </row>
    <row r="388" spans="3:3" x14ac:dyDescent="0.25">
      <c r="C388" t="s">
        <v>2566</v>
      </c>
    </row>
    <row r="389" spans="3:3" x14ac:dyDescent="0.25">
      <c r="C389" t="s">
        <v>1409</v>
      </c>
    </row>
    <row r="390" spans="3:3" x14ac:dyDescent="0.25">
      <c r="C390" t="s">
        <v>2588</v>
      </c>
    </row>
    <row r="391" spans="3:3" x14ac:dyDescent="0.25">
      <c r="C391" t="s">
        <v>1521</v>
      </c>
    </row>
    <row r="392" spans="3:3" x14ac:dyDescent="0.25">
      <c r="C392" t="s">
        <v>2399</v>
      </c>
    </row>
    <row r="393" spans="3:3" x14ac:dyDescent="0.25">
      <c r="C393" t="s">
        <v>2627</v>
      </c>
    </row>
    <row r="394" spans="3:3" x14ac:dyDescent="0.25">
      <c r="C394" t="s">
        <v>1866</v>
      </c>
    </row>
    <row r="395" spans="3:3" x14ac:dyDescent="0.25">
      <c r="C395" t="s">
        <v>1236</v>
      </c>
    </row>
    <row r="396" spans="3:3" x14ac:dyDescent="0.25">
      <c r="C396" t="s">
        <v>388</v>
      </c>
    </row>
    <row r="397" spans="3:3" x14ac:dyDescent="0.25">
      <c r="C397" t="s">
        <v>2609</v>
      </c>
    </row>
    <row r="398" spans="3:3" x14ac:dyDescent="0.25">
      <c r="C398" t="s">
        <v>688</v>
      </c>
    </row>
    <row r="399" spans="3:3" x14ac:dyDescent="0.25">
      <c r="C399" t="s">
        <v>326</v>
      </c>
    </row>
    <row r="400" spans="3:3" x14ac:dyDescent="0.25">
      <c r="C400" t="s">
        <v>481</v>
      </c>
    </row>
    <row r="401" spans="3:3" x14ac:dyDescent="0.25">
      <c r="C401" t="s">
        <v>840</v>
      </c>
    </row>
    <row r="402" spans="3:3" x14ac:dyDescent="0.25">
      <c r="C402" t="s">
        <v>1581</v>
      </c>
    </row>
    <row r="403" spans="3:3" x14ac:dyDescent="0.25">
      <c r="C403" t="s">
        <v>2121</v>
      </c>
    </row>
    <row r="404" spans="3:3" x14ac:dyDescent="0.25">
      <c r="C404" t="s">
        <v>491</v>
      </c>
    </row>
    <row r="405" spans="3:3" x14ac:dyDescent="0.25">
      <c r="C405" t="s">
        <v>2072</v>
      </c>
    </row>
    <row r="406" spans="3:3" x14ac:dyDescent="0.25">
      <c r="C406" t="s">
        <v>1591</v>
      </c>
    </row>
    <row r="407" spans="3:3" x14ac:dyDescent="0.25">
      <c r="C407" t="s">
        <v>2045</v>
      </c>
    </row>
    <row r="408" spans="3:3" x14ac:dyDescent="0.25">
      <c r="C408" t="s">
        <v>2049</v>
      </c>
    </row>
    <row r="409" spans="3:3" x14ac:dyDescent="0.25">
      <c r="C409" t="s">
        <v>2600</v>
      </c>
    </row>
    <row r="410" spans="3:3" x14ac:dyDescent="0.25">
      <c r="C410" t="s">
        <v>1191</v>
      </c>
    </row>
    <row r="411" spans="3:3" x14ac:dyDescent="0.25">
      <c r="C411" t="s">
        <v>2021</v>
      </c>
    </row>
    <row r="412" spans="3:3" x14ac:dyDescent="0.25">
      <c r="C412" t="s">
        <v>2328</v>
      </c>
    </row>
    <row r="413" spans="3:3" x14ac:dyDescent="0.25">
      <c r="C413" t="s">
        <v>2141</v>
      </c>
    </row>
    <row r="414" spans="3:3" x14ac:dyDescent="0.25">
      <c r="C414" t="s">
        <v>2166</v>
      </c>
    </row>
    <row r="415" spans="3:3" x14ac:dyDescent="0.25">
      <c r="C415" t="s">
        <v>1007</v>
      </c>
    </row>
    <row r="416" spans="3:3" x14ac:dyDescent="0.25">
      <c r="C416" t="s">
        <v>989</v>
      </c>
    </row>
    <row r="417" spans="3:3" x14ac:dyDescent="0.25">
      <c r="C417" t="s">
        <v>1123</v>
      </c>
    </row>
    <row r="418" spans="3:3" x14ac:dyDescent="0.25">
      <c r="C418" t="s">
        <v>507</v>
      </c>
    </row>
    <row r="419" spans="3:3" x14ac:dyDescent="0.25">
      <c r="C419" t="s">
        <v>1189</v>
      </c>
    </row>
    <row r="420" spans="3:3" x14ac:dyDescent="0.25">
      <c r="C420" t="s">
        <v>2316</v>
      </c>
    </row>
    <row r="421" spans="3:3" x14ac:dyDescent="0.25">
      <c r="C421" t="s">
        <v>619</v>
      </c>
    </row>
    <row r="422" spans="3:3" x14ac:dyDescent="0.25">
      <c r="C422" t="s">
        <v>1753</v>
      </c>
    </row>
    <row r="423" spans="3:3" x14ac:dyDescent="0.25">
      <c r="C423" t="s">
        <v>1443</v>
      </c>
    </row>
    <row r="424" spans="3:3" x14ac:dyDescent="0.25">
      <c r="C424" t="s">
        <v>602</v>
      </c>
    </row>
    <row r="425" spans="3:3" x14ac:dyDescent="0.25">
      <c r="C425" t="s">
        <v>1734</v>
      </c>
    </row>
    <row r="426" spans="3:3" x14ac:dyDescent="0.25">
      <c r="C426" t="s">
        <v>2358</v>
      </c>
    </row>
    <row r="427" spans="3:3" x14ac:dyDescent="0.25">
      <c r="C427" t="s">
        <v>1712</v>
      </c>
    </row>
    <row r="428" spans="3:3" x14ac:dyDescent="0.25">
      <c r="C428" t="s">
        <v>2007</v>
      </c>
    </row>
    <row r="429" spans="3:3" x14ac:dyDescent="0.25">
      <c r="C429" t="s">
        <v>1270</v>
      </c>
    </row>
    <row r="430" spans="3:3" x14ac:dyDescent="0.25">
      <c r="C430" t="s">
        <v>946</v>
      </c>
    </row>
    <row r="431" spans="3:3" x14ac:dyDescent="0.25">
      <c r="C431" t="s">
        <v>2541</v>
      </c>
    </row>
    <row r="432" spans="3:3" x14ac:dyDescent="0.25">
      <c r="C432" t="s">
        <v>1099</v>
      </c>
    </row>
    <row r="433" spans="3:3" x14ac:dyDescent="0.25">
      <c r="C433" t="s">
        <v>597</v>
      </c>
    </row>
    <row r="434" spans="3:3" x14ac:dyDescent="0.25">
      <c r="C434" t="s">
        <v>630</v>
      </c>
    </row>
    <row r="435" spans="3:3" x14ac:dyDescent="0.25">
      <c r="C435" t="s">
        <v>1828</v>
      </c>
    </row>
    <row r="436" spans="3:3" x14ac:dyDescent="0.25">
      <c r="C436" t="s">
        <v>1232</v>
      </c>
    </row>
    <row r="437" spans="3:3" x14ac:dyDescent="0.25">
      <c r="C437" t="s">
        <v>2582</v>
      </c>
    </row>
    <row r="438" spans="3:3" x14ac:dyDescent="0.25">
      <c r="C438" t="s">
        <v>2011</v>
      </c>
    </row>
    <row r="439" spans="3:3" x14ac:dyDescent="0.25">
      <c r="C439" t="s">
        <v>2393</v>
      </c>
    </row>
    <row r="440" spans="3:3" x14ac:dyDescent="0.25">
      <c r="C440" t="s">
        <v>1806</v>
      </c>
    </row>
    <row r="441" spans="3:3" x14ac:dyDescent="0.25">
      <c r="C441" t="s">
        <v>314</v>
      </c>
    </row>
    <row r="442" spans="3:3" x14ac:dyDescent="0.25">
      <c r="C442" t="s">
        <v>842</v>
      </c>
    </row>
    <row r="443" spans="3:3" x14ac:dyDescent="0.25">
      <c r="C443" t="s">
        <v>869</v>
      </c>
    </row>
    <row r="444" spans="3:3" x14ac:dyDescent="0.25">
      <c r="C444" t="s">
        <v>2298</v>
      </c>
    </row>
    <row r="445" spans="3:3" x14ac:dyDescent="0.25">
      <c r="C445" t="s">
        <v>867</v>
      </c>
    </row>
    <row r="446" spans="3:3" x14ac:dyDescent="0.25">
      <c r="C446" t="s">
        <v>2070</v>
      </c>
    </row>
    <row r="447" spans="3:3" x14ac:dyDescent="0.25">
      <c r="C447" t="s">
        <v>2060</v>
      </c>
    </row>
    <row r="448" spans="3:3" x14ac:dyDescent="0.25">
      <c r="C448" t="s">
        <v>2067</v>
      </c>
    </row>
    <row r="449" spans="3:3" x14ac:dyDescent="0.25">
      <c r="C449" t="s">
        <v>569</v>
      </c>
    </row>
    <row r="450" spans="3:3" x14ac:dyDescent="0.25">
      <c r="C450" t="s">
        <v>577</v>
      </c>
    </row>
    <row r="451" spans="3:3" x14ac:dyDescent="0.25">
      <c r="C451" t="s">
        <v>2500</v>
      </c>
    </row>
    <row r="452" spans="3:3" x14ac:dyDescent="0.25">
      <c r="C452" t="s">
        <v>1495</v>
      </c>
    </row>
    <row r="453" spans="3:3" x14ac:dyDescent="0.25">
      <c r="C453" t="s">
        <v>2204</v>
      </c>
    </row>
    <row r="454" spans="3:3" x14ac:dyDescent="0.25">
      <c r="C454" t="s">
        <v>2322</v>
      </c>
    </row>
    <row r="455" spans="3:3" x14ac:dyDescent="0.25">
      <c r="C455" t="s">
        <v>1922</v>
      </c>
    </row>
    <row r="456" spans="3:3" x14ac:dyDescent="0.25">
      <c r="C456" t="s">
        <v>1230</v>
      </c>
    </row>
    <row r="457" spans="3:3" x14ac:dyDescent="0.25">
      <c r="C457" t="s">
        <v>1532</v>
      </c>
    </row>
    <row r="458" spans="3:3" x14ac:dyDescent="0.25">
      <c r="C458" t="s">
        <v>1620</v>
      </c>
    </row>
    <row r="459" spans="3:3" x14ac:dyDescent="0.25">
      <c r="C459" t="s">
        <v>2332</v>
      </c>
    </row>
    <row r="460" spans="3:3" x14ac:dyDescent="0.25">
      <c r="C460" t="s">
        <v>1552</v>
      </c>
    </row>
    <row r="461" spans="3:3" x14ac:dyDescent="0.25">
      <c r="C461" t="s">
        <v>278</v>
      </c>
    </row>
    <row r="462" spans="3:3" x14ac:dyDescent="0.25">
      <c r="C462" t="s">
        <v>2436</v>
      </c>
    </row>
    <row r="463" spans="3:3" x14ac:dyDescent="0.25">
      <c r="C463" t="s">
        <v>2452</v>
      </c>
    </row>
    <row r="464" spans="3:3" x14ac:dyDescent="0.25">
      <c r="C464" t="s">
        <v>2438</v>
      </c>
    </row>
    <row r="465" spans="3:3" x14ac:dyDescent="0.25">
      <c r="C465" t="s">
        <v>1163</v>
      </c>
    </row>
    <row r="466" spans="3:3" x14ac:dyDescent="0.25">
      <c r="C466" t="s">
        <v>648</v>
      </c>
    </row>
    <row r="467" spans="3:3" x14ac:dyDescent="0.25">
      <c r="C467" t="s">
        <v>824</v>
      </c>
    </row>
    <row r="468" spans="3:3" x14ac:dyDescent="0.25">
      <c r="C468" t="s">
        <v>758</v>
      </c>
    </row>
    <row r="469" spans="3:3" x14ac:dyDescent="0.25">
      <c r="C469" t="s">
        <v>2558</v>
      </c>
    </row>
    <row r="470" spans="3:3" x14ac:dyDescent="0.25">
      <c r="C470" t="s">
        <v>1301</v>
      </c>
    </row>
    <row r="471" spans="3:3" x14ac:dyDescent="0.25">
      <c r="C471" t="s">
        <v>1295</v>
      </c>
    </row>
    <row r="472" spans="3:3" x14ac:dyDescent="0.25">
      <c r="C472" t="s">
        <v>1302</v>
      </c>
    </row>
    <row r="473" spans="3:3" x14ac:dyDescent="0.25">
      <c r="C473" t="s">
        <v>2097</v>
      </c>
    </row>
    <row r="474" spans="3:3" x14ac:dyDescent="0.25">
      <c r="C474" t="s">
        <v>2109</v>
      </c>
    </row>
    <row r="475" spans="3:3" x14ac:dyDescent="0.25">
      <c r="C475" t="s">
        <v>2106</v>
      </c>
    </row>
    <row r="476" spans="3:3" x14ac:dyDescent="0.25">
      <c r="C476" t="s">
        <v>872</v>
      </c>
    </row>
    <row r="477" spans="3:3" x14ac:dyDescent="0.25">
      <c r="C477" t="s">
        <v>2078</v>
      </c>
    </row>
    <row r="478" spans="3:3" x14ac:dyDescent="0.25">
      <c r="C478" t="s">
        <v>1289</v>
      </c>
    </row>
    <row r="479" spans="3:3" x14ac:dyDescent="0.25">
      <c r="C479" t="s">
        <v>1666</v>
      </c>
    </row>
    <row r="480" spans="3:3" x14ac:dyDescent="0.25">
      <c r="C480" t="s">
        <v>1586</v>
      </c>
    </row>
    <row r="481" spans="3:3" x14ac:dyDescent="0.25">
      <c r="C481" t="s">
        <v>1707</v>
      </c>
    </row>
    <row r="482" spans="3:3" x14ac:dyDescent="0.25">
      <c r="C482" t="s">
        <v>1694</v>
      </c>
    </row>
    <row r="483" spans="3:3" x14ac:dyDescent="0.25">
      <c r="C483" t="s">
        <v>810</v>
      </c>
    </row>
    <row r="484" spans="3:3" x14ac:dyDescent="0.25">
      <c r="C484" t="s">
        <v>1995</v>
      </c>
    </row>
    <row r="485" spans="3:3" x14ac:dyDescent="0.25">
      <c r="C485" t="s">
        <v>1781</v>
      </c>
    </row>
    <row r="486" spans="3:3" x14ac:dyDescent="0.25">
      <c r="C486" t="s">
        <v>2456</v>
      </c>
    </row>
    <row r="487" spans="3:3" x14ac:dyDescent="0.25">
      <c r="C487" t="s">
        <v>2198</v>
      </c>
    </row>
    <row r="488" spans="3:3" x14ac:dyDescent="0.25">
      <c r="C488" t="s">
        <v>2324</v>
      </c>
    </row>
    <row r="489" spans="3:3" x14ac:dyDescent="0.25">
      <c r="C489" t="s">
        <v>2196</v>
      </c>
    </row>
    <row r="490" spans="3:3" x14ac:dyDescent="0.25">
      <c r="C490" t="s">
        <v>2495</v>
      </c>
    </row>
    <row r="491" spans="3:3" x14ac:dyDescent="0.25">
      <c r="C491" t="s">
        <v>1362</v>
      </c>
    </row>
    <row r="492" spans="3:3" x14ac:dyDescent="0.25">
      <c r="C492" t="s">
        <v>903</v>
      </c>
    </row>
    <row r="493" spans="3:3" x14ac:dyDescent="0.25">
      <c r="C493" t="s">
        <v>1064</v>
      </c>
    </row>
    <row r="494" spans="3:3" x14ac:dyDescent="0.25">
      <c r="C494" t="s">
        <v>571</v>
      </c>
    </row>
    <row r="495" spans="3:3" x14ac:dyDescent="0.25">
      <c r="C495" t="s">
        <v>2227</v>
      </c>
    </row>
    <row r="496" spans="3:3" x14ac:dyDescent="0.25">
      <c r="C496" t="s">
        <v>2220</v>
      </c>
    </row>
    <row r="497" spans="3:3" x14ac:dyDescent="0.25">
      <c r="C497" t="s">
        <v>2245</v>
      </c>
    </row>
    <row r="498" spans="3:3" x14ac:dyDescent="0.25">
      <c r="C498" t="s">
        <v>1028</v>
      </c>
    </row>
    <row r="499" spans="3:3" x14ac:dyDescent="0.25">
      <c r="C499" t="s">
        <v>1070</v>
      </c>
    </row>
    <row r="500" spans="3:3" x14ac:dyDescent="0.25">
      <c r="C500" t="s">
        <v>2053</v>
      </c>
    </row>
    <row r="501" spans="3:3" x14ac:dyDescent="0.25">
      <c r="C501" t="s">
        <v>2273</v>
      </c>
    </row>
    <row r="502" spans="3:3" x14ac:dyDescent="0.25">
      <c r="C502" t="s">
        <v>1718</v>
      </c>
    </row>
    <row r="503" spans="3:3" x14ac:dyDescent="0.25">
      <c r="C503" t="s">
        <v>1785</v>
      </c>
    </row>
    <row r="504" spans="3:3" x14ac:dyDescent="0.25">
      <c r="C504" t="s">
        <v>533</v>
      </c>
    </row>
    <row r="505" spans="3:3" x14ac:dyDescent="0.25">
      <c r="C505" t="s">
        <v>2223</v>
      </c>
    </row>
    <row r="506" spans="3:3" x14ac:dyDescent="0.25">
      <c r="C506" t="s">
        <v>2661</v>
      </c>
    </row>
    <row r="507" spans="3:3" x14ac:dyDescent="0.25">
      <c r="C507" t="s">
        <v>814</v>
      </c>
    </row>
    <row r="508" spans="3:3" x14ac:dyDescent="0.25">
      <c r="C508" t="s">
        <v>1343</v>
      </c>
    </row>
    <row r="509" spans="3:3" x14ac:dyDescent="0.25">
      <c r="C509" t="s">
        <v>1459</v>
      </c>
    </row>
    <row r="510" spans="3:3" x14ac:dyDescent="0.25">
      <c r="C510" t="s">
        <v>2491</v>
      </c>
    </row>
    <row r="511" spans="3:3" x14ac:dyDescent="0.25">
      <c r="C511" t="s">
        <v>836</v>
      </c>
    </row>
    <row r="512" spans="3:3" x14ac:dyDescent="0.25">
      <c r="C512" t="s">
        <v>1303</v>
      </c>
    </row>
    <row r="513" spans="3:3" x14ac:dyDescent="0.25">
      <c r="C513" t="s">
        <v>1593</v>
      </c>
    </row>
    <row r="514" spans="3:3" x14ac:dyDescent="0.25">
      <c r="C514" t="s">
        <v>1677</v>
      </c>
    </row>
    <row r="515" spans="3:3" x14ac:dyDescent="0.25">
      <c r="C515" t="s">
        <v>844</v>
      </c>
    </row>
    <row r="516" spans="3:3" x14ac:dyDescent="0.25">
      <c r="C516" t="s">
        <v>2081</v>
      </c>
    </row>
    <row r="517" spans="3:3" x14ac:dyDescent="0.25">
      <c r="C517" t="s">
        <v>2261</v>
      </c>
    </row>
    <row r="518" spans="3:3" x14ac:dyDescent="0.25">
      <c r="C518" t="s">
        <v>1435</v>
      </c>
    </row>
    <row r="519" spans="3:3" x14ac:dyDescent="0.25">
      <c r="C519" t="s">
        <v>1252</v>
      </c>
    </row>
    <row r="520" spans="3:3" x14ac:dyDescent="0.25">
      <c r="C520" t="s">
        <v>2013</v>
      </c>
    </row>
    <row r="521" spans="3:3" x14ac:dyDescent="0.25">
      <c r="C521" t="s">
        <v>300</v>
      </c>
    </row>
    <row r="522" spans="3:3" x14ac:dyDescent="0.25">
      <c r="C522" t="s">
        <v>1429</v>
      </c>
    </row>
    <row r="523" spans="3:3" x14ac:dyDescent="0.25">
      <c r="C523" t="s">
        <v>1117</v>
      </c>
    </row>
    <row r="524" spans="3:3" x14ac:dyDescent="0.25">
      <c r="C524" t="s">
        <v>1278</v>
      </c>
    </row>
    <row r="525" spans="3:3" x14ac:dyDescent="0.25">
      <c r="C525" t="s">
        <v>960</v>
      </c>
    </row>
    <row r="526" spans="3:3" x14ac:dyDescent="0.25">
      <c r="C526" t="s">
        <v>1461</v>
      </c>
    </row>
    <row r="527" spans="3:3" x14ac:dyDescent="0.25">
      <c r="C527" t="s">
        <v>1103</v>
      </c>
    </row>
    <row r="528" spans="3:3" x14ac:dyDescent="0.25">
      <c r="C528" t="s">
        <v>1878</v>
      </c>
    </row>
    <row r="529" spans="3:3" x14ac:dyDescent="0.25">
      <c r="C529" t="s">
        <v>1503</v>
      </c>
    </row>
    <row r="530" spans="3:3" x14ac:dyDescent="0.25">
      <c r="C530" t="s">
        <v>312</v>
      </c>
    </row>
    <row r="531" spans="3:3" x14ac:dyDescent="0.25">
      <c r="C531" t="s">
        <v>650</v>
      </c>
    </row>
    <row r="532" spans="3:3" x14ac:dyDescent="0.25">
      <c r="C532" t="s">
        <v>1087</v>
      </c>
    </row>
    <row r="533" spans="3:3" x14ac:dyDescent="0.25">
      <c r="C533" t="s">
        <v>2019</v>
      </c>
    </row>
    <row r="534" spans="3:3" x14ac:dyDescent="0.25">
      <c r="C534" t="s">
        <v>1266</v>
      </c>
    </row>
    <row r="535" spans="3:3" x14ac:dyDescent="0.25">
      <c r="C535" t="s">
        <v>962</v>
      </c>
    </row>
    <row r="536" spans="3:3" x14ac:dyDescent="0.25">
      <c r="C536" t="s">
        <v>2017</v>
      </c>
    </row>
    <row r="537" spans="3:3" x14ac:dyDescent="0.25">
      <c r="C537" t="s">
        <v>952</v>
      </c>
    </row>
    <row r="538" spans="3:3" x14ac:dyDescent="0.25">
      <c r="C538" t="s">
        <v>1525</v>
      </c>
    </row>
    <row r="539" spans="3:3" x14ac:dyDescent="0.25">
      <c r="C539" t="s">
        <v>1698</v>
      </c>
    </row>
    <row r="540" spans="3:3" x14ac:dyDescent="0.25">
      <c r="C540" t="s">
        <v>967</v>
      </c>
    </row>
    <row r="541" spans="3:3" x14ac:dyDescent="0.25">
      <c r="C541" t="s">
        <v>967</v>
      </c>
    </row>
    <row r="542" spans="3:3" x14ac:dyDescent="0.25">
      <c r="C542" t="s">
        <v>913</v>
      </c>
    </row>
    <row r="543" spans="3:3" x14ac:dyDescent="0.25">
      <c r="C543" t="s">
        <v>324</v>
      </c>
    </row>
    <row r="544" spans="3:3" x14ac:dyDescent="0.25">
      <c r="C544" t="s">
        <v>1479</v>
      </c>
    </row>
    <row r="545" spans="3:3" x14ac:dyDescent="0.25">
      <c r="C545" t="s">
        <v>1493</v>
      </c>
    </row>
    <row r="546" spans="3:3" x14ac:dyDescent="0.25">
      <c r="C546" t="s">
        <v>2033</v>
      </c>
    </row>
    <row r="547" spans="3:3" x14ac:dyDescent="0.25">
      <c r="C547" t="s">
        <v>1999</v>
      </c>
    </row>
    <row r="548" spans="3:3" x14ac:dyDescent="0.25">
      <c r="C548" t="s">
        <v>1085</v>
      </c>
    </row>
    <row r="549" spans="3:3" x14ac:dyDescent="0.25">
      <c r="C549" t="s">
        <v>1726</v>
      </c>
    </row>
    <row r="550" spans="3:3" x14ac:dyDescent="0.25">
      <c r="C550" t="s">
        <v>654</v>
      </c>
    </row>
    <row r="551" spans="3:3" x14ac:dyDescent="0.25">
      <c r="C551" t="s">
        <v>2570</v>
      </c>
    </row>
    <row r="552" spans="3:3" x14ac:dyDescent="0.25">
      <c r="C552" t="s">
        <v>1978</v>
      </c>
    </row>
    <row r="553" spans="3:3" x14ac:dyDescent="0.25">
      <c r="C553" t="s">
        <v>394</v>
      </c>
    </row>
    <row r="554" spans="3:3" x14ac:dyDescent="0.25">
      <c r="C554" t="s">
        <v>562</v>
      </c>
    </row>
    <row r="555" spans="3:3" x14ac:dyDescent="0.25">
      <c r="C555" t="s">
        <v>1822</v>
      </c>
    </row>
    <row r="556" spans="3:3" x14ac:dyDescent="0.25">
      <c r="C556" t="s">
        <v>1946</v>
      </c>
    </row>
    <row r="557" spans="3:3" x14ac:dyDescent="0.25">
      <c r="C557" t="s">
        <v>1326</v>
      </c>
    </row>
    <row r="558" spans="3:3" x14ac:dyDescent="0.25">
      <c r="C558" t="s">
        <v>2149</v>
      </c>
    </row>
    <row r="559" spans="3:3" x14ac:dyDescent="0.25">
      <c r="C559" t="s">
        <v>668</v>
      </c>
    </row>
    <row r="560" spans="3:3" x14ac:dyDescent="0.25">
      <c r="C560" t="s">
        <v>2645</v>
      </c>
    </row>
    <row r="561" spans="3:3" x14ac:dyDescent="0.25">
      <c r="C561" t="s">
        <v>646</v>
      </c>
    </row>
    <row r="562" spans="3:3" x14ac:dyDescent="0.25">
      <c r="C562" t="s">
        <v>1646</v>
      </c>
    </row>
    <row r="563" spans="3:3" x14ac:dyDescent="0.25">
      <c r="C563" t="s">
        <v>2344</v>
      </c>
    </row>
    <row r="564" spans="3:3" x14ac:dyDescent="0.25">
      <c r="C564" t="s">
        <v>981</v>
      </c>
    </row>
    <row r="565" spans="3:3" x14ac:dyDescent="0.25">
      <c r="C565" t="s">
        <v>342</v>
      </c>
    </row>
    <row r="566" spans="3:3" x14ac:dyDescent="0.25">
      <c r="C566" t="s">
        <v>1840</v>
      </c>
    </row>
    <row r="567" spans="3:3" x14ac:dyDescent="0.25">
      <c r="C567" t="s">
        <v>358</v>
      </c>
    </row>
    <row r="568" spans="3:3" x14ac:dyDescent="0.25">
      <c r="C568" t="s">
        <v>1177</v>
      </c>
    </row>
    <row r="569" spans="3:3" x14ac:dyDescent="0.25">
      <c r="C569" t="s">
        <v>954</v>
      </c>
    </row>
    <row r="570" spans="3:3" x14ac:dyDescent="0.25">
      <c r="C570" t="s">
        <v>1418</v>
      </c>
    </row>
    <row r="571" spans="3:3" x14ac:dyDescent="0.25">
      <c r="C571" t="s">
        <v>1113</v>
      </c>
    </row>
    <row r="572" spans="3:3" x14ac:dyDescent="0.25">
      <c r="C572" t="s">
        <v>626</v>
      </c>
    </row>
    <row r="573" spans="3:3" x14ac:dyDescent="0.25">
      <c r="C573" t="s">
        <v>932</v>
      </c>
    </row>
    <row r="574" spans="3:3" x14ac:dyDescent="0.25">
      <c r="C574" t="s">
        <v>828</v>
      </c>
    </row>
    <row r="575" spans="3:3" x14ac:dyDescent="0.25">
      <c r="C575" t="s">
        <v>2389</v>
      </c>
    </row>
    <row r="576" spans="3:3" x14ac:dyDescent="0.25">
      <c r="C576" t="s">
        <v>1115</v>
      </c>
    </row>
    <row r="577" spans="3:3" x14ac:dyDescent="0.25">
      <c r="C577" t="s">
        <v>2653</v>
      </c>
    </row>
    <row r="578" spans="3:3" x14ac:dyDescent="0.25">
      <c r="C578" t="s">
        <v>1382</v>
      </c>
    </row>
    <row r="579" spans="3:3" x14ac:dyDescent="0.25">
      <c r="C579" t="s">
        <v>2156</v>
      </c>
    </row>
    <row r="580" spans="3:3" x14ac:dyDescent="0.25">
      <c r="C580" t="s">
        <v>930</v>
      </c>
    </row>
    <row r="581" spans="3:3" x14ac:dyDescent="0.25">
      <c r="C581" t="s">
        <v>320</v>
      </c>
    </row>
    <row r="582" spans="3:3" x14ac:dyDescent="0.25">
      <c r="C582" t="s">
        <v>594</v>
      </c>
    </row>
    <row r="583" spans="3:3" x14ac:dyDescent="0.25">
      <c r="C583" t="s">
        <v>1433</v>
      </c>
    </row>
    <row r="584" spans="3:3" x14ac:dyDescent="0.25">
      <c r="C584" t="s">
        <v>1244</v>
      </c>
    </row>
    <row r="585" spans="3:3" x14ac:dyDescent="0.25">
      <c r="C585" t="s">
        <v>897</v>
      </c>
    </row>
    <row r="586" spans="3:3" x14ac:dyDescent="0.25">
      <c r="C586" t="s">
        <v>334</v>
      </c>
    </row>
    <row r="587" spans="3:3" x14ac:dyDescent="0.25">
      <c r="C587" t="s">
        <v>2580</v>
      </c>
    </row>
    <row r="588" spans="3:3" x14ac:dyDescent="0.25">
      <c r="C588" t="s">
        <v>1477</v>
      </c>
    </row>
    <row r="589" spans="3:3" x14ac:dyDescent="0.25">
      <c r="C589" t="s">
        <v>1246</v>
      </c>
    </row>
    <row r="590" spans="3:3" x14ac:dyDescent="0.25">
      <c r="C590" t="s">
        <v>950</v>
      </c>
    </row>
    <row r="591" spans="3:3" x14ac:dyDescent="0.25">
      <c r="C591" t="s">
        <v>1321</v>
      </c>
    </row>
    <row r="592" spans="3:3" x14ac:dyDescent="0.25">
      <c r="C592" t="s">
        <v>1749</v>
      </c>
    </row>
    <row r="593" spans="3:3" x14ac:dyDescent="0.25">
      <c r="C593" t="s">
        <v>958</v>
      </c>
    </row>
    <row r="594" spans="3:3" x14ac:dyDescent="0.25">
      <c r="C594" t="s">
        <v>1976</v>
      </c>
    </row>
    <row r="595" spans="3:3" x14ac:dyDescent="0.25">
      <c r="C595" t="s">
        <v>1904</v>
      </c>
    </row>
    <row r="596" spans="3:3" x14ac:dyDescent="0.25">
      <c r="C596" t="s">
        <v>956</v>
      </c>
    </row>
    <row r="597" spans="3:3" x14ac:dyDescent="0.25">
      <c r="C597" t="s">
        <v>956</v>
      </c>
    </row>
    <row r="598" spans="3:3" x14ac:dyDescent="0.25">
      <c r="C598" t="s">
        <v>1926</v>
      </c>
    </row>
    <row r="599" spans="3:3" x14ac:dyDescent="0.25">
      <c r="C599" t="s">
        <v>2598</v>
      </c>
    </row>
    <row r="600" spans="3:3" x14ac:dyDescent="0.25">
      <c r="C600" t="s">
        <v>1716</v>
      </c>
    </row>
    <row r="601" spans="3:3" x14ac:dyDescent="0.25">
      <c r="C601" t="s">
        <v>2533</v>
      </c>
    </row>
    <row r="602" spans="3:3" x14ac:dyDescent="0.25">
      <c r="C602" t="s">
        <v>1201</v>
      </c>
    </row>
    <row r="603" spans="3:3" x14ac:dyDescent="0.25">
      <c r="C603" t="s">
        <v>745</v>
      </c>
    </row>
    <row r="604" spans="3:3" x14ac:dyDescent="0.25">
      <c r="C604" t="s">
        <v>911</v>
      </c>
    </row>
    <row r="605" spans="3:3" x14ac:dyDescent="0.25">
      <c r="C605" t="s">
        <v>2135</v>
      </c>
    </row>
    <row r="606" spans="3:3" x14ac:dyDescent="0.25">
      <c r="C606" t="s">
        <v>1131</v>
      </c>
    </row>
    <row r="607" spans="3:3" x14ac:dyDescent="0.25">
      <c r="C607" t="s">
        <v>1030</v>
      </c>
    </row>
    <row r="608" spans="3:3" x14ac:dyDescent="0.25">
      <c r="C608" t="s">
        <v>454</v>
      </c>
    </row>
    <row r="609" spans="3:3" x14ac:dyDescent="0.25">
      <c r="C609" t="s">
        <v>1950</v>
      </c>
    </row>
    <row r="610" spans="3:3" x14ac:dyDescent="0.25">
      <c r="C610" t="s">
        <v>1032</v>
      </c>
    </row>
    <row r="611" spans="3:3" x14ac:dyDescent="0.25">
      <c r="C611" t="s">
        <v>1628</v>
      </c>
    </row>
    <row r="612" spans="3:3" x14ac:dyDescent="0.25">
      <c r="C612" t="s">
        <v>485</v>
      </c>
    </row>
    <row r="613" spans="3:3" x14ac:dyDescent="0.25">
      <c r="C613" t="s">
        <v>1815</v>
      </c>
    </row>
    <row r="614" spans="3:3" x14ac:dyDescent="0.25">
      <c r="C614" t="s">
        <v>1308</v>
      </c>
    </row>
    <row r="615" spans="3:3" x14ac:dyDescent="0.25">
      <c r="C615" t="s">
        <v>2633</v>
      </c>
    </row>
    <row r="616" spans="3:3" x14ac:dyDescent="0.25">
      <c r="C616" t="s">
        <v>1824</v>
      </c>
    </row>
    <row r="617" spans="3:3" x14ac:dyDescent="0.25">
      <c r="C617" t="s">
        <v>1724</v>
      </c>
    </row>
    <row r="618" spans="3:3" x14ac:dyDescent="0.25">
      <c r="C618" t="s">
        <v>891</v>
      </c>
    </row>
    <row r="619" spans="3:3" x14ac:dyDescent="0.25">
      <c r="C619" t="s">
        <v>2310</v>
      </c>
    </row>
    <row r="620" spans="3:3" x14ac:dyDescent="0.25">
      <c r="C620" t="s">
        <v>1268</v>
      </c>
    </row>
    <row r="621" spans="3:3" x14ac:dyDescent="0.25">
      <c r="C621" t="s">
        <v>1147</v>
      </c>
    </row>
    <row r="622" spans="3:3" x14ac:dyDescent="0.25">
      <c r="C622" t="s">
        <v>1583</v>
      </c>
    </row>
    <row r="623" spans="3:3" x14ac:dyDescent="0.25">
      <c r="C623" t="s">
        <v>862</v>
      </c>
    </row>
    <row r="624" spans="3:3" x14ac:dyDescent="0.25">
      <c r="C624" t="s">
        <v>2083</v>
      </c>
    </row>
    <row r="625" spans="3:3" x14ac:dyDescent="0.25">
      <c r="C625" t="s">
        <v>2110</v>
      </c>
    </row>
    <row r="626" spans="3:3" x14ac:dyDescent="0.25">
      <c r="C626" t="s">
        <v>1685</v>
      </c>
    </row>
    <row r="627" spans="3:3" x14ac:dyDescent="0.25">
      <c r="C627" t="s">
        <v>2281</v>
      </c>
    </row>
    <row r="628" spans="3:3" x14ac:dyDescent="0.25">
      <c r="C628" t="s">
        <v>348</v>
      </c>
    </row>
    <row r="629" spans="3:3" x14ac:dyDescent="0.25">
      <c r="C629" t="s">
        <v>2069</v>
      </c>
    </row>
    <row r="630" spans="3:3" x14ac:dyDescent="0.25">
      <c r="C630" t="s">
        <v>426</v>
      </c>
    </row>
    <row r="631" spans="3:3" x14ac:dyDescent="0.25">
      <c r="C631" t="s">
        <v>860</v>
      </c>
    </row>
    <row r="632" spans="3:3" x14ac:dyDescent="0.25">
      <c r="C632" t="s">
        <v>2057</v>
      </c>
    </row>
    <row r="633" spans="3:3" x14ac:dyDescent="0.25">
      <c r="C633" t="s">
        <v>865</v>
      </c>
    </row>
    <row r="634" spans="3:3" x14ac:dyDescent="0.25">
      <c r="C634" t="s">
        <v>1912</v>
      </c>
    </row>
    <row r="635" spans="3:3" x14ac:dyDescent="0.25">
      <c r="C635" t="s">
        <v>2502</v>
      </c>
    </row>
    <row r="636" spans="3:3" x14ac:dyDescent="0.25">
      <c r="C636" t="s">
        <v>830</v>
      </c>
    </row>
    <row r="637" spans="3:3" x14ac:dyDescent="0.25">
      <c r="C637" t="s">
        <v>2623</v>
      </c>
    </row>
    <row r="638" spans="3:3" x14ac:dyDescent="0.25">
      <c r="C638" t="s">
        <v>2460</v>
      </c>
    </row>
    <row r="639" spans="3:3" x14ac:dyDescent="0.25">
      <c r="C639" t="s">
        <v>2483</v>
      </c>
    </row>
    <row r="640" spans="3:3" x14ac:dyDescent="0.25">
      <c r="C640" t="s">
        <v>1902</v>
      </c>
    </row>
    <row r="641" spans="3:3" x14ac:dyDescent="0.25">
      <c r="C641" t="s">
        <v>944</v>
      </c>
    </row>
    <row r="642" spans="3:3" x14ac:dyDescent="0.25">
      <c r="C642" t="s">
        <v>694</v>
      </c>
    </row>
    <row r="643" spans="3:3" x14ac:dyDescent="0.25">
      <c r="C643" t="s">
        <v>322</v>
      </c>
    </row>
    <row r="644" spans="3:3" x14ac:dyDescent="0.25">
      <c r="C644" t="s">
        <v>741</v>
      </c>
    </row>
    <row r="645" spans="3:3" x14ac:dyDescent="0.25">
      <c r="C645" t="s">
        <v>2210</v>
      </c>
    </row>
    <row r="646" spans="3:3" x14ac:dyDescent="0.25">
      <c r="C646" t="s">
        <v>1109</v>
      </c>
    </row>
    <row r="647" spans="3:3" x14ac:dyDescent="0.25">
      <c r="C647" t="s">
        <v>1125</v>
      </c>
    </row>
    <row r="648" spans="3:3" x14ac:dyDescent="0.25">
      <c r="C648" t="s">
        <v>1648</v>
      </c>
    </row>
    <row r="649" spans="3:3" x14ac:dyDescent="0.25">
      <c r="C649" t="s">
        <v>298</v>
      </c>
    </row>
    <row r="650" spans="3:3" x14ac:dyDescent="0.25">
      <c r="C650" t="s">
        <v>1622</v>
      </c>
    </row>
    <row r="651" spans="3:3" x14ac:dyDescent="0.25">
      <c r="C651" t="s">
        <v>1052</v>
      </c>
    </row>
    <row r="652" spans="3:3" x14ac:dyDescent="0.25">
      <c r="C652" t="s">
        <v>2188</v>
      </c>
    </row>
    <row r="653" spans="3:3" x14ac:dyDescent="0.25">
      <c r="C653" t="s">
        <v>714</v>
      </c>
    </row>
    <row r="654" spans="3:3" x14ac:dyDescent="0.25">
      <c r="C654" t="s">
        <v>1329</v>
      </c>
    </row>
    <row r="655" spans="3:3" x14ac:dyDescent="0.25">
      <c r="C655" t="s">
        <v>275</v>
      </c>
    </row>
    <row r="656" spans="3:3" x14ac:dyDescent="0.25">
      <c r="C656" t="s">
        <v>2162</v>
      </c>
    </row>
    <row r="657" spans="3:3" x14ac:dyDescent="0.25">
      <c r="C657" t="s">
        <v>2241</v>
      </c>
    </row>
    <row r="658" spans="3:3" x14ac:dyDescent="0.25">
      <c r="C658" t="s">
        <v>1656</v>
      </c>
    </row>
    <row r="659" spans="3:3" x14ac:dyDescent="0.25">
      <c r="C659" t="s">
        <v>2239</v>
      </c>
    </row>
    <row r="660" spans="3:3" x14ac:dyDescent="0.25">
      <c r="C660" t="s">
        <v>2312</v>
      </c>
    </row>
    <row r="661" spans="3:3" x14ac:dyDescent="0.25">
      <c r="C661" t="s">
        <v>1654</v>
      </c>
    </row>
    <row r="662" spans="3:3" x14ac:dyDescent="0.25">
      <c r="C662" t="s">
        <v>1612</v>
      </c>
    </row>
    <row r="663" spans="3:3" x14ac:dyDescent="0.25">
      <c r="C663" t="s">
        <v>1256</v>
      </c>
    </row>
    <row r="664" spans="3:3" x14ac:dyDescent="0.25">
      <c r="C664" t="s">
        <v>1437</v>
      </c>
    </row>
    <row r="665" spans="3:3" x14ac:dyDescent="0.25">
      <c r="C665" t="s">
        <v>1272</v>
      </c>
    </row>
    <row r="666" spans="3:3" x14ac:dyDescent="0.25">
      <c r="C666" t="s">
        <v>1642</v>
      </c>
    </row>
    <row r="667" spans="3:3" x14ac:dyDescent="0.25">
      <c r="C667" t="s">
        <v>2265</v>
      </c>
    </row>
    <row r="668" spans="3:3" x14ac:dyDescent="0.25">
      <c r="C668" t="s">
        <v>2340</v>
      </c>
    </row>
    <row r="669" spans="3:3" x14ac:dyDescent="0.25">
      <c r="C669" t="s">
        <v>1658</v>
      </c>
    </row>
    <row r="670" spans="3:3" x14ac:dyDescent="0.25">
      <c r="C670" t="s">
        <v>1451</v>
      </c>
    </row>
    <row r="671" spans="3:3" x14ac:dyDescent="0.25">
      <c r="C671" t="s">
        <v>1467</v>
      </c>
    </row>
    <row r="672" spans="3:3" x14ac:dyDescent="0.25">
      <c r="C672" t="s">
        <v>1487</v>
      </c>
    </row>
    <row r="673" spans="3:3" x14ac:dyDescent="0.25">
      <c r="C673" t="s">
        <v>1932</v>
      </c>
    </row>
    <row r="674" spans="3:3" x14ac:dyDescent="0.25">
      <c r="C674" t="s">
        <v>2145</v>
      </c>
    </row>
    <row r="675" spans="3:3" x14ac:dyDescent="0.25">
      <c r="C675" t="s">
        <v>640</v>
      </c>
    </row>
    <row r="676" spans="3:3" x14ac:dyDescent="0.25">
      <c r="C676" t="s">
        <v>1600</v>
      </c>
    </row>
    <row r="677" spans="3:3" x14ac:dyDescent="0.25">
      <c r="C677" t="s">
        <v>2510</v>
      </c>
    </row>
    <row r="678" spans="3:3" x14ac:dyDescent="0.25">
      <c r="C678" t="s">
        <v>2088</v>
      </c>
    </row>
    <row r="679" spans="3:3" x14ac:dyDescent="0.25">
      <c r="C679" t="s">
        <v>1290</v>
      </c>
    </row>
    <row r="680" spans="3:3" x14ac:dyDescent="0.25">
      <c r="C680" t="s">
        <v>857</v>
      </c>
    </row>
    <row r="681" spans="3:3" x14ac:dyDescent="0.25">
      <c r="C681" t="s">
        <v>858</v>
      </c>
    </row>
    <row r="682" spans="3:3" x14ac:dyDescent="0.25">
      <c r="C682" t="s">
        <v>2125</v>
      </c>
    </row>
    <row r="683" spans="3:3" x14ac:dyDescent="0.25">
      <c r="C683" t="s">
        <v>1700</v>
      </c>
    </row>
    <row r="684" spans="3:3" x14ac:dyDescent="0.25">
      <c r="C684" t="s">
        <v>473</v>
      </c>
    </row>
    <row r="685" spans="3:3" x14ac:dyDescent="0.25">
      <c r="C685" t="s">
        <v>1691</v>
      </c>
    </row>
    <row r="686" spans="3:3" x14ac:dyDescent="0.25">
      <c r="C686" t="s">
        <v>1684</v>
      </c>
    </row>
    <row r="687" spans="3:3" x14ac:dyDescent="0.25">
      <c r="C687" t="s">
        <v>1692</v>
      </c>
    </row>
    <row r="688" spans="3:3" x14ac:dyDescent="0.25">
      <c r="C688" t="s">
        <v>1107</v>
      </c>
    </row>
    <row r="689" spans="3:3" x14ac:dyDescent="0.25">
      <c r="C689" t="s">
        <v>1892</v>
      </c>
    </row>
    <row r="690" spans="3:3" x14ac:dyDescent="0.25">
      <c r="C690" t="s">
        <v>2336</v>
      </c>
    </row>
    <row r="691" spans="3:3" x14ac:dyDescent="0.25">
      <c r="C691" t="s">
        <v>1876</v>
      </c>
    </row>
    <row r="692" spans="3:3" x14ac:dyDescent="0.25">
      <c r="C692" t="s">
        <v>2206</v>
      </c>
    </row>
    <row r="693" spans="3:3" x14ac:dyDescent="0.25">
      <c r="C693" t="s">
        <v>1153</v>
      </c>
    </row>
    <row r="694" spans="3:3" x14ac:dyDescent="0.25">
      <c r="C694" t="s">
        <v>1742</v>
      </c>
    </row>
    <row r="695" spans="3:3" x14ac:dyDescent="0.25">
      <c r="C695" t="s">
        <v>1097</v>
      </c>
    </row>
    <row r="696" spans="3:3" x14ac:dyDescent="0.25">
      <c r="C696" t="s">
        <v>888</v>
      </c>
    </row>
    <row r="697" spans="3:3" x14ac:dyDescent="0.25">
      <c r="C697" t="s">
        <v>1519</v>
      </c>
    </row>
    <row r="698" spans="3:3" x14ac:dyDescent="0.25">
      <c r="C698" t="s">
        <v>360</v>
      </c>
    </row>
    <row r="699" spans="3:3" x14ac:dyDescent="0.25">
      <c r="C699" t="s">
        <v>1353</v>
      </c>
    </row>
    <row r="700" spans="3:3" x14ac:dyDescent="0.25">
      <c r="C700" t="s">
        <v>2164</v>
      </c>
    </row>
    <row r="701" spans="3:3" x14ac:dyDescent="0.25">
      <c r="C701" t="s">
        <v>2158</v>
      </c>
    </row>
    <row r="702" spans="3:3" x14ac:dyDescent="0.25">
      <c r="C702" t="s">
        <v>2275</v>
      </c>
    </row>
    <row r="703" spans="3:3" x14ac:dyDescent="0.25">
      <c r="C703" t="s">
        <v>511</v>
      </c>
    </row>
    <row r="704" spans="3:3" x14ac:dyDescent="0.25">
      <c r="C704" t="s">
        <v>1357</v>
      </c>
    </row>
    <row r="705" spans="3:3" x14ac:dyDescent="0.25">
      <c r="C705" t="s">
        <v>656</v>
      </c>
    </row>
    <row r="706" spans="3:3" x14ac:dyDescent="0.25">
      <c r="C706" t="s">
        <v>1129</v>
      </c>
    </row>
    <row r="707" spans="3:3" x14ac:dyDescent="0.25">
      <c r="C707" t="s">
        <v>2379</v>
      </c>
    </row>
    <row r="708" spans="3:3" x14ac:dyDescent="0.25">
      <c r="C708" t="s">
        <v>1527</v>
      </c>
    </row>
    <row r="709" spans="3:3" x14ac:dyDescent="0.25">
      <c r="C709" t="s">
        <v>2131</v>
      </c>
    </row>
    <row r="710" spans="3:3" x14ac:dyDescent="0.25">
      <c r="C710" t="s">
        <v>1139</v>
      </c>
    </row>
    <row r="711" spans="3:3" x14ac:dyDescent="0.25">
      <c r="C711" t="s">
        <v>1955</v>
      </c>
    </row>
    <row r="712" spans="3:3" x14ac:dyDescent="0.25">
      <c r="C712" t="s">
        <v>290</v>
      </c>
    </row>
    <row r="713" spans="3:3" x14ac:dyDescent="0.25">
      <c r="C713" t="s">
        <v>917</v>
      </c>
    </row>
    <row r="714" spans="3:3" x14ac:dyDescent="0.25">
      <c r="C714" t="s">
        <v>1050</v>
      </c>
    </row>
    <row r="715" spans="3:3" x14ac:dyDescent="0.25">
      <c r="C715" t="s">
        <v>973</v>
      </c>
    </row>
    <row r="716" spans="3:3" x14ac:dyDescent="0.25">
      <c r="C716" t="s">
        <v>1916</v>
      </c>
    </row>
    <row r="717" spans="3:3" x14ac:dyDescent="0.25">
      <c r="C717" t="s">
        <v>608</v>
      </c>
    </row>
    <row r="718" spans="3:3" x14ac:dyDescent="0.25">
      <c r="C718" t="s">
        <v>1507</v>
      </c>
    </row>
    <row r="719" spans="3:3" x14ac:dyDescent="0.25">
      <c r="C719" t="s">
        <v>1161</v>
      </c>
    </row>
    <row r="720" spans="3:3" x14ac:dyDescent="0.25">
      <c r="C720" t="s">
        <v>1736</v>
      </c>
    </row>
    <row r="721" spans="3:3" x14ac:dyDescent="0.25">
      <c r="C721" t="s">
        <v>316</v>
      </c>
    </row>
    <row r="722" spans="3:3" x14ac:dyDescent="0.25">
      <c r="C722" t="s">
        <v>2170</v>
      </c>
    </row>
    <row r="723" spans="3:3" x14ac:dyDescent="0.25">
      <c r="C723" t="s">
        <v>965</v>
      </c>
    </row>
    <row r="724" spans="3:3" x14ac:dyDescent="0.25">
      <c r="C724" t="s">
        <v>1060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541</v>
      </c>
    </row>
    <row r="728" spans="3:3" x14ac:dyDescent="0.25">
      <c r="C728" t="s">
        <v>1425</v>
      </c>
    </row>
    <row r="729" spans="3:3" x14ac:dyDescent="0.25">
      <c r="C729" t="s">
        <v>284</v>
      </c>
    </row>
    <row r="730" spans="3:3" x14ac:dyDescent="0.25">
      <c r="C730" t="s">
        <v>859</v>
      </c>
    </row>
    <row r="731" spans="3:3" x14ac:dyDescent="0.25">
      <c r="C731" t="s">
        <v>374</v>
      </c>
    </row>
    <row r="732" spans="3:3" x14ac:dyDescent="0.25">
      <c r="C732" t="s">
        <v>1702</v>
      </c>
    </row>
    <row r="733" spans="3:3" x14ac:dyDescent="0.25">
      <c r="C733" t="s">
        <v>1689</v>
      </c>
    </row>
    <row r="734" spans="3:3" x14ac:dyDescent="0.25">
      <c r="C734" t="s">
        <v>1687</v>
      </c>
    </row>
    <row r="735" spans="3:3" x14ac:dyDescent="0.25">
      <c r="C735" t="s">
        <v>1699</v>
      </c>
    </row>
    <row r="736" spans="3:3" x14ac:dyDescent="0.25">
      <c r="C736" t="s">
        <v>1695</v>
      </c>
    </row>
    <row r="737" spans="3:3" x14ac:dyDescent="0.25">
      <c r="C737" t="s">
        <v>1688</v>
      </c>
    </row>
    <row r="738" spans="3:3" x14ac:dyDescent="0.25">
      <c r="C738" t="s">
        <v>834</v>
      </c>
    </row>
    <row r="739" spans="3:3" x14ac:dyDescent="0.25">
      <c r="C739" t="s">
        <v>477</v>
      </c>
    </row>
    <row r="740" spans="3:3" x14ac:dyDescent="0.25">
      <c r="C740" t="s">
        <v>856</v>
      </c>
    </row>
    <row r="741" spans="3:3" x14ac:dyDescent="0.25">
      <c r="C741" t="s">
        <v>2079</v>
      </c>
    </row>
    <row r="742" spans="3:3" x14ac:dyDescent="0.25">
      <c r="C742" t="s">
        <v>839</v>
      </c>
    </row>
    <row r="743" spans="3:3" x14ac:dyDescent="0.25">
      <c r="C743" t="s">
        <v>841</v>
      </c>
    </row>
    <row r="744" spans="3:3" x14ac:dyDescent="0.25">
      <c r="C744" t="s">
        <v>2395</v>
      </c>
    </row>
    <row r="745" spans="3:3" x14ac:dyDescent="0.25">
      <c r="C745" t="s">
        <v>2377</v>
      </c>
    </row>
    <row r="746" spans="3:3" x14ac:dyDescent="0.25">
      <c r="C746" t="s">
        <v>1374</v>
      </c>
    </row>
    <row r="747" spans="3:3" x14ac:dyDescent="0.25">
      <c r="C747" t="s">
        <v>2051</v>
      </c>
    </row>
    <row r="748" spans="3:3" x14ac:dyDescent="0.25">
      <c r="C748" t="s">
        <v>582</v>
      </c>
    </row>
    <row r="749" spans="3:3" x14ac:dyDescent="0.25">
      <c r="C749" t="s">
        <v>2595</v>
      </c>
    </row>
    <row r="750" spans="3:3" x14ac:dyDescent="0.25">
      <c r="C750" t="s">
        <v>2550</v>
      </c>
    </row>
    <row r="751" spans="3:3" x14ac:dyDescent="0.25">
      <c r="C751" t="s">
        <v>728</v>
      </c>
    </row>
    <row r="752" spans="3:3" x14ac:dyDescent="0.25">
      <c r="C752" t="s">
        <v>1044</v>
      </c>
    </row>
    <row r="753" spans="3:3" x14ac:dyDescent="0.25">
      <c r="C753" t="s">
        <v>1416</v>
      </c>
    </row>
    <row r="754" spans="3:3" x14ac:dyDescent="0.25">
      <c r="C754" t="s">
        <v>2422</v>
      </c>
    </row>
    <row r="755" spans="3:3" x14ac:dyDescent="0.25">
      <c r="C755" t="s">
        <v>2442</v>
      </c>
    </row>
    <row r="756" spans="3:3" x14ac:dyDescent="0.25">
      <c r="C756" t="s">
        <v>886</v>
      </c>
    </row>
    <row r="757" spans="3:3" x14ac:dyDescent="0.25">
      <c r="C757" t="s">
        <v>1872</v>
      </c>
    </row>
    <row r="758" spans="3:3" x14ac:dyDescent="0.25">
      <c r="C758" t="s">
        <v>1262</v>
      </c>
    </row>
    <row r="759" spans="3:3" x14ac:dyDescent="0.25">
      <c r="C759" t="s">
        <v>1722</v>
      </c>
    </row>
    <row r="760" spans="3:3" x14ac:dyDescent="0.25">
      <c r="C760" t="s">
        <v>895</v>
      </c>
    </row>
    <row r="761" spans="3:3" x14ac:dyDescent="0.25">
      <c r="C761" t="s">
        <v>1171</v>
      </c>
    </row>
    <row r="762" spans="3:3" x14ac:dyDescent="0.25">
      <c r="C762" t="s">
        <v>878</v>
      </c>
    </row>
    <row r="763" spans="3:3" x14ac:dyDescent="0.25">
      <c r="C763" t="s">
        <v>1854</v>
      </c>
    </row>
    <row r="764" spans="3:3" x14ac:dyDescent="0.25">
      <c r="C764" t="s">
        <v>432</v>
      </c>
    </row>
    <row r="765" spans="3:3" x14ac:dyDescent="0.25">
      <c r="C765" t="s">
        <v>1826</v>
      </c>
    </row>
    <row r="766" spans="3:3" x14ac:dyDescent="0.25">
      <c r="C766" t="s">
        <v>638</v>
      </c>
    </row>
    <row r="767" spans="3:3" x14ac:dyDescent="0.25">
      <c r="C767" t="s">
        <v>2473</v>
      </c>
    </row>
    <row r="768" spans="3:3" x14ac:dyDescent="0.25">
      <c r="C768" t="s">
        <v>483</v>
      </c>
    </row>
    <row r="769" spans="3:3" x14ac:dyDescent="0.25">
      <c r="C769" t="s">
        <v>2180</v>
      </c>
    </row>
    <row r="770" spans="3:3" x14ac:dyDescent="0.25">
      <c r="C770" t="s">
        <v>1764</v>
      </c>
    </row>
    <row r="771" spans="3:3" x14ac:dyDescent="0.25">
      <c r="C771" t="s">
        <v>1019</v>
      </c>
    </row>
    <row r="772" spans="3:3" x14ac:dyDescent="0.25">
      <c r="C772" t="s">
        <v>975</v>
      </c>
    </row>
    <row r="773" spans="3:3" x14ac:dyDescent="0.25">
      <c r="C773" t="s">
        <v>1038</v>
      </c>
    </row>
    <row r="774" spans="3:3" x14ac:dyDescent="0.25">
      <c r="C774" t="s">
        <v>1485</v>
      </c>
    </row>
    <row r="775" spans="3:3" x14ac:dyDescent="0.25">
      <c r="C775" t="s">
        <v>777</v>
      </c>
    </row>
    <row r="776" spans="3:3" x14ac:dyDescent="0.25">
      <c r="C776" t="s">
        <v>1811</v>
      </c>
    </row>
    <row r="777" spans="3:3" x14ac:dyDescent="0.25">
      <c r="C777" t="s">
        <v>513</v>
      </c>
    </row>
    <row r="778" spans="3:3" x14ac:dyDescent="0.25">
      <c r="C778" t="s">
        <v>700</v>
      </c>
    </row>
    <row r="779" spans="3:3" x14ac:dyDescent="0.25">
      <c r="C779" t="s">
        <v>2041</v>
      </c>
    </row>
    <row r="780" spans="3:3" x14ac:dyDescent="0.25">
      <c r="C780" t="s">
        <v>1882</v>
      </c>
    </row>
    <row r="781" spans="3:3" x14ac:dyDescent="0.25">
      <c r="C781" t="s">
        <v>1576</v>
      </c>
    </row>
    <row r="782" spans="3:3" x14ac:dyDescent="0.25">
      <c r="C782" t="s">
        <v>1560</v>
      </c>
    </row>
    <row r="783" spans="3:3" x14ac:dyDescent="0.25">
      <c r="C783" t="s">
        <v>732</v>
      </c>
    </row>
    <row r="784" spans="3:3" x14ac:dyDescent="0.25">
      <c r="C784" t="s">
        <v>356</v>
      </c>
    </row>
    <row r="785" spans="3:3" x14ac:dyDescent="0.25">
      <c r="C785" t="s">
        <v>2462</v>
      </c>
    </row>
    <row r="786" spans="3:3" x14ac:dyDescent="0.25">
      <c r="C786" t="s">
        <v>1350</v>
      </c>
    </row>
    <row r="787" spans="3:3" x14ac:dyDescent="0.25">
      <c r="C787" t="s">
        <v>784</v>
      </c>
    </row>
    <row r="788" spans="3:3" x14ac:dyDescent="0.25">
      <c r="C788" t="s">
        <v>2361</v>
      </c>
    </row>
    <row r="789" spans="3:3" x14ac:dyDescent="0.25">
      <c r="C789" t="s">
        <v>1183</v>
      </c>
    </row>
    <row r="790" spans="3:3" x14ac:dyDescent="0.25">
      <c r="C790" t="s">
        <v>1183</v>
      </c>
    </row>
    <row r="791" spans="3:3" x14ac:dyDescent="0.25">
      <c r="C791" t="s">
        <v>1046</v>
      </c>
    </row>
    <row r="792" spans="3:3" x14ac:dyDescent="0.25">
      <c r="C792" t="s">
        <v>1127</v>
      </c>
    </row>
    <row r="793" spans="3:3" x14ac:dyDescent="0.25">
      <c r="C793" t="s">
        <v>1360</v>
      </c>
    </row>
    <row r="794" spans="3:3" x14ac:dyDescent="0.25">
      <c r="C794" t="s">
        <v>674</v>
      </c>
    </row>
    <row r="795" spans="3:3" x14ac:dyDescent="0.25">
      <c r="C795" t="s">
        <v>368</v>
      </c>
    </row>
    <row r="796" spans="3:3" x14ac:dyDescent="0.25">
      <c r="C796" t="s">
        <v>539</v>
      </c>
    </row>
    <row r="797" spans="3:3" x14ac:dyDescent="0.25">
      <c r="C797" t="s">
        <v>2247</v>
      </c>
    </row>
    <row r="798" spans="3:3" x14ac:dyDescent="0.25">
      <c r="C798" t="s">
        <v>2529</v>
      </c>
    </row>
    <row r="799" spans="3:3" x14ac:dyDescent="0.25">
      <c r="C799" t="s">
        <v>1548</v>
      </c>
    </row>
    <row r="800" spans="3:3" x14ac:dyDescent="0.25">
      <c r="C800" t="s">
        <v>1558</v>
      </c>
    </row>
    <row r="801" spans="3:3" x14ac:dyDescent="0.25">
      <c r="C801" t="s">
        <v>2365</v>
      </c>
    </row>
    <row r="802" spans="3:3" x14ac:dyDescent="0.25">
      <c r="C802" t="s">
        <v>2475</v>
      </c>
    </row>
    <row r="803" spans="3:3" x14ac:dyDescent="0.25">
      <c r="C803" t="s">
        <v>2426</v>
      </c>
    </row>
    <row r="804" spans="3:3" x14ac:dyDescent="0.25">
      <c r="C804" t="s">
        <v>382</v>
      </c>
    </row>
    <row r="805" spans="3:3" x14ac:dyDescent="0.25">
      <c r="C805" t="s">
        <v>2186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2572</v>
      </c>
    </row>
    <row r="809" spans="3:3" x14ac:dyDescent="0.25">
      <c r="C809" t="s">
        <v>1928</v>
      </c>
    </row>
    <row r="810" spans="3:3" x14ac:dyDescent="0.25">
      <c r="C810" t="s">
        <v>735</v>
      </c>
    </row>
    <row r="811" spans="3:3" x14ac:dyDescent="0.25">
      <c r="C811" t="s">
        <v>1034</v>
      </c>
    </row>
    <row r="812" spans="3:3" x14ac:dyDescent="0.25">
      <c r="C812" t="s">
        <v>1234</v>
      </c>
    </row>
    <row r="813" spans="3:3" x14ac:dyDescent="0.25">
      <c r="C813" t="s">
        <v>499</v>
      </c>
    </row>
    <row r="814" spans="3:3" x14ac:dyDescent="0.25">
      <c r="C814" t="s">
        <v>2535</v>
      </c>
    </row>
    <row r="815" spans="3:3" x14ac:dyDescent="0.25">
      <c r="C815" t="s">
        <v>495</v>
      </c>
    </row>
    <row r="816" spans="3:3" x14ac:dyDescent="0.25">
      <c r="C816" t="s">
        <v>632</v>
      </c>
    </row>
    <row r="817" spans="3:3" x14ac:dyDescent="0.25">
      <c r="C817" t="s">
        <v>716</v>
      </c>
    </row>
    <row r="818" spans="3:3" x14ac:dyDescent="0.25">
      <c r="C818" t="s">
        <v>1165</v>
      </c>
    </row>
    <row r="819" spans="3:3" x14ac:dyDescent="0.25">
      <c r="C819" t="s">
        <v>2184</v>
      </c>
    </row>
    <row r="820" spans="3:3" x14ac:dyDescent="0.25">
      <c r="C820" t="s">
        <v>1445</v>
      </c>
    </row>
    <row r="821" spans="3:3" x14ac:dyDescent="0.25">
      <c r="C821" t="s">
        <v>1886</v>
      </c>
    </row>
    <row r="822" spans="3:3" x14ac:dyDescent="0.25">
      <c r="C822" t="s">
        <v>2334</v>
      </c>
    </row>
    <row r="823" spans="3:3" x14ac:dyDescent="0.25">
      <c r="C823" t="s">
        <v>704</v>
      </c>
    </row>
    <row r="824" spans="3:3" x14ac:dyDescent="0.25">
      <c r="C824" t="s">
        <v>2420</v>
      </c>
    </row>
    <row r="825" spans="3:3" x14ac:dyDescent="0.25">
      <c r="C825" t="s">
        <v>1572</v>
      </c>
    </row>
    <row r="826" spans="3:3" x14ac:dyDescent="0.25">
      <c r="C826" t="s">
        <v>1396</v>
      </c>
    </row>
    <row r="827" spans="3:3" x14ac:dyDescent="0.25">
      <c r="C827" t="s">
        <v>1930</v>
      </c>
    </row>
    <row r="828" spans="3:3" x14ac:dyDescent="0.25">
      <c r="C828" t="s">
        <v>1378</v>
      </c>
    </row>
    <row r="829" spans="3:3" x14ac:dyDescent="0.25">
      <c r="C829" t="s">
        <v>2547</v>
      </c>
    </row>
    <row r="830" spans="3:3" x14ac:dyDescent="0.25">
      <c r="C830" t="s">
        <v>1556</v>
      </c>
    </row>
    <row r="831" spans="3:3" x14ac:dyDescent="0.25">
      <c r="C831" t="s">
        <v>554</v>
      </c>
    </row>
    <row r="832" spans="3:3" x14ac:dyDescent="0.25">
      <c r="C832" t="s">
        <v>678</v>
      </c>
    </row>
    <row r="833" spans="3:3" x14ac:dyDescent="0.25">
      <c r="C833" t="s">
        <v>2514</v>
      </c>
    </row>
    <row r="834" spans="3:3" x14ac:dyDescent="0.25">
      <c r="C834" t="s">
        <v>2586</v>
      </c>
    </row>
    <row r="835" spans="3:3" x14ac:dyDescent="0.25">
      <c r="C835" t="s">
        <v>464</v>
      </c>
    </row>
    <row r="836" spans="3:3" x14ac:dyDescent="0.25">
      <c r="C836" t="s">
        <v>2576</v>
      </c>
    </row>
    <row r="837" spans="3:3" x14ac:dyDescent="0.25">
      <c r="C837" t="s">
        <v>1833</v>
      </c>
    </row>
    <row r="838" spans="3:3" x14ac:dyDescent="0.25">
      <c r="C838" t="s">
        <v>1856</v>
      </c>
    </row>
    <row r="839" spans="3:3" x14ac:dyDescent="0.25">
      <c r="C839" t="s">
        <v>782</v>
      </c>
    </row>
    <row r="840" spans="3:3" x14ac:dyDescent="0.25">
      <c r="C840" t="s">
        <v>1681</v>
      </c>
    </row>
    <row r="841" spans="3:3" x14ac:dyDescent="0.25">
      <c r="C841" t="s">
        <v>1296</v>
      </c>
    </row>
    <row r="842" spans="3:3" x14ac:dyDescent="0.25">
      <c r="C842" t="s">
        <v>2074</v>
      </c>
    </row>
    <row r="843" spans="3:3" x14ac:dyDescent="0.25">
      <c r="C843" t="s">
        <v>370</v>
      </c>
    </row>
    <row r="844" spans="3:3" x14ac:dyDescent="0.25">
      <c r="C844" t="s">
        <v>2283</v>
      </c>
    </row>
    <row r="845" spans="3:3" x14ac:dyDescent="0.25">
      <c r="C845" t="s">
        <v>849</v>
      </c>
    </row>
    <row r="846" spans="3:3" x14ac:dyDescent="0.25">
      <c r="C846" t="s">
        <v>1068</v>
      </c>
    </row>
    <row r="847" spans="3:3" x14ac:dyDescent="0.25">
      <c r="C847" t="s">
        <v>406</v>
      </c>
    </row>
    <row r="848" spans="3:3" x14ac:dyDescent="0.25">
      <c r="C848" t="s">
        <v>1058</v>
      </c>
    </row>
    <row r="849" spans="3:3" x14ac:dyDescent="0.25">
      <c r="C849" t="s">
        <v>1596</v>
      </c>
    </row>
    <row r="850" spans="3:3" x14ac:dyDescent="0.25">
      <c r="C850" t="s">
        <v>452</v>
      </c>
    </row>
    <row r="851" spans="3:3" x14ac:dyDescent="0.25">
      <c r="C851" t="s">
        <v>2300</v>
      </c>
    </row>
    <row r="852" spans="3:3" x14ac:dyDescent="0.25">
      <c r="C852" t="s">
        <v>1294</v>
      </c>
    </row>
    <row r="853" spans="3:3" x14ac:dyDescent="0.25">
      <c r="C853" t="s">
        <v>400</v>
      </c>
    </row>
    <row r="854" spans="3:3" x14ac:dyDescent="0.25">
      <c r="C854" t="s">
        <v>2063</v>
      </c>
    </row>
    <row r="855" spans="3:3" x14ac:dyDescent="0.25">
      <c r="C855" t="s">
        <v>2031</v>
      </c>
    </row>
    <row r="856" spans="3:3" x14ac:dyDescent="0.25">
      <c r="C856" t="s">
        <v>1587</v>
      </c>
    </row>
    <row r="857" spans="3:3" x14ac:dyDescent="0.25">
      <c r="C857" t="s">
        <v>2075</v>
      </c>
    </row>
    <row r="858" spans="3:3" x14ac:dyDescent="0.25">
      <c r="C858" t="s">
        <v>2294</v>
      </c>
    </row>
    <row r="859" spans="3:3" x14ac:dyDescent="0.25">
      <c r="C859" t="s">
        <v>281</v>
      </c>
    </row>
    <row r="860" spans="3:3" x14ac:dyDescent="0.25">
      <c r="C860" t="s">
        <v>1286</v>
      </c>
    </row>
    <row r="861" spans="3:3" x14ac:dyDescent="0.25">
      <c r="C861" t="s">
        <v>1284</v>
      </c>
    </row>
    <row r="862" spans="3:3" x14ac:dyDescent="0.25">
      <c r="C862" t="s">
        <v>1281</v>
      </c>
    </row>
    <row r="863" spans="3:3" x14ac:dyDescent="0.25">
      <c r="C863" t="s">
        <v>1287</v>
      </c>
    </row>
    <row r="864" spans="3:3" x14ac:dyDescent="0.25">
      <c r="C864" t="s">
        <v>2117</v>
      </c>
    </row>
    <row r="865" spans="3:3" x14ac:dyDescent="0.25">
      <c r="C865" t="s">
        <v>418</v>
      </c>
    </row>
    <row r="866" spans="3:3" x14ac:dyDescent="0.25">
      <c r="C866" t="s">
        <v>1672</v>
      </c>
    </row>
    <row r="867" spans="3:3" x14ac:dyDescent="0.25">
      <c r="C867" t="s">
        <v>1662</v>
      </c>
    </row>
    <row r="868" spans="3:3" x14ac:dyDescent="0.25">
      <c r="C868" t="s">
        <v>1678</v>
      </c>
    </row>
    <row r="869" spans="3:3" x14ac:dyDescent="0.25">
      <c r="C869" t="s">
        <v>1676</v>
      </c>
    </row>
    <row r="870" spans="3:3" x14ac:dyDescent="0.25">
      <c r="C870" t="s">
        <v>2089</v>
      </c>
    </row>
    <row r="871" spans="3:3" x14ac:dyDescent="0.25">
      <c r="C871" t="s">
        <v>2119</v>
      </c>
    </row>
    <row r="872" spans="3:3" x14ac:dyDescent="0.25">
      <c r="C872" t="s">
        <v>2102</v>
      </c>
    </row>
    <row r="873" spans="3:3" x14ac:dyDescent="0.25">
      <c r="C873" t="s">
        <v>2095</v>
      </c>
    </row>
    <row r="874" spans="3:3" x14ac:dyDescent="0.25">
      <c r="C874" t="s">
        <v>1605</v>
      </c>
    </row>
    <row r="875" spans="3:3" x14ac:dyDescent="0.25">
      <c r="C875" t="s">
        <v>1297</v>
      </c>
    </row>
    <row r="876" spans="3:3" x14ac:dyDescent="0.25">
      <c r="C876" t="s">
        <v>1667</v>
      </c>
    </row>
    <row r="877" spans="3:3" x14ac:dyDescent="0.25">
      <c r="C877" t="s">
        <v>1282</v>
      </c>
    </row>
    <row r="878" spans="3:3" x14ac:dyDescent="0.25">
      <c r="C878" t="s">
        <v>1305</v>
      </c>
    </row>
    <row r="879" spans="3:3" x14ac:dyDescent="0.25">
      <c r="C879" t="s">
        <v>2108</v>
      </c>
    </row>
    <row r="880" spans="3:3" x14ac:dyDescent="0.25">
      <c r="C880" t="s">
        <v>1682</v>
      </c>
    </row>
    <row r="881" spans="3:3" x14ac:dyDescent="0.25">
      <c r="C881" t="s">
        <v>1592</v>
      </c>
    </row>
    <row r="882" spans="3:3" x14ac:dyDescent="0.25">
      <c r="C882" t="s">
        <v>2114</v>
      </c>
    </row>
    <row r="883" spans="3:3" x14ac:dyDescent="0.25">
      <c r="C883" t="s">
        <v>1589</v>
      </c>
    </row>
    <row r="884" spans="3:3" x14ac:dyDescent="0.25">
      <c r="C884" t="s">
        <v>1773</v>
      </c>
    </row>
    <row r="885" spans="3:3" x14ac:dyDescent="0.25">
      <c r="C885" t="s">
        <v>1820</v>
      </c>
    </row>
    <row r="886" spans="3:3" x14ac:dyDescent="0.25">
      <c r="C886" t="s">
        <v>1406</v>
      </c>
    </row>
    <row r="887" spans="3:3" x14ac:dyDescent="0.25">
      <c r="C887" t="s">
        <v>1274</v>
      </c>
    </row>
    <row r="888" spans="3:3" x14ac:dyDescent="0.25">
      <c r="C888" t="s">
        <v>592</v>
      </c>
    </row>
    <row r="889" spans="3:3" x14ac:dyDescent="0.25">
      <c r="C889" t="s">
        <v>567</v>
      </c>
    </row>
    <row r="890" spans="3:3" x14ac:dyDescent="0.25">
      <c r="C890" t="s">
        <v>1390</v>
      </c>
    </row>
    <row r="891" spans="3:3" x14ac:dyDescent="0.25">
      <c r="C891" t="s">
        <v>800</v>
      </c>
    </row>
    <row r="892" spans="3:3" x14ac:dyDescent="0.25">
      <c r="C892" t="s">
        <v>2593</v>
      </c>
    </row>
    <row r="893" spans="3:3" x14ac:dyDescent="0.25">
      <c r="C893" t="s">
        <v>1796</v>
      </c>
    </row>
    <row r="894" spans="3:3" x14ac:dyDescent="0.25">
      <c r="C894" t="s">
        <v>2373</v>
      </c>
    </row>
    <row r="895" spans="3:3" x14ac:dyDescent="0.25">
      <c r="C895" t="s">
        <v>628</v>
      </c>
    </row>
    <row r="896" spans="3:3" x14ac:dyDescent="0.25">
      <c r="C896" t="s">
        <v>682</v>
      </c>
    </row>
    <row r="897" spans="3:3" x14ac:dyDescent="0.25">
      <c r="C897" t="s">
        <v>2225</v>
      </c>
    </row>
    <row r="898" spans="3:3" x14ac:dyDescent="0.25">
      <c r="C898" t="s">
        <v>1372</v>
      </c>
    </row>
    <row r="899" spans="3:3" x14ac:dyDescent="0.25">
      <c r="C899" t="s">
        <v>792</v>
      </c>
    </row>
    <row r="900" spans="3:3" x14ac:dyDescent="0.25">
      <c r="C900" t="s">
        <v>1842</v>
      </c>
    </row>
    <row r="901" spans="3:3" x14ac:dyDescent="0.25">
      <c r="C901" t="s">
        <v>1340</v>
      </c>
    </row>
    <row r="902" spans="3:3" x14ac:dyDescent="0.25">
      <c r="C902" t="s">
        <v>1769</v>
      </c>
    </row>
    <row r="903" spans="3:3" x14ac:dyDescent="0.25">
      <c r="C903" t="s">
        <v>1011</v>
      </c>
    </row>
    <row r="904" spans="3:3" x14ac:dyDescent="0.25">
      <c r="C904" t="s">
        <v>509</v>
      </c>
    </row>
    <row r="905" spans="3:3" x14ac:dyDescent="0.25">
      <c r="C905" t="s">
        <v>1042</v>
      </c>
    </row>
    <row r="906" spans="3:3" x14ac:dyDescent="0.25">
      <c r="C906" t="s">
        <v>786</v>
      </c>
    </row>
    <row r="907" spans="3:3" x14ac:dyDescent="0.25">
      <c r="C907" t="s">
        <v>995</v>
      </c>
    </row>
    <row r="908" spans="3:3" x14ac:dyDescent="0.25">
      <c r="C908" t="s">
        <v>752</v>
      </c>
    </row>
    <row r="909" spans="3:3" x14ac:dyDescent="0.25">
      <c r="C909" t="s">
        <v>2408</v>
      </c>
    </row>
    <row r="910" spans="3:3" x14ac:dyDescent="0.25">
      <c r="C910" t="s">
        <v>350</v>
      </c>
    </row>
    <row r="911" spans="3:3" x14ac:dyDescent="0.25">
      <c r="C911" t="s">
        <v>600</v>
      </c>
    </row>
    <row r="912" spans="3:3" x14ac:dyDescent="0.25">
      <c r="C912" t="s">
        <v>2143</v>
      </c>
    </row>
    <row r="913" spans="3:3" x14ac:dyDescent="0.25">
      <c r="C913" t="s">
        <v>623</v>
      </c>
    </row>
    <row r="914" spans="3:3" x14ac:dyDescent="0.25">
      <c r="C914" t="s">
        <v>1218</v>
      </c>
    </row>
    <row r="915" spans="3:3" x14ac:dyDescent="0.25">
      <c r="C915" t="s">
        <v>1862</v>
      </c>
    </row>
    <row r="916" spans="3:3" x14ac:dyDescent="0.25">
      <c r="C916" t="s">
        <v>761</v>
      </c>
    </row>
    <row r="917" spans="3:3" x14ac:dyDescent="0.25">
      <c r="C917" t="s">
        <v>997</v>
      </c>
    </row>
    <row r="918" spans="3:3" x14ac:dyDescent="0.25">
      <c r="C918" t="s">
        <v>905</v>
      </c>
    </row>
    <row r="919" spans="3:3" x14ac:dyDescent="0.25">
      <c r="C919" t="s">
        <v>493</v>
      </c>
    </row>
    <row r="920" spans="3:3" x14ac:dyDescent="0.25">
      <c r="C920" t="s">
        <v>712</v>
      </c>
    </row>
    <row r="921" spans="3:3" x14ac:dyDescent="0.25">
      <c r="C921" t="s">
        <v>2237</v>
      </c>
    </row>
    <row r="922" spans="3:3" x14ac:dyDescent="0.25">
      <c r="C922" t="s">
        <v>901</v>
      </c>
    </row>
    <row r="923" spans="3:3" x14ac:dyDescent="0.25">
      <c r="C923" t="s">
        <v>424</v>
      </c>
    </row>
    <row r="924" spans="3:3" x14ac:dyDescent="0.25">
      <c r="C924" t="s">
        <v>779</v>
      </c>
    </row>
    <row r="925" spans="3:3" x14ac:dyDescent="0.25">
      <c r="C925" t="s">
        <v>676</v>
      </c>
    </row>
    <row r="926" spans="3:3" x14ac:dyDescent="0.25">
      <c r="C926" t="s">
        <v>1054</v>
      </c>
    </row>
    <row r="927" spans="3:3" x14ac:dyDescent="0.25">
      <c r="C927" t="s">
        <v>1421</v>
      </c>
    </row>
    <row r="928" spans="3:3" x14ac:dyDescent="0.25">
      <c r="C928" t="s">
        <v>1299</v>
      </c>
    </row>
    <row r="929" spans="3:3" x14ac:dyDescent="0.25">
      <c r="C929" t="s">
        <v>2112</v>
      </c>
    </row>
    <row r="930" spans="3:3" x14ac:dyDescent="0.25">
      <c r="C930" t="s">
        <v>2100</v>
      </c>
    </row>
    <row r="931" spans="3:3" x14ac:dyDescent="0.25">
      <c r="C931" t="s">
        <v>2104</v>
      </c>
    </row>
    <row r="932" spans="3:3" x14ac:dyDescent="0.25">
      <c r="C932" t="s">
        <v>2058</v>
      </c>
    </row>
    <row r="933" spans="3:3" x14ac:dyDescent="0.25">
      <c r="C933" t="s">
        <v>843</v>
      </c>
    </row>
    <row r="934" spans="3:3" x14ac:dyDescent="0.25">
      <c r="C934" t="s">
        <v>346</v>
      </c>
    </row>
    <row r="935" spans="3:3" x14ac:dyDescent="0.25">
      <c r="C935" t="s">
        <v>1674</v>
      </c>
    </row>
    <row r="936" spans="3:3" x14ac:dyDescent="0.25">
      <c r="C936" t="s">
        <v>1673</v>
      </c>
    </row>
    <row r="937" spans="3:3" x14ac:dyDescent="0.25">
      <c r="C937" t="s">
        <v>1661</v>
      </c>
    </row>
    <row r="938" spans="3:3" x14ac:dyDescent="0.25">
      <c r="C938" t="s">
        <v>870</v>
      </c>
    </row>
    <row r="939" spans="3:3" x14ac:dyDescent="0.25">
      <c r="C939" t="s">
        <v>364</v>
      </c>
    </row>
    <row r="940" spans="3:3" x14ac:dyDescent="0.25">
      <c r="C940" t="s">
        <v>2015</v>
      </c>
    </row>
    <row r="941" spans="3:3" x14ac:dyDescent="0.25">
      <c r="C941" t="s">
        <v>2267</v>
      </c>
    </row>
    <row r="942" spans="3:3" x14ac:dyDescent="0.25">
      <c r="C942" t="s">
        <v>2512</v>
      </c>
    </row>
    <row r="943" spans="3:3" x14ac:dyDescent="0.25">
      <c r="C943" t="s">
        <v>1387</v>
      </c>
    </row>
    <row r="944" spans="3:3" x14ac:dyDescent="0.25">
      <c r="C944" t="s">
        <v>543</v>
      </c>
    </row>
    <row r="945" spans="3:3" x14ac:dyDescent="0.25">
      <c r="C945" t="s">
        <v>1942</v>
      </c>
    </row>
    <row r="946" spans="3:3" x14ac:dyDescent="0.25">
      <c r="C946" t="s">
        <v>287</v>
      </c>
    </row>
    <row r="947" spans="3:3" x14ac:dyDescent="0.25">
      <c r="C947" t="s">
        <v>1228</v>
      </c>
    </row>
    <row r="948" spans="3:3" x14ac:dyDescent="0.25">
      <c r="C948" t="s">
        <v>1185</v>
      </c>
    </row>
    <row r="949" spans="3:3" x14ac:dyDescent="0.25">
      <c r="C949" t="s">
        <v>2009</v>
      </c>
    </row>
    <row r="950" spans="3:3" x14ac:dyDescent="0.25">
      <c r="C950" t="s">
        <v>876</v>
      </c>
    </row>
    <row r="951" spans="3:3" x14ac:dyDescent="0.25">
      <c r="C951" t="s">
        <v>2471</v>
      </c>
    </row>
    <row r="952" spans="3:3" x14ac:dyDescent="0.25">
      <c r="C952" t="s">
        <v>2649</v>
      </c>
    </row>
    <row r="953" spans="3:3" x14ac:dyDescent="0.25">
      <c r="C953" t="s">
        <v>2493</v>
      </c>
    </row>
    <row r="954" spans="3:3" x14ac:dyDescent="0.25">
      <c r="C954" t="s">
        <v>1197</v>
      </c>
    </row>
    <row r="955" spans="3:3" x14ac:dyDescent="0.25">
      <c r="C955" t="s">
        <v>2249</v>
      </c>
    </row>
    <row r="956" spans="3:3" x14ac:dyDescent="0.25">
      <c r="C956" t="s">
        <v>1957</v>
      </c>
    </row>
    <row r="957" spans="3:3" x14ac:dyDescent="0.25">
      <c r="C957" t="s">
        <v>1906</v>
      </c>
    </row>
    <row r="958" spans="3:3" x14ac:dyDescent="0.25">
      <c r="C958" t="s">
        <v>1744</v>
      </c>
    </row>
    <row r="959" spans="3:3" x14ac:dyDescent="0.25">
      <c r="C959" t="s">
        <v>2424</v>
      </c>
    </row>
    <row r="960" spans="3:3" x14ac:dyDescent="0.25">
      <c r="C960" t="s">
        <v>2641</v>
      </c>
    </row>
    <row r="961" spans="3:3" x14ac:dyDescent="0.25">
      <c r="C961" t="s">
        <v>2657</v>
      </c>
    </row>
    <row r="962" spans="3:3" x14ac:dyDescent="0.25">
      <c r="C962" t="s">
        <v>1730</v>
      </c>
    </row>
    <row r="963" spans="3:3" x14ac:dyDescent="0.25">
      <c r="C963" t="s">
        <v>515</v>
      </c>
    </row>
    <row r="964" spans="3:3" x14ac:dyDescent="0.25">
      <c r="C964" t="s">
        <v>1679</v>
      </c>
    </row>
    <row r="965" spans="3:3" x14ac:dyDescent="0.25">
      <c r="C965" t="s">
        <v>1704</v>
      </c>
    </row>
    <row r="966" spans="3:3" x14ac:dyDescent="0.25">
      <c r="C966" t="s">
        <v>1304</v>
      </c>
    </row>
    <row r="967" spans="3:3" x14ac:dyDescent="0.25">
      <c r="C967" t="s">
        <v>1475</v>
      </c>
    </row>
    <row r="968" spans="3:3" x14ac:dyDescent="0.25">
      <c r="C968" t="s">
        <v>634</v>
      </c>
    </row>
    <row r="969" spans="3:3" x14ac:dyDescent="0.25">
      <c r="C969" t="s">
        <v>1934</v>
      </c>
    </row>
    <row r="970" spans="3:3" x14ac:dyDescent="0.25">
      <c r="C970" t="s">
        <v>2202</v>
      </c>
    </row>
    <row r="971" spans="3:3" x14ac:dyDescent="0.25">
      <c r="C971" t="s">
        <v>919</v>
      </c>
    </row>
    <row r="972" spans="3:3" x14ac:dyDescent="0.25">
      <c r="C972" t="s">
        <v>1238</v>
      </c>
    </row>
    <row r="973" spans="3:3" x14ac:dyDescent="0.25">
      <c r="C973" t="s">
        <v>1411</v>
      </c>
    </row>
    <row r="974" spans="3:3" x14ac:dyDescent="0.25">
      <c r="C974" t="s">
        <v>2212</v>
      </c>
    </row>
    <row r="975" spans="3:3" x14ac:dyDescent="0.25">
      <c r="C975" t="s">
        <v>1206</v>
      </c>
    </row>
    <row r="976" spans="3:3" x14ac:dyDescent="0.25">
      <c r="C976" t="s">
        <v>1240</v>
      </c>
    </row>
    <row r="977" spans="3:3" x14ac:dyDescent="0.25">
      <c r="C977" t="s">
        <v>636</v>
      </c>
    </row>
    <row r="978" spans="3:3" x14ac:dyDescent="0.25">
      <c r="C978" t="s">
        <v>706</v>
      </c>
    </row>
    <row r="979" spans="3:3" x14ac:dyDescent="0.25">
      <c r="C979" t="s">
        <v>1072</v>
      </c>
    </row>
    <row r="980" spans="3:3" x14ac:dyDescent="0.25">
      <c r="C980" t="s">
        <v>692</v>
      </c>
    </row>
    <row r="981" spans="3:3" x14ac:dyDescent="0.25">
      <c r="C981" t="s">
        <v>1534</v>
      </c>
    </row>
    <row r="982" spans="3:3" x14ac:dyDescent="0.25">
      <c r="C982" t="s">
        <v>672</v>
      </c>
    </row>
    <row r="983" spans="3:3" x14ac:dyDescent="0.25">
      <c r="C983" t="s">
        <v>686</v>
      </c>
    </row>
    <row r="984" spans="3:3" x14ac:dyDescent="0.25">
      <c r="C984" t="s">
        <v>2200</v>
      </c>
    </row>
    <row r="985" spans="3:3" x14ac:dyDescent="0.25">
      <c r="C985" t="s">
        <v>1173</v>
      </c>
    </row>
    <row r="986" spans="3:3" x14ac:dyDescent="0.25">
      <c r="C986" t="s">
        <v>1048</v>
      </c>
    </row>
    <row r="987" spans="3:3" x14ac:dyDescent="0.25">
      <c r="C987" t="s">
        <v>1157</v>
      </c>
    </row>
    <row r="988" spans="3:3" x14ac:dyDescent="0.25">
      <c r="C988" t="s">
        <v>1260</v>
      </c>
    </row>
    <row r="989" spans="3:3" x14ac:dyDescent="0.25">
      <c r="C989" t="s">
        <v>722</v>
      </c>
    </row>
    <row r="990" spans="3:3" x14ac:dyDescent="0.25">
      <c r="C990" t="s">
        <v>718</v>
      </c>
    </row>
    <row r="991" spans="3:3" x14ac:dyDescent="0.25">
      <c r="C991" t="s">
        <v>1696</v>
      </c>
    </row>
    <row r="992" spans="3:3" x14ac:dyDescent="0.25">
      <c r="C992" t="s">
        <v>1701</v>
      </c>
    </row>
    <row r="993" spans="3:3" x14ac:dyDescent="0.25">
      <c r="C993" t="s">
        <v>469</v>
      </c>
    </row>
    <row r="994" spans="3:3" x14ac:dyDescent="0.25">
      <c r="C994" t="s">
        <v>330</v>
      </c>
    </row>
    <row r="995" spans="3:3" x14ac:dyDescent="0.25">
      <c r="C995" t="s">
        <v>2077</v>
      </c>
    </row>
    <row r="996" spans="3:3" x14ac:dyDescent="0.25">
      <c r="C996" t="s">
        <v>2068</v>
      </c>
    </row>
    <row r="997" spans="3:3" x14ac:dyDescent="0.25">
      <c r="C997" t="s">
        <v>402</v>
      </c>
    </row>
    <row r="998" spans="3:3" x14ac:dyDescent="0.25">
      <c r="C998" t="s">
        <v>854</v>
      </c>
    </row>
    <row r="999" spans="3:3" x14ac:dyDescent="0.25">
      <c r="C999" t="s">
        <v>1838</v>
      </c>
    </row>
    <row r="1000" spans="3:3" x14ac:dyDescent="0.25">
      <c r="C1000" t="s">
        <v>1491</v>
      </c>
    </row>
    <row r="1001" spans="3:3" x14ac:dyDescent="0.25">
      <c r="C1001" t="s">
        <v>2605</v>
      </c>
    </row>
    <row r="1002" spans="3:3" x14ac:dyDescent="0.25">
      <c r="C1002" t="s">
        <v>548</v>
      </c>
    </row>
    <row r="1003" spans="3:3" x14ac:dyDescent="0.25">
      <c r="C1003" t="s">
        <v>1757</v>
      </c>
    </row>
    <row r="1004" spans="3:3" x14ac:dyDescent="0.25">
      <c r="C1004" t="s">
        <v>2578</v>
      </c>
    </row>
    <row r="1005" spans="3:3" x14ac:dyDescent="0.25">
      <c r="C1005" t="s">
        <v>2631</v>
      </c>
    </row>
    <row r="1006" spans="3:3" x14ac:dyDescent="0.25">
      <c r="C1006" t="s">
        <v>1091</v>
      </c>
    </row>
    <row r="1007" spans="3:3" x14ac:dyDescent="0.25">
      <c r="C1007" t="s">
        <v>552</v>
      </c>
    </row>
    <row r="1008" spans="3:3" x14ac:dyDescent="0.25">
      <c r="C1008" t="s">
        <v>556</v>
      </c>
    </row>
    <row r="1009" spans="3:3" x14ac:dyDescent="0.25">
      <c r="C1009" t="s">
        <v>2590</v>
      </c>
    </row>
    <row r="1010" spans="3:3" x14ac:dyDescent="0.25">
      <c r="C1010" t="s">
        <v>338</v>
      </c>
    </row>
    <row r="1011" spans="3:3" x14ac:dyDescent="0.25">
      <c r="C1011" t="s">
        <v>1566</v>
      </c>
    </row>
    <row r="1012" spans="3:3" x14ac:dyDescent="0.25">
      <c r="C1012" t="s">
        <v>2430</v>
      </c>
    </row>
    <row r="1013" spans="3:3" x14ac:dyDescent="0.25">
      <c r="C1013" t="s">
        <v>2154</v>
      </c>
    </row>
    <row r="1014" spans="3:3" x14ac:dyDescent="0.25">
      <c r="C1014" t="s">
        <v>612</v>
      </c>
    </row>
    <row r="1015" spans="3:3" x14ac:dyDescent="0.25">
      <c r="C1015" t="s">
        <v>1640</v>
      </c>
    </row>
    <row r="1016" spans="3:3" x14ac:dyDescent="0.25">
      <c r="C1016" t="s">
        <v>2450</v>
      </c>
    </row>
    <row r="1017" spans="3:3" x14ac:dyDescent="0.25">
      <c r="C1017" t="s">
        <v>2005</v>
      </c>
    </row>
    <row r="1018" spans="3:3" x14ac:dyDescent="0.25">
      <c r="C1018" t="s">
        <v>2385</v>
      </c>
    </row>
    <row r="1019" spans="3:3" x14ac:dyDescent="0.25">
      <c r="C1019" t="s">
        <v>2231</v>
      </c>
    </row>
    <row r="1020" spans="3:3" x14ac:dyDescent="0.25">
      <c r="C1020" t="s">
        <v>475</v>
      </c>
    </row>
    <row r="1021" spans="3:3" x14ac:dyDescent="0.25">
      <c r="C1021" t="s">
        <v>1775</v>
      </c>
    </row>
    <row r="1022" spans="3:3" x14ac:dyDescent="0.25">
      <c r="C1022" t="s">
        <v>1141</v>
      </c>
    </row>
    <row r="1023" spans="3:3" x14ac:dyDescent="0.25">
      <c r="C1023" t="s">
        <v>450</v>
      </c>
    </row>
    <row r="1024" spans="3:3" x14ac:dyDescent="0.25">
      <c r="C1024" t="s">
        <v>489</v>
      </c>
    </row>
    <row r="1025" spans="3:3" x14ac:dyDescent="0.25">
      <c r="C1025" t="s">
        <v>2446</v>
      </c>
    </row>
    <row r="1026" spans="3:3" x14ac:dyDescent="0.25">
      <c r="C1026" t="s">
        <v>893</v>
      </c>
    </row>
    <row r="1027" spans="3:3" x14ac:dyDescent="0.25">
      <c r="C1027" t="s">
        <v>535</v>
      </c>
    </row>
    <row r="1028" spans="3:3" x14ac:dyDescent="0.25">
      <c r="C1028" t="s">
        <v>580</v>
      </c>
    </row>
    <row r="1029" spans="3:3" x14ac:dyDescent="0.25">
      <c r="C1029" t="s">
        <v>1974</v>
      </c>
    </row>
    <row r="1030" spans="3:3" x14ac:dyDescent="0.25">
      <c r="C1030" t="s">
        <v>527</v>
      </c>
    </row>
    <row r="1031" spans="3:3" x14ac:dyDescent="0.25">
      <c r="C1031" t="s">
        <v>2554</v>
      </c>
    </row>
    <row r="1032" spans="3:3" x14ac:dyDescent="0.25">
      <c r="C1032" t="s">
        <v>1523</v>
      </c>
    </row>
    <row r="1033" spans="3:3" x14ac:dyDescent="0.25">
      <c r="C1033" t="s">
        <v>1710</v>
      </c>
    </row>
    <row r="1034" spans="3:3" x14ac:dyDescent="0.25">
      <c r="C1034" t="s">
        <v>1546</v>
      </c>
    </row>
    <row r="1035" spans="3:3" x14ac:dyDescent="0.25">
      <c r="C1035" t="s">
        <v>948</v>
      </c>
    </row>
    <row r="1036" spans="3:3" x14ac:dyDescent="0.25">
      <c r="C1036" t="s">
        <v>1347</v>
      </c>
    </row>
    <row r="1037" spans="3:3" x14ac:dyDescent="0.25">
      <c r="C1037" t="s">
        <v>2367</v>
      </c>
    </row>
    <row r="1038" spans="3:3" x14ac:dyDescent="0.25">
      <c r="C1038" t="s">
        <v>1813</v>
      </c>
    </row>
    <row r="1039" spans="3:3" x14ac:dyDescent="0.25">
      <c r="C1039" t="s">
        <v>710</v>
      </c>
    </row>
    <row r="1040" spans="3:3" x14ac:dyDescent="0.25">
      <c r="C1040" t="s">
        <v>2043</v>
      </c>
    </row>
    <row r="1041" spans="3:3" x14ac:dyDescent="0.25">
      <c r="C1041" t="s">
        <v>2172</v>
      </c>
    </row>
    <row r="1042" spans="3:3" x14ac:dyDescent="0.25">
      <c r="C1042" t="s">
        <v>1888</v>
      </c>
    </row>
    <row r="1043" spans="3:3" x14ac:dyDescent="0.25">
      <c r="C1043" t="s">
        <v>1089</v>
      </c>
    </row>
    <row r="1044" spans="3:3" x14ac:dyDescent="0.25">
      <c r="C1044" t="s">
        <v>2391</v>
      </c>
    </row>
    <row r="1045" spans="3:3" x14ac:dyDescent="0.25">
      <c r="C1045" t="s">
        <v>2229</v>
      </c>
    </row>
    <row r="1046" spans="3:3" x14ac:dyDescent="0.25">
      <c r="C1046" t="s">
        <v>2602</v>
      </c>
    </row>
    <row r="1047" spans="3:3" x14ac:dyDescent="0.25">
      <c r="C1047" t="s">
        <v>565</v>
      </c>
    </row>
    <row r="1048" spans="3:3" x14ac:dyDescent="0.25">
      <c r="C1048" t="s">
        <v>366</v>
      </c>
    </row>
    <row r="1049" spans="3:3" x14ac:dyDescent="0.25">
      <c r="C1049" t="s">
        <v>1675</v>
      </c>
    </row>
    <row r="1050" spans="3:3" x14ac:dyDescent="0.25">
      <c r="C1050" t="s">
        <v>1291</v>
      </c>
    </row>
    <row r="1051" spans="3:3" x14ac:dyDescent="0.25">
      <c r="C1051" t="s">
        <v>302</v>
      </c>
    </row>
    <row r="1052" spans="3:3" x14ac:dyDescent="0.25">
      <c r="C1052" t="s">
        <v>845</v>
      </c>
    </row>
    <row r="1053" spans="3:3" x14ac:dyDescent="0.25">
      <c r="C1053" t="s">
        <v>1584</v>
      </c>
    </row>
    <row r="1054" spans="3:3" x14ac:dyDescent="0.25">
      <c r="C1054" t="s">
        <v>2059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2064</v>
      </c>
    </row>
    <row r="1058" spans="3:3" x14ac:dyDescent="0.25">
      <c r="C1058" t="s">
        <v>2056</v>
      </c>
    </row>
    <row r="1059" spans="3:3" x14ac:dyDescent="0.25">
      <c r="C1059" t="s">
        <v>868</v>
      </c>
    </row>
    <row r="1060" spans="3:3" x14ac:dyDescent="0.25">
      <c r="C1060" t="s">
        <v>1216</v>
      </c>
    </row>
    <row r="1061" spans="3:3" x14ac:dyDescent="0.25">
      <c r="C1061" t="s">
        <v>2487</v>
      </c>
    </row>
    <row r="1062" spans="3:3" x14ac:dyDescent="0.25">
      <c r="C1062" t="s">
        <v>1783</v>
      </c>
    </row>
    <row r="1063" spans="3:3" x14ac:dyDescent="0.25">
      <c r="C1063" t="s">
        <v>936</v>
      </c>
    </row>
    <row r="1064" spans="3:3" x14ac:dyDescent="0.25">
      <c r="C1064" t="s">
        <v>1021</v>
      </c>
    </row>
    <row r="1065" spans="3:3" x14ac:dyDescent="0.25">
      <c r="C1065" t="s">
        <v>818</v>
      </c>
    </row>
    <row r="1066" spans="3:3" x14ac:dyDescent="0.25">
      <c r="C1066" t="s">
        <v>2412</v>
      </c>
    </row>
    <row r="1067" spans="3:3" x14ac:dyDescent="0.25">
      <c r="C1067" t="s">
        <v>1938</v>
      </c>
    </row>
    <row r="1068" spans="3:3" x14ac:dyDescent="0.25">
      <c r="C1068" t="s">
        <v>2539</v>
      </c>
    </row>
    <row r="1069" spans="3:3" x14ac:dyDescent="0.25">
      <c r="C1069" t="s">
        <v>2584</v>
      </c>
    </row>
    <row r="1070" spans="3:3" x14ac:dyDescent="0.25">
      <c r="C1070" t="s">
        <v>2574</v>
      </c>
    </row>
    <row r="1071" spans="3:3" x14ac:dyDescent="0.25">
      <c r="C1071" t="s">
        <v>2233</v>
      </c>
    </row>
    <row r="1072" spans="3:3" x14ac:dyDescent="0.25">
      <c r="C1072" t="s">
        <v>1135</v>
      </c>
    </row>
    <row r="1073" spans="3:3" x14ac:dyDescent="0.25">
      <c r="C1073" t="s">
        <v>560</v>
      </c>
    </row>
    <row r="1074" spans="3:3" x14ac:dyDescent="0.25">
      <c r="C1074" t="s">
        <v>2520</v>
      </c>
    </row>
    <row r="1075" spans="3:3" x14ac:dyDescent="0.25">
      <c r="C1075" t="s">
        <v>1789</v>
      </c>
    </row>
    <row r="1076" spans="3:3" x14ac:dyDescent="0.25">
      <c r="C1076" t="s">
        <v>2655</v>
      </c>
    </row>
    <row r="1077" spans="3:3" x14ac:dyDescent="0.25">
      <c r="C1077" t="s">
        <v>899</v>
      </c>
    </row>
    <row r="1078" spans="3:3" x14ac:dyDescent="0.25">
      <c r="C1078" t="s">
        <v>1554</v>
      </c>
    </row>
    <row r="1079" spans="3:3" x14ac:dyDescent="0.25">
      <c r="C1079" t="s">
        <v>1093</v>
      </c>
    </row>
    <row r="1080" spans="3:3" x14ac:dyDescent="0.25">
      <c r="C1080" t="s">
        <v>1204</v>
      </c>
    </row>
    <row r="1081" spans="3:3" x14ac:dyDescent="0.25">
      <c r="C1081" t="s">
        <v>1562</v>
      </c>
    </row>
    <row r="1082" spans="3:3" x14ac:dyDescent="0.25">
      <c r="C1082" t="s">
        <v>1755</v>
      </c>
    </row>
    <row r="1083" spans="3:3" x14ac:dyDescent="0.25">
      <c r="C1083" t="s">
        <v>1121</v>
      </c>
    </row>
    <row r="1084" spans="3:3" x14ac:dyDescent="0.25">
      <c r="C1084" t="s">
        <v>1536</v>
      </c>
    </row>
    <row r="1085" spans="3:3" x14ac:dyDescent="0.25">
      <c r="C1085" t="s">
        <v>2251</v>
      </c>
    </row>
    <row r="1086" spans="3:3" x14ac:dyDescent="0.25">
      <c r="C1086" t="s">
        <v>730</v>
      </c>
    </row>
    <row r="1087" spans="3:3" x14ac:dyDescent="0.25">
      <c r="C1087" t="s">
        <v>983</v>
      </c>
    </row>
    <row r="1088" spans="3:3" x14ac:dyDescent="0.25">
      <c r="C1088" t="s">
        <v>1544</v>
      </c>
    </row>
    <row r="1089" spans="3:3" x14ac:dyDescent="0.25">
      <c r="C1089" t="s">
        <v>798</v>
      </c>
    </row>
    <row r="1090" spans="3:3" x14ac:dyDescent="0.25">
      <c r="C1090" t="s">
        <v>737</v>
      </c>
    </row>
    <row r="1091" spans="3:3" x14ac:dyDescent="0.25">
      <c r="C1091" t="s">
        <v>1918</v>
      </c>
    </row>
    <row r="1092" spans="3:3" x14ac:dyDescent="0.25">
      <c r="C1092" t="s">
        <v>446</v>
      </c>
    </row>
    <row r="1093" spans="3:3" x14ac:dyDescent="0.25">
      <c r="C1093" t="s">
        <v>2151</v>
      </c>
    </row>
    <row r="1094" spans="3:3" x14ac:dyDescent="0.25">
      <c r="C1094" t="s">
        <v>310</v>
      </c>
    </row>
    <row r="1095" spans="3:3" x14ac:dyDescent="0.25">
      <c r="C1095" t="s">
        <v>2568</v>
      </c>
    </row>
    <row r="1096" spans="3:3" x14ac:dyDescent="0.25">
      <c r="C1096" t="s">
        <v>1574</v>
      </c>
    </row>
    <row r="1097" spans="3:3" x14ac:dyDescent="0.25">
      <c r="C1097" t="s">
        <v>999</v>
      </c>
    </row>
    <row r="1098" spans="3:3" x14ac:dyDescent="0.25">
      <c r="C1098" t="s">
        <v>2635</v>
      </c>
    </row>
    <row r="1099" spans="3:3" x14ac:dyDescent="0.25">
      <c r="C1099" t="s">
        <v>2489</v>
      </c>
    </row>
    <row r="1100" spans="3:3" x14ac:dyDescent="0.25">
      <c r="C1100" t="s">
        <v>698</v>
      </c>
    </row>
    <row r="1101" spans="3:3" x14ac:dyDescent="0.25">
      <c r="C1101" t="s">
        <v>796</v>
      </c>
    </row>
    <row r="1102" spans="3:3" x14ac:dyDescent="0.25">
      <c r="C1102" t="s">
        <v>1802</v>
      </c>
    </row>
    <row r="1103" spans="3:3" x14ac:dyDescent="0.25">
      <c r="C1103" t="s">
        <v>2564</v>
      </c>
    </row>
    <row r="1104" spans="3:3" x14ac:dyDescent="0.25">
      <c r="C1104" t="s">
        <v>1081</v>
      </c>
    </row>
    <row r="1105" spans="3:3" x14ac:dyDescent="0.25">
      <c r="C1105" t="s">
        <v>1890</v>
      </c>
    </row>
    <row r="1106" spans="3:3" x14ac:dyDescent="0.25">
      <c r="C1106" t="s">
        <v>1910</v>
      </c>
    </row>
    <row r="1107" spans="3:3" x14ac:dyDescent="0.25">
      <c r="C1107" t="s">
        <v>1618</v>
      </c>
    </row>
    <row r="1108" spans="3:3" x14ac:dyDescent="0.25">
      <c r="C1108" t="s">
        <v>2458</v>
      </c>
    </row>
    <row r="1109" spans="3:3" x14ac:dyDescent="0.25">
      <c r="C1109" t="s">
        <v>2369</v>
      </c>
    </row>
    <row r="1110" spans="3:3" x14ac:dyDescent="0.25">
      <c r="C1110" t="s">
        <v>1665</v>
      </c>
    </row>
    <row r="1111" spans="3:3" x14ac:dyDescent="0.25">
      <c r="C1111" t="s">
        <v>2076</v>
      </c>
    </row>
    <row r="1112" spans="3:3" x14ac:dyDescent="0.25">
      <c r="C1112" t="s">
        <v>1663</v>
      </c>
    </row>
    <row r="1113" spans="3:3" x14ac:dyDescent="0.25">
      <c r="C1113" t="s">
        <v>2123</v>
      </c>
    </row>
    <row r="1114" spans="3:3" x14ac:dyDescent="0.25">
      <c r="C1114" t="s">
        <v>2118</v>
      </c>
    </row>
    <row r="1115" spans="3:3" x14ac:dyDescent="0.25">
      <c r="C1115" t="s">
        <v>2066</v>
      </c>
    </row>
    <row r="1116" spans="3:3" x14ac:dyDescent="0.25">
      <c r="C1116" t="s">
        <v>2111</v>
      </c>
    </row>
    <row r="1117" spans="3:3" x14ac:dyDescent="0.25">
      <c r="C1117" t="s">
        <v>1693</v>
      </c>
    </row>
    <row r="1118" spans="3:3" x14ac:dyDescent="0.25">
      <c r="C1118" t="s">
        <v>851</v>
      </c>
    </row>
    <row r="1119" spans="3:3" x14ac:dyDescent="0.25">
      <c r="C1119" t="s">
        <v>440</v>
      </c>
    </row>
    <row r="1120" spans="3:3" x14ac:dyDescent="0.25">
      <c r="C1120" t="s">
        <v>1686</v>
      </c>
    </row>
    <row r="1121" spans="3:3" x14ac:dyDescent="0.25">
      <c r="C1121" t="s">
        <v>853</v>
      </c>
    </row>
    <row r="1122" spans="3:3" x14ac:dyDescent="0.25">
      <c r="C1122" t="s">
        <v>850</v>
      </c>
    </row>
    <row r="1123" spans="3:3" x14ac:dyDescent="0.25">
      <c r="C1123" t="s">
        <v>2082</v>
      </c>
    </row>
    <row r="1124" spans="3:3" x14ac:dyDescent="0.25">
      <c r="C1124" t="s">
        <v>2124</v>
      </c>
    </row>
    <row r="1125" spans="3:3" x14ac:dyDescent="0.25">
      <c r="C1125" t="s">
        <v>1936</v>
      </c>
    </row>
    <row r="1126" spans="3:3" x14ac:dyDescent="0.25">
      <c r="C1126" t="s">
        <v>2537</v>
      </c>
    </row>
    <row r="1127" spans="3:3" x14ac:dyDescent="0.25">
      <c r="C1127" t="s">
        <v>2346</v>
      </c>
    </row>
    <row r="1128" spans="3:3" x14ac:dyDescent="0.25">
      <c r="C1128" t="s">
        <v>614</v>
      </c>
    </row>
    <row r="1129" spans="3:3" x14ac:dyDescent="0.25">
      <c r="C1129" t="s">
        <v>1868</v>
      </c>
    </row>
    <row r="1130" spans="3:3" x14ac:dyDescent="0.25">
      <c r="C1130" t="s">
        <v>1079</v>
      </c>
    </row>
    <row r="1131" spans="3:3" x14ac:dyDescent="0.25">
      <c r="C1131" t="s">
        <v>1003</v>
      </c>
    </row>
    <row r="1132" spans="3:3" x14ac:dyDescent="0.25">
      <c r="C1132" t="s">
        <v>915</v>
      </c>
    </row>
    <row r="1133" spans="3:3" x14ac:dyDescent="0.25">
      <c r="C1133" t="s">
        <v>749</v>
      </c>
    </row>
    <row r="1134" spans="3:3" x14ac:dyDescent="0.25">
      <c r="C1134" t="s">
        <v>1105</v>
      </c>
    </row>
    <row r="1135" spans="3:3" x14ac:dyDescent="0.25">
      <c r="C1135" t="s">
        <v>1175</v>
      </c>
    </row>
    <row r="1136" spans="3:3" x14ac:dyDescent="0.25">
      <c r="C1136" t="s">
        <v>344</v>
      </c>
    </row>
    <row r="1137" spans="3:3" x14ac:dyDescent="0.25">
      <c r="C1137" t="s">
        <v>1077</v>
      </c>
    </row>
    <row r="1138" spans="3:3" x14ac:dyDescent="0.25">
      <c r="C1138" t="s">
        <v>977</v>
      </c>
    </row>
    <row r="1139" spans="3:3" x14ac:dyDescent="0.25">
      <c r="C1139" t="s">
        <v>2160</v>
      </c>
    </row>
    <row r="1140" spans="3:3" x14ac:dyDescent="0.25">
      <c r="C1140" t="s">
        <v>1056</v>
      </c>
    </row>
    <row r="1141" spans="3:3" x14ac:dyDescent="0.25">
      <c r="C1141" t="s">
        <v>1610</v>
      </c>
    </row>
    <row r="1142" spans="3:3" x14ac:dyDescent="0.25">
      <c r="C1142" t="s">
        <v>1914</v>
      </c>
    </row>
    <row r="1143" spans="3:3" x14ac:dyDescent="0.25">
      <c r="C1143" t="s">
        <v>336</v>
      </c>
    </row>
    <row r="1144" spans="3:3" x14ac:dyDescent="0.25">
      <c r="C1144" t="s">
        <v>1137</v>
      </c>
    </row>
    <row r="1145" spans="3:3" x14ac:dyDescent="0.25">
      <c r="C1145" t="s">
        <v>1831</v>
      </c>
    </row>
    <row r="1146" spans="3:3" x14ac:dyDescent="0.25">
      <c r="C1146" t="s">
        <v>1644</v>
      </c>
    </row>
    <row r="1147" spans="3:3" x14ac:dyDescent="0.25">
      <c r="C1147" t="s">
        <v>1323</v>
      </c>
    </row>
    <row r="1148" spans="3:3" x14ac:dyDescent="0.25">
      <c r="C1148" t="s">
        <v>2269</v>
      </c>
    </row>
    <row r="1149" spans="3:3" x14ac:dyDescent="0.25">
      <c r="C1149" t="s">
        <v>2235</v>
      </c>
    </row>
    <row r="1150" spans="3:3" x14ac:dyDescent="0.25">
      <c r="C1150" t="s">
        <v>2259</v>
      </c>
    </row>
    <row r="1151" spans="3:3" x14ac:dyDescent="0.25">
      <c r="C1151" t="s">
        <v>754</v>
      </c>
    </row>
    <row r="1152" spans="3:3" x14ac:dyDescent="0.25">
      <c r="C1152" t="s">
        <v>2255</v>
      </c>
    </row>
    <row r="1153" spans="3:3" x14ac:dyDescent="0.25">
      <c r="C1153" t="s">
        <v>2271</v>
      </c>
    </row>
    <row r="1154" spans="3:3" x14ac:dyDescent="0.25">
      <c r="C1154" t="s">
        <v>794</v>
      </c>
    </row>
    <row r="1155" spans="3:3" x14ac:dyDescent="0.25">
      <c r="C1155" t="s">
        <v>1111</v>
      </c>
    </row>
    <row r="1156" spans="3:3" x14ac:dyDescent="0.25">
      <c r="C1156" t="s">
        <v>921</v>
      </c>
    </row>
    <row r="1157" spans="3:3" x14ac:dyDescent="0.25">
      <c r="C1157" t="s">
        <v>1453</v>
      </c>
    </row>
    <row r="1158" spans="3:3" x14ac:dyDescent="0.25">
      <c r="C1158" t="s">
        <v>1860</v>
      </c>
    </row>
    <row r="1159" spans="3:3" x14ac:dyDescent="0.25">
      <c r="C1159" t="s">
        <v>2522</v>
      </c>
    </row>
    <row r="1160" spans="3:3" x14ac:dyDescent="0.25">
      <c r="C1160" t="s">
        <v>1836</v>
      </c>
    </row>
    <row r="1161" spans="3:3" x14ac:dyDescent="0.25">
      <c r="C1161" t="s">
        <v>1991</v>
      </c>
    </row>
    <row r="1162" spans="3:3" x14ac:dyDescent="0.25">
      <c r="C1162" t="s">
        <v>1874</v>
      </c>
    </row>
    <row r="1163" spans="3:3" x14ac:dyDescent="0.25">
      <c r="C1163" t="s">
        <v>1155</v>
      </c>
    </row>
    <row r="1164" spans="3:3" x14ac:dyDescent="0.25">
      <c r="C1164" t="s">
        <v>1624</v>
      </c>
    </row>
    <row r="1165" spans="3:3" x14ac:dyDescent="0.25">
      <c r="C1165" t="s">
        <v>1630</v>
      </c>
    </row>
    <row r="1166" spans="3:3" x14ac:dyDescent="0.25">
      <c r="C1166" t="s">
        <v>2556</v>
      </c>
    </row>
    <row r="1167" spans="3:3" x14ac:dyDescent="0.25">
      <c r="C1167" t="s">
        <v>680</v>
      </c>
    </row>
    <row r="1168" spans="3:3" x14ac:dyDescent="0.25">
      <c r="C1168" t="s">
        <v>2263</v>
      </c>
    </row>
    <row r="1169" spans="3:3" x14ac:dyDescent="0.25">
      <c r="C1169" t="s">
        <v>2098</v>
      </c>
    </row>
    <row r="1170" spans="3:3" x14ac:dyDescent="0.25">
      <c r="C1170" t="s">
        <v>1292</v>
      </c>
    </row>
    <row r="1171" spans="3:3" x14ac:dyDescent="0.25">
      <c r="C1171" t="s">
        <v>863</v>
      </c>
    </row>
    <row r="1172" spans="3:3" x14ac:dyDescent="0.25">
      <c r="C1172" t="s">
        <v>2061</v>
      </c>
    </row>
    <row r="1173" spans="3:3" x14ac:dyDescent="0.25">
      <c r="C1173" t="s">
        <v>1300</v>
      </c>
    </row>
    <row r="1174" spans="3:3" x14ac:dyDescent="0.25">
      <c r="C1174" t="s">
        <v>2071</v>
      </c>
    </row>
    <row r="1175" spans="3:3" x14ac:dyDescent="0.25">
      <c r="C1175" t="s">
        <v>2465</v>
      </c>
    </row>
    <row r="1176" spans="3:3" x14ac:dyDescent="0.25">
      <c r="C1176" t="s">
        <v>2621</v>
      </c>
    </row>
    <row r="1177" spans="3:3" x14ac:dyDescent="0.25">
      <c r="C1177" t="s">
        <v>2613</v>
      </c>
    </row>
    <row r="1178" spans="3:3" x14ac:dyDescent="0.25">
      <c r="C1178" t="s">
        <v>352</v>
      </c>
    </row>
    <row r="1179" spans="3:3" x14ac:dyDescent="0.25">
      <c r="C1179" t="s">
        <v>616</v>
      </c>
    </row>
    <row r="1180" spans="3:3" x14ac:dyDescent="0.25">
      <c r="C1180" t="s">
        <v>1145</v>
      </c>
    </row>
    <row r="1181" spans="3:3" x14ac:dyDescent="0.25">
      <c r="C1181" t="s">
        <v>1149</v>
      </c>
    </row>
    <row r="1182" spans="3:3" x14ac:dyDescent="0.25">
      <c r="C1182" t="s">
        <v>392</v>
      </c>
    </row>
    <row r="1183" spans="3:3" x14ac:dyDescent="0.25">
      <c r="C1183" t="s">
        <v>2314</v>
      </c>
    </row>
    <row r="1184" spans="3:3" x14ac:dyDescent="0.25">
      <c r="C1184" t="s">
        <v>2320</v>
      </c>
    </row>
    <row r="1185" spans="3:3" x14ac:dyDescent="0.25">
      <c r="C1185" t="s">
        <v>362</v>
      </c>
    </row>
    <row r="1186" spans="3:3" x14ac:dyDescent="0.25">
      <c r="C1186" t="s">
        <v>2306</v>
      </c>
    </row>
    <row r="1187" spans="3:3" x14ac:dyDescent="0.25">
      <c r="C1187" t="s">
        <v>304</v>
      </c>
    </row>
    <row r="1188" spans="3:3" x14ac:dyDescent="0.25">
      <c r="C1188" t="s">
        <v>2065</v>
      </c>
    </row>
    <row r="1189" spans="3:3" x14ac:dyDescent="0.25">
      <c r="C1189" t="s">
        <v>847</v>
      </c>
    </row>
    <row r="1190" spans="3:3" x14ac:dyDescent="0.25">
      <c r="C1190" t="s">
        <v>1392</v>
      </c>
    </row>
    <row r="1191" spans="3:3" x14ac:dyDescent="0.25">
      <c r="C1191" t="s">
        <v>934</v>
      </c>
    </row>
    <row r="1192" spans="3:3" x14ac:dyDescent="0.25">
      <c r="C1192" t="s">
        <v>1632</v>
      </c>
    </row>
    <row r="1193" spans="3:3" x14ac:dyDescent="0.25">
      <c r="C1193" t="s">
        <v>1513</v>
      </c>
    </row>
    <row r="1194" spans="3:3" x14ac:dyDescent="0.25">
      <c r="C1194" t="s">
        <v>2545</v>
      </c>
    </row>
    <row r="1195" spans="3:3" x14ac:dyDescent="0.25">
      <c r="C1195" t="s">
        <v>1248</v>
      </c>
    </row>
    <row r="1196" spans="3:3" x14ac:dyDescent="0.25">
      <c r="C1196" t="s">
        <v>1497</v>
      </c>
    </row>
    <row r="1197" spans="3:3" x14ac:dyDescent="0.25">
      <c r="C1197" t="s">
        <v>1509</v>
      </c>
    </row>
    <row r="1198" spans="3:3" x14ac:dyDescent="0.25">
      <c r="C1198" t="s">
        <v>376</v>
      </c>
    </row>
    <row r="1199" spans="3:3" x14ac:dyDescent="0.25">
      <c r="C1199" t="s">
        <v>1193</v>
      </c>
    </row>
    <row r="1200" spans="3:3" x14ac:dyDescent="0.25">
      <c r="C1200" t="s">
        <v>1844</v>
      </c>
    </row>
    <row r="1201" spans="3:3" x14ac:dyDescent="0.25">
      <c r="C1201" t="s">
        <v>1368</v>
      </c>
    </row>
    <row r="1202" spans="3:3" x14ac:dyDescent="0.25">
      <c r="C1202" t="s">
        <v>855</v>
      </c>
    </row>
    <row r="1203" spans="3:3" x14ac:dyDescent="0.25">
      <c r="C1203" t="s">
        <v>832</v>
      </c>
    </row>
    <row r="1204" spans="3:3" x14ac:dyDescent="0.25">
      <c r="C1204" t="s">
        <v>831</v>
      </c>
    </row>
    <row r="1205" spans="3:3" x14ac:dyDescent="0.25">
      <c r="C1205" t="s">
        <v>871</v>
      </c>
    </row>
    <row r="1206" spans="3:3" x14ac:dyDescent="0.25">
      <c r="C1206" t="s">
        <v>708</v>
      </c>
    </row>
    <row r="1207" spans="3:3" x14ac:dyDescent="0.25">
      <c r="C1207" t="s">
        <v>2504</v>
      </c>
    </row>
    <row r="1208" spans="3:3" x14ac:dyDescent="0.25">
      <c r="C1208" t="s">
        <v>2348</v>
      </c>
    </row>
    <row r="1209" spans="3:3" x14ac:dyDescent="0.25">
      <c r="C1209" t="s">
        <v>1982</v>
      </c>
    </row>
    <row r="1210" spans="3:3" x14ac:dyDescent="0.25">
      <c r="C1210" t="s">
        <v>1771</v>
      </c>
    </row>
    <row r="1211" spans="3:3" x14ac:dyDescent="0.25">
      <c r="C1211" t="s">
        <v>521</v>
      </c>
    </row>
    <row r="1212" spans="3:3" x14ac:dyDescent="0.25">
      <c r="C1212" t="s">
        <v>1220</v>
      </c>
    </row>
    <row r="1213" spans="3:3" x14ac:dyDescent="0.25">
      <c r="C1213" t="s">
        <v>2178</v>
      </c>
    </row>
    <row r="1214" spans="3:3" x14ac:dyDescent="0.25">
      <c r="C1214" t="s">
        <v>1179</v>
      </c>
    </row>
    <row r="1215" spans="3:3" x14ac:dyDescent="0.25">
      <c r="C1215" t="s">
        <v>1517</v>
      </c>
    </row>
    <row r="1216" spans="3:3" x14ac:dyDescent="0.25">
      <c r="C1216" t="s">
        <v>1250</v>
      </c>
    </row>
    <row r="1217" spans="3:3" x14ac:dyDescent="0.25">
      <c r="C1217" t="s">
        <v>940</v>
      </c>
    </row>
    <row r="1218" spans="3:3" x14ac:dyDescent="0.25">
      <c r="C1218" t="s">
        <v>2363</v>
      </c>
    </row>
    <row r="1219" spans="3:3" x14ac:dyDescent="0.25">
      <c r="C1219" t="s">
        <v>1626</v>
      </c>
    </row>
    <row r="1220" spans="3:3" x14ac:dyDescent="0.25">
      <c r="C1220" t="s">
        <v>2257</v>
      </c>
    </row>
    <row r="1221" spans="3:3" x14ac:dyDescent="0.25">
      <c r="C1221" t="s">
        <v>1614</v>
      </c>
    </row>
    <row r="1222" spans="3:3" x14ac:dyDescent="0.25">
      <c r="C1222" t="s">
        <v>1638</v>
      </c>
    </row>
    <row r="1223" spans="3:3" x14ac:dyDescent="0.25">
      <c r="C1223" t="s">
        <v>448</v>
      </c>
    </row>
    <row r="1224" spans="3:3" x14ac:dyDescent="0.25">
      <c r="C1224" t="s">
        <v>575</v>
      </c>
    </row>
    <row r="1225" spans="3:3" x14ac:dyDescent="0.25">
      <c r="C1225" t="s">
        <v>2418</v>
      </c>
    </row>
    <row r="1226" spans="3:3" x14ac:dyDescent="0.25">
      <c r="C1226" t="s">
        <v>1017</v>
      </c>
    </row>
    <row r="1227" spans="3:3" x14ac:dyDescent="0.25">
      <c r="C1227" t="s">
        <v>1706</v>
      </c>
    </row>
    <row r="1228" spans="3:3" x14ac:dyDescent="0.25">
      <c r="C1228" t="s">
        <v>861</v>
      </c>
    </row>
    <row r="1229" spans="3:3" x14ac:dyDescent="0.25">
      <c r="C1229" t="s">
        <v>1285</v>
      </c>
    </row>
    <row r="1230" spans="3:3" x14ac:dyDescent="0.25">
      <c r="C1230" t="s">
        <v>1668</v>
      </c>
    </row>
    <row r="1231" spans="3:3" x14ac:dyDescent="0.25">
      <c r="C1231" t="s">
        <v>1659</v>
      </c>
    </row>
    <row r="1232" spans="3:3" x14ac:dyDescent="0.25">
      <c r="C1232" t="s">
        <v>2292</v>
      </c>
    </row>
    <row r="1233" spans="3:3" x14ac:dyDescent="0.25">
      <c r="C1233" t="s">
        <v>1601</v>
      </c>
    </row>
    <row r="1234" spans="3:3" x14ac:dyDescent="0.25">
      <c r="C1234" t="s">
        <v>2092</v>
      </c>
    </row>
    <row r="1235" spans="3:3" x14ac:dyDescent="0.25">
      <c r="C1235" t="s">
        <v>2403</v>
      </c>
    </row>
    <row r="1236" spans="3:3" x14ac:dyDescent="0.25">
      <c r="C1236" t="s">
        <v>558</v>
      </c>
    </row>
    <row r="1237" spans="3:3" x14ac:dyDescent="0.25">
      <c r="C1237" t="s">
        <v>2469</v>
      </c>
    </row>
    <row r="1238" spans="3:3" x14ac:dyDescent="0.25">
      <c r="C1238" t="s">
        <v>739</v>
      </c>
    </row>
    <row r="1239" spans="3:3" x14ac:dyDescent="0.25">
      <c r="C1239" t="s">
        <v>1777</v>
      </c>
    </row>
    <row r="1240" spans="3:3" x14ac:dyDescent="0.25">
      <c r="C1240" t="s">
        <v>517</v>
      </c>
    </row>
    <row r="1241" spans="3:3" x14ac:dyDescent="0.25">
      <c r="C1241" t="s">
        <v>1598</v>
      </c>
    </row>
    <row r="1242" spans="3:3" x14ac:dyDescent="0.25">
      <c r="C1242" t="s">
        <v>1588</v>
      </c>
    </row>
    <row r="1243" spans="3:3" x14ac:dyDescent="0.25">
      <c r="C1243" t="s">
        <v>1595</v>
      </c>
    </row>
    <row r="1244" spans="3:3" x14ac:dyDescent="0.25">
      <c r="C1244" t="s">
        <v>2113</v>
      </c>
    </row>
    <row r="1245" spans="3:3" x14ac:dyDescent="0.25">
      <c r="C1245" t="s">
        <v>1298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2026-07-08T10:43:47Z</dcterms:modified>
  <cp:category/>
  <cp:contentStatus/>
</cp:coreProperties>
</file>