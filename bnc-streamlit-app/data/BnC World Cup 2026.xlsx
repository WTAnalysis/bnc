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471" documentId="8_{DE49DC6A-C840-492B-B227-19D455AF6A7E}" xr6:coauthVersionLast="47" xr6:coauthVersionMax="47" xr10:uidLastSave="{25D2DB90-8A7A-4A4C-B06C-29CF95008B5F}"/>
  <bookViews>
    <workbookView xWindow="-120" yWindow="-120" windowWidth="29040" windowHeight="15720" tabRatio="695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6" l="1"/>
  <c r="Y10" i="26"/>
  <c r="X10" i="26"/>
  <c r="V10" i="26"/>
  <c r="U10" i="26"/>
  <c r="S10" i="26"/>
  <c r="AA17" i="27"/>
  <c r="Y17" i="27"/>
  <c r="X17" i="27"/>
  <c r="V17" i="27"/>
  <c r="U17" i="27"/>
  <c r="S17" i="27"/>
  <c r="AA15" i="25"/>
  <c r="Y15" i="25"/>
  <c r="X15" i="25"/>
  <c r="V15" i="25"/>
  <c r="U15" i="25"/>
  <c r="S15" i="25"/>
  <c r="AA15" i="24"/>
  <c r="Y15" i="24"/>
  <c r="X15" i="24"/>
  <c r="V15" i="24"/>
  <c r="U15" i="24"/>
  <c r="S15" i="24"/>
  <c r="AA11" i="14"/>
  <c r="Y11" i="14"/>
  <c r="X11" i="14"/>
  <c r="V11" i="14"/>
  <c r="U11" i="14"/>
  <c r="S11" i="14"/>
  <c r="AA19" i="23"/>
  <c r="Y19" i="23"/>
  <c r="X19" i="23"/>
  <c r="V19" i="23"/>
  <c r="U19" i="23"/>
  <c r="S19" i="23"/>
  <c r="AA15" i="22"/>
  <c r="Y15" i="22"/>
  <c r="X15" i="22"/>
  <c r="V15" i="22"/>
  <c r="U15" i="22"/>
  <c r="S15" i="22"/>
  <c r="AA15" i="21"/>
  <c r="Y15" i="21"/>
  <c r="X15" i="21"/>
  <c r="V15" i="21"/>
  <c r="U15" i="21"/>
  <c r="S15" i="21"/>
  <c r="D15" i="26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5" i="26"/>
  <c r="Y15" i="26"/>
  <c r="X15" i="26"/>
  <c r="V15" i="26"/>
  <c r="U15" i="26"/>
  <c r="S15" i="26"/>
  <c r="R15" i="26"/>
  <c r="P15" i="26"/>
  <c r="O15" i="26"/>
  <c r="M15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S90" i="20"/>
  <c r="AA90" i="20"/>
  <c r="AC90" i="20"/>
  <c r="V90" i="20"/>
  <c r="AD90" i="20"/>
  <c r="AE90" i="20"/>
  <c r="Y90" i="20"/>
  <c r="AG90" i="20"/>
  <c r="S91" i="20"/>
  <c r="AA91" i="20"/>
  <c r="AC91" i="20"/>
  <c r="V91" i="20"/>
  <c r="AD91" i="20"/>
  <c r="AE91" i="20"/>
  <c r="Y91" i="20"/>
  <c r="AG91" i="20"/>
  <c r="S92" i="20"/>
  <c r="AA92" i="20"/>
  <c r="V92" i="20"/>
  <c r="AD92" i="20"/>
  <c r="W92" i="20"/>
  <c r="AE92" i="20"/>
  <c r="Y92" i="20"/>
  <c r="AG92" i="20"/>
  <c r="S93" i="20"/>
  <c r="AA93" i="20"/>
  <c r="V93" i="20"/>
  <c r="AD93" i="20"/>
  <c r="W93" i="20"/>
  <c r="AE93" i="20"/>
  <c r="Y93" i="20"/>
  <c r="AG93" i="20"/>
  <c r="S94" i="20"/>
  <c r="AA94" i="20"/>
  <c r="AC94" i="20"/>
  <c r="V94" i="20"/>
  <c r="AD94" i="20"/>
  <c r="W94" i="20"/>
  <c r="AE94" i="20"/>
  <c r="AF94" i="20"/>
  <c r="Y94" i="20"/>
  <c r="AG94" i="20"/>
  <c r="S95" i="20"/>
  <c r="AA95" i="20"/>
  <c r="V95" i="20"/>
  <c r="AD95" i="20"/>
  <c r="W95" i="20"/>
  <c r="AE95" i="20"/>
  <c r="Y95" i="20"/>
  <c r="AG95" i="20"/>
  <c r="Z96" i="20"/>
  <c r="S96" i="20"/>
  <c r="AA96" i="20"/>
  <c r="V96" i="20"/>
  <c r="AD96" i="20"/>
  <c r="W96" i="20"/>
  <c r="AE96" i="20"/>
  <c r="AF96" i="20"/>
  <c r="Y96" i="20"/>
  <c r="AG96" i="20"/>
  <c r="S97" i="20"/>
  <c r="AA97" i="20"/>
  <c r="AC97" i="20"/>
  <c r="V97" i="20"/>
  <c r="AD97" i="20"/>
  <c r="W97" i="20"/>
  <c r="AE97" i="20"/>
  <c r="Y97" i="20"/>
  <c r="AG97" i="20"/>
  <c r="S98" i="20"/>
  <c r="AA98" i="20"/>
  <c r="T98" i="20"/>
  <c r="AB98" i="20"/>
  <c r="U98" i="20"/>
  <c r="AC98" i="20"/>
  <c r="V98" i="20"/>
  <c r="AD98" i="20"/>
  <c r="W98" i="20"/>
  <c r="AE98" i="20"/>
  <c r="AF98" i="20"/>
  <c r="Y98" i="20"/>
  <c r="AG98" i="20"/>
  <c r="S99" i="20"/>
  <c r="AA99" i="20"/>
  <c r="T99" i="20"/>
  <c r="AB99" i="20"/>
  <c r="U99" i="20"/>
  <c r="AC99" i="20"/>
  <c r="V99" i="20"/>
  <c r="AD99" i="20"/>
  <c r="W99" i="20"/>
  <c r="AE99" i="20"/>
  <c r="AF99" i="20"/>
  <c r="Y99" i="20"/>
  <c r="AG99" i="20"/>
  <c r="S100" i="20"/>
  <c r="AA100" i="20"/>
  <c r="T100" i="20"/>
  <c r="AB100" i="20"/>
  <c r="U100" i="20"/>
  <c r="AC100" i="20"/>
  <c r="V100" i="20"/>
  <c r="AD100" i="20"/>
  <c r="W100" i="20"/>
  <c r="AE100" i="20"/>
  <c r="AF100" i="20"/>
  <c r="Y100" i="20"/>
  <c r="AG100" i="20"/>
  <c r="S101" i="20"/>
  <c r="AA101" i="20"/>
  <c r="T101" i="20"/>
  <c r="AB101" i="20"/>
  <c r="U101" i="20"/>
  <c r="AC101" i="20"/>
  <c r="V101" i="20"/>
  <c r="AD101" i="20"/>
  <c r="W101" i="20"/>
  <c r="AE101" i="20"/>
  <c r="AF101" i="20"/>
  <c r="Y101" i="20"/>
  <c r="AG101" i="20"/>
  <c r="Z102" i="20"/>
  <c r="S102" i="20"/>
  <c r="AA102" i="20"/>
  <c r="T102" i="20"/>
  <c r="AB102" i="20"/>
  <c r="U102" i="20"/>
  <c r="AC102" i="20"/>
  <c r="V102" i="20"/>
  <c r="AD102" i="20"/>
  <c r="AE102" i="20"/>
  <c r="AF102" i="20"/>
  <c r="Y102" i="20"/>
  <c r="AG102" i="20"/>
  <c r="Z103" i="20"/>
  <c r="S103" i="20"/>
  <c r="AA103" i="20"/>
  <c r="T103" i="20"/>
  <c r="AB103" i="20"/>
  <c r="U103" i="20"/>
  <c r="AC103" i="20"/>
  <c r="V103" i="20"/>
  <c r="AD103" i="20"/>
  <c r="AE103" i="20"/>
  <c r="AF103" i="20"/>
  <c r="Y103" i="20"/>
  <c r="AG103" i="20"/>
  <c r="Z104" i="20"/>
  <c r="S104" i="20"/>
  <c r="AA104" i="20"/>
  <c r="AB104" i="20"/>
  <c r="V104" i="20"/>
  <c r="AD104" i="20"/>
  <c r="AE104" i="20"/>
  <c r="AF104" i="20"/>
  <c r="Y104" i="20"/>
  <c r="AG104" i="20"/>
  <c r="Z105" i="20"/>
  <c r="S105" i="20"/>
  <c r="AA105" i="20"/>
  <c r="AB105" i="20"/>
  <c r="V105" i="20"/>
  <c r="AD105" i="20"/>
  <c r="AE105" i="20"/>
  <c r="AF105" i="20"/>
  <c r="Y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20" i="27"/>
  <c r="Y20" i="27"/>
  <c r="X20" i="27"/>
  <c r="V20" i="27"/>
  <c r="U20" i="27"/>
  <c r="S20" i="27"/>
  <c r="R20" i="27"/>
  <c r="P20" i="27"/>
  <c r="O20" i="27"/>
  <c r="M20" i="27"/>
  <c r="L20" i="27"/>
  <c r="J20" i="27"/>
  <c r="I20" i="27"/>
  <c r="G20" i="27"/>
  <c r="F20" i="27"/>
  <c r="D20" i="27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20" i="26"/>
  <c r="Y20" i="26"/>
  <c r="X20" i="26"/>
  <c r="V20" i="26"/>
  <c r="U20" i="26"/>
  <c r="S20" i="26"/>
  <c r="R20" i="26"/>
  <c r="P20" i="26"/>
  <c r="O20" i="26"/>
  <c r="M20" i="26"/>
  <c r="L20" i="26"/>
  <c r="J20" i="26"/>
  <c r="I20" i="26"/>
  <c r="G20" i="26"/>
  <c r="F20" i="26"/>
  <c r="D20" i="26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20" i="25"/>
  <c r="Y20" i="25"/>
  <c r="X20" i="25"/>
  <c r="V20" i="25"/>
  <c r="U20" i="25"/>
  <c r="S20" i="25"/>
  <c r="R20" i="25"/>
  <c r="P20" i="25"/>
  <c r="O20" i="25"/>
  <c r="M20" i="25"/>
  <c r="L20" i="25"/>
  <c r="J20" i="25"/>
  <c r="I20" i="25"/>
  <c r="G20" i="25"/>
  <c r="F20" i="25"/>
  <c r="D20" i="25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20" i="24"/>
  <c r="Y20" i="24"/>
  <c r="X20" i="24"/>
  <c r="V20" i="24"/>
  <c r="U20" i="24"/>
  <c r="S20" i="24"/>
  <c r="R20" i="24"/>
  <c r="P20" i="24"/>
  <c r="O20" i="24"/>
  <c r="M20" i="24"/>
  <c r="L20" i="24"/>
  <c r="J20" i="24"/>
  <c r="I20" i="24"/>
  <c r="G20" i="24"/>
  <c r="F20" i="24"/>
  <c r="D20" i="24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20" i="23"/>
  <c r="Y20" i="23"/>
  <c r="X20" i="23"/>
  <c r="V20" i="23"/>
  <c r="U20" i="23"/>
  <c r="S20" i="23"/>
  <c r="R20" i="23"/>
  <c r="P20" i="23"/>
  <c r="O20" i="23"/>
  <c r="M20" i="23"/>
  <c r="L20" i="23"/>
  <c r="J20" i="23"/>
  <c r="I20" i="23"/>
  <c r="G20" i="23"/>
  <c r="F20" i="23"/>
  <c r="D20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F20" i="14"/>
  <c r="G20" i="14"/>
  <c r="I20" i="14"/>
  <c r="J20" i="14"/>
  <c r="L20" i="14"/>
  <c r="AA20" i="22"/>
  <c r="Y20" i="22"/>
  <c r="X20" i="22"/>
  <c r="V20" i="22"/>
  <c r="U20" i="22"/>
  <c r="S20" i="22"/>
  <c r="R20" i="22"/>
  <c r="P20" i="22"/>
  <c r="O20" i="22"/>
  <c r="M20" i="22"/>
  <c r="L20" i="22"/>
  <c r="J20" i="22"/>
  <c r="I20" i="22"/>
  <c r="G20" i="22"/>
  <c r="F20" i="22"/>
  <c r="D20" i="22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20" i="21"/>
  <c r="Y20" i="21"/>
  <c r="X20" i="21"/>
  <c r="V20" i="21"/>
  <c r="U20" i="21"/>
  <c r="S20" i="21"/>
  <c r="R20" i="21"/>
  <c r="P20" i="21"/>
  <c r="O20" i="21"/>
  <c r="M20" i="21"/>
  <c r="L20" i="21"/>
  <c r="J20" i="21"/>
  <c r="I20" i="21"/>
  <c r="G20" i="21"/>
  <c r="F20" i="21"/>
  <c r="D20" i="21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Z90" i="20"/>
  <c r="T90" i="20"/>
  <c r="AB90" i="20"/>
  <c r="U90" i="20"/>
  <c r="W90" i="20"/>
  <c r="X90" i="20"/>
  <c r="AF90" i="20"/>
  <c r="R91" i="20"/>
  <c r="Z91" i="20"/>
  <c r="T91" i="20"/>
  <c r="AB91" i="20"/>
  <c r="U91" i="20"/>
  <c r="W91" i="20"/>
  <c r="X91" i="20"/>
  <c r="AF91" i="20"/>
  <c r="R92" i="20"/>
  <c r="Z92" i="20"/>
  <c r="T92" i="20"/>
  <c r="AB92" i="20"/>
  <c r="U92" i="20"/>
  <c r="AC92" i="20"/>
  <c r="X92" i="20"/>
  <c r="AF92" i="20"/>
  <c r="R93" i="20"/>
  <c r="Z93" i="20"/>
  <c r="T93" i="20"/>
  <c r="AB93" i="20"/>
  <c r="U93" i="20"/>
  <c r="AC93" i="20"/>
  <c r="X93" i="20"/>
  <c r="AF93" i="20"/>
  <c r="R94" i="20"/>
  <c r="Z94" i="20"/>
  <c r="T94" i="20"/>
  <c r="AB94" i="20"/>
  <c r="U94" i="20"/>
  <c r="X94" i="20"/>
  <c r="R95" i="20"/>
  <c r="Z95" i="20"/>
  <c r="T95" i="20"/>
  <c r="AB95" i="20"/>
  <c r="U95" i="20"/>
  <c r="AC95" i="20"/>
  <c r="X95" i="20"/>
  <c r="AF95" i="20"/>
  <c r="R96" i="20"/>
  <c r="T96" i="20"/>
  <c r="AB96" i="20"/>
  <c r="U96" i="20"/>
  <c r="AC96" i="20"/>
  <c r="X96" i="20"/>
  <c r="R97" i="20"/>
  <c r="Z97" i="20"/>
  <c r="T97" i="20"/>
  <c r="AB97" i="20"/>
  <c r="U97" i="20"/>
  <c r="X97" i="20"/>
  <c r="AF97" i="20"/>
  <c r="R98" i="20"/>
  <c r="Z98" i="20"/>
  <c r="X98" i="20"/>
  <c r="R99" i="20"/>
  <c r="Z99" i="20"/>
  <c r="X99" i="20"/>
  <c r="R100" i="20"/>
  <c r="Z100" i="20"/>
  <c r="X100" i="20"/>
  <c r="R101" i="20"/>
  <c r="Z101" i="20"/>
  <c r="X101" i="20"/>
  <c r="R102" i="20"/>
  <c r="W102" i="20"/>
  <c r="X102" i="20"/>
  <c r="R103" i="20"/>
  <c r="W103" i="20"/>
  <c r="X103" i="20"/>
  <c r="R104" i="20"/>
  <c r="T104" i="20"/>
  <c r="U104" i="20"/>
  <c r="AC104" i="20"/>
  <c r="W104" i="20"/>
  <c r="X104" i="20"/>
  <c r="R105" i="20"/>
  <c r="T105" i="20"/>
  <c r="U105" i="20"/>
  <c r="AC105" i="20"/>
  <c r="W105" i="20"/>
  <c r="X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2" i="14"/>
  <c r="Y13" i="14"/>
  <c r="Y14" i="14"/>
  <c r="Y15" i="14"/>
  <c r="Y16" i="14"/>
  <c r="Y17" i="14"/>
  <c r="Y18" i="14"/>
  <c r="Y19" i="14"/>
  <c r="Y20" i="14"/>
  <c r="V4" i="14"/>
  <c r="V5" i="14"/>
  <c r="V6" i="14"/>
  <c r="V7" i="14"/>
  <c r="V8" i="14"/>
  <c r="V12" i="14"/>
  <c r="V13" i="14"/>
  <c r="V14" i="14"/>
  <c r="V15" i="14"/>
  <c r="V16" i="14"/>
  <c r="V17" i="14"/>
  <c r="V18" i="14"/>
  <c r="V19" i="14"/>
  <c r="V20" i="14"/>
  <c r="S4" i="14"/>
  <c r="S5" i="14"/>
  <c r="S6" i="14"/>
  <c r="S7" i="14"/>
  <c r="S8" i="14"/>
  <c r="S12" i="14"/>
  <c r="S13" i="14"/>
  <c r="S14" i="14"/>
  <c r="S15" i="14"/>
  <c r="S16" i="14"/>
  <c r="S17" i="14"/>
  <c r="S18" i="14"/>
  <c r="S19" i="14"/>
  <c r="S20" i="14"/>
  <c r="P4" i="14"/>
  <c r="P5" i="14"/>
  <c r="P6" i="14"/>
  <c r="P7" i="14"/>
  <c r="P8" i="14"/>
  <c r="P12" i="14"/>
  <c r="P13" i="14"/>
  <c r="P14" i="14"/>
  <c r="P15" i="14"/>
  <c r="P16" i="14"/>
  <c r="P17" i="14"/>
  <c r="P18" i="14"/>
  <c r="P19" i="14"/>
  <c r="P20" i="14"/>
  <c r="M4" i="14"/>
  <c r="M5" i="14"/>
  <c r="M6" i="14"/>
  <c r="M7" i="14"/>
  <c r="M8" i="14"/>
  <c r="M12" i="14"/>
  <c r="M13" i="14"/>
  <c r="M14" i="14"/>
  <c r="M15" i="14"/>
  <c r="M16" i="14"/>
  <c r="M17" i="14"/>
  <c r="M18" i="14"/>
  <c r="M19" i="14"/>
  <c r="M20" i="14"/>
  <c r="Y3" i="14"/>
  <c r="V3" i="14"/>
  <c r="U3" i="14"/>
  <c r="S3" i="14"/>
  <c r="P3" i="14"/>
  <c r="M3" i="14"/>
  <c r="D20" i="14"/>
  <c r="D19" i="14"/>
  <c r="D18" i="14"/>
  <c r="D17" i="14"/>
  <c r="D16" i="14"/>
  <c r="D15" i="14"/>
  <c r="D14" i="14"/>
  <c r="D13" i="14"/>
  <c r="D12" i="14"/>
  <c r="D9" i="14"/>
  <c r="D8" i="14"/>
  <c r="D7" i="14"/>
  <c r="D6" i="14"/>
  <c r="D5" i="14"/>
  <c r="D4" i="14"/>
  <c r="D3" i="14"/>
  <c r="AA4" i="14"/>
  <c r="AA5" i="14"/>
  <c r="AA6" i="14"/>
  <c r="AA7" i="14"/>
  <c r="AA8" i="14"/>
  <c r="AA12" i="14"/>
  <c r="AA13" i="14"/>
  <c r="AA14" i="14"/>
  <c r="AA15" i="14"/>
  <c r="AA16" i="14"/>
  <c r="AA17" i="14"/>
  <c r="AA18" i="14"/>
  <c r="AA19" i="14"/>
  <c r="AA20" i="14"/>
  <c r="X4" i="14"/>
  <c r="X5" i="14"/>
  <c r="X6" i="14"/>
  <c r="X7" i="14"/>
  <c r="X8" i="14"/>
  <c r="X12" i="14"/>
  <c r="X13" i="14"/>
  <c r="X14" i="14"/>
  <c r="X15" i="14"/>
  <c r="X16" i="14"/>
  <c r="X17" i="14"/>
  <c r="X18" i="14"/>
  <c r="X19" i="14"/>
  <c r="X20" i="14"/>
  <c r="U4" i="14"/>
  <c r="U5" i="14"/>
  <c r="U6" i="14"/>
  <c r="U7" i="14"/>
  <c r="U8" i="14"/>
  <c r="U12" i="14"/>
  <c r="U13" i="14"/>
  <c r="U14" i="14"/>
  <c r="U15" i="14"/>
  <c r="U16" i="14"/>
  <c r="U17" i="14"/>
  <c r="U18" i="14"/>
  <c r="U19" i="14"/>
  <c r="U20" i="14"/>
  <c r="R4" i="14"/>
  <c r="R5" i="14"/>
  <c r="R6" i="14"/>
  <c r="R7" i="14"/>
  <c r="R8" i="14"/>
  <c r="R12" i="14"/>
  <c r="R13" i="14"/>
  <c r="R14" i="14"/>
  <c r="R15" i="14"/>
  <c r="R16" i="14"/>
  <c r="R17" i="14"/>
  <c r="R18" i="14"/>
  <c r="R19" i="14"/>
  <c r="R20" i="14"/>
  <c r="O4" i="14"/>
  <c r="O5" i="14"/>
  <c r="O6" i="14"/>
  <c r="O7" i="14"/>
  <c r="O8" i="14"/>
  <c r="O12" i="14"/>
  <c r="O13" i="14"/>
  <c r="O14" i="14"/>
  <c r="O15" i="14"/>
  <c r="O16" i="14"/>
  <c r="O17" i="14"/>
  <c r="O18" i="14"/>
  <c r="O19" i="14"/>
  <c r="O20" i="14"/>
  <c r="AA3" i="14"/>
  <c r="X3" i="14"/>
  <c r="R3" i="14"/>
  <c r="O3" i="14"/>
  <c r="F3" i="9"/>
  <c r="G3" i="9" s="1"/>
  <c r="F4" i="9"/>
  <c r="G4" i="9" s="1"/>
  <c r="F5" i="9"/>
  <c r="G5" i="9" s="1"/>
  <c r="F6" i="9"/>
  <c r="G6" i="9" s="1"/>
  <c r="F7" i="9"/>
  <c r="G7" i="9" s="1"/>
  <c r="F8" i="9"/>
  <c r="G8" i="9" s="1"/>
  <c r="F9" i="9"/>
  <c r="G9" i="9" s="1"/>
  <c r="F10" i="9"/>
  <c r="G10" i="9" s="1"/>
  <c r="F11" i="9"/>
  <c r="G11" i="9" s="1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 s="1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 s="1"/>
  <c r="F30" i="9"/>
  <c r="G30" i="9" s="1"/>
  <c r="F31" i="9"/>
  <c r="G31" i="9" s="1"/>
  <c r="F32" i="9"/>
  <c r="G32" i="9" s="1"/>
  <c r="F33" i="9"/>
  <c r="G33" i="9" s="1"/>
  <c r="F34" i="9"/>
  <c r="G34" i="9" s="1"/>
  <c r="F35" i="9"/>
  <c r="G35" i="9" s="1"/>
  <c r="F36" i="9"/>
  <c r="G36" i="9" s="1"/>
  <c r="F37" i="9"/>
  <c r="G37" i="9" s="1"/>
  <c r="F38" i="9"/>
  <c r="G38" i="9" s="1"/>
  <c r="F39" i="9"/>
  <c r="G39" i="9" s="1"/>
  <c r="F40" i="9"/>
  <c r="G40" i="9" s="1"/>
  <c r="F41" i="9"/>
  <c r="G41" i="9" s="1"/>
  <c r="F42" i="9"/>
  <c r="G42" i="9" s="1"/>
  <c r="F43" i="9"/>
  <c r="G43" i="9" s="1"/>
  <c r="F44" i="9"/>
  <c r="G44" i="9" s="1"/>
  <c r="F45" i="9"/>
  <c r="G45" i="9" s="1"/>
  <c r="F46" i="9"/>
  <c r="G46" i="9" s="1"/>
  <c r="F47" i="9"/>
  <c r="G47" i="9" s="1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 s="1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 s="1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 s="1"/>
  <c r="F72" i="9"/>
  <c r="G72" i="9" s="1"/>
  <c r="F73" i="9"/>
  <c r="G73" i="9" s="1"/>
  <c r="F74" i="9"/>
  <c r="G74" i="9" s="1"/>
  <c r="F75" i="9"/>
  <c r="G75" i="9" s="1"/>
  <c r="F76" i="9"/>
  <c r="G76" i="9" s="1"/>
  <c r="F77" i="9"/>
  <c r="G77" i="9" s="1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 s="1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 s="1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 s="1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 s="1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 s="1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 s="1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 s="1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 s="1"/>
  <c r="F140" i="9"/>
  <c r="G140" i="9" s="1"/>
  <c r="F141" i="9"/>
  <c r="G141" i="9" s="1"/>
  <c r="F142" i="9"/>
  <c r="G142" i="9" s="1"/>
  <c r="F143" i="9"/>
  <c r="G143" i="9" s="1"/>
  <c r="F144" i="9"/>
  <c r="G144" i="9" s="1"/>
  <c r="F145" i="9"/>
  <c r="G145" i="9" s="1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 s="1"/>
  <c r="F3" i="2"/>
  <c r="H4" i="3" s="1"/>
  <c r="G3" i="2"/>
  <c r="G4" i="3" s="1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 s="1"/>
  <c r="F8" i="2"/>
  <c r="L29" i="3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 s="1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 s="1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 s="1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 s="1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/>
  <c r="G33" i="2"/>
  <c r="C32" i="3"/>
  <c r="F34" i="2"/>
  <c r="H8" i="3"/>
  <c r="G34" i="2"/>
  <c r="G8" i="3" s="1"/>
  <c r="F35" i="2"/>
  <c r="D8" i="3" s="1"/>
  <c r="G35" i="2"/>
  <c r="C8" i="3" s="1"/>
  <c r="F36" i="2"/>
  <c r="P8" i="3" s="1"/>
  <c r="G36" i="2"/>
  <c r="O8" i="3" s="1"/>
  <c r="F37" i="2"/>
  <c r="L8" i="3"/>
  <c r="G37" i="2"/>
  <c r="K8" i="3"/>
  <c r="F38" i="2"/>
  <c r="H33" i="3" s="1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/>
  <c r="G42" i="2"/>
  <c r="K34" i="3" s="1"/>
  <c r="F43" i="2"/>
  <c r="P34" i="3" s="1"/>
  <c r="G43" i="2"/>
  <c r="O34" i="3" s="1"/>
  <c r="F44" i="2"/>
  <c r="D34" i="3" s="1"/>
  <c r="G44" i="2"/>
  <c r="C34" i="3" s="1"/>
  <c r="F45" i="2"/>
  <c r="H34" i="3" s="1"/>
  <c r="G45" i="2"/>
  <c r="G34" i="3" s="1"/>
  <c r="F46" i="2"/>
  <c r="L9" i="3"/>
  <c r="G46" i="2"/>
  <c r="K9" i="3" s="1"/>
  <c r="F47" i="2"/>
  <c r="P9" i="3" s="1"/>
  <c r="G47" i="2"/>
  <c r="O9" i="3" s="1"/>
  <c r="F48" i="2"/>
  <c r="G48" i="2"/>
  <c r="C9" i="3" s="1"/>
  <c r="F49" i="2"/>
  <c r="H9" i="3" s="1"/>
  <c r="G49" i="2"/>
  <c r="G9" i="3" s="1"/>
  <c r="F50" i="2"/>
  <c r="H35" i="3" s="1"/>
  <c r="G50" i="2"/>
  <c r="G35" i="3" s="1"/>
  <c r="F51" i="2"/>
  <c r="D35" i="3"/>
  <c r="G51" i="2"/>
  <c r="C35" i="3" s="1"/>
  <c r="F52" i="2"/>
  <c r="P35" i="3" s="1"/>
  <c r="G52" i="2"/>
  <c r="O35" i="3" s="1"/>
  <c r="F53" i="2"/>
  <c r="L35" i="3" s="1"/>
  <c r="G53" i="2"/>
  <c r="K35" i="3" s="1"/>
  <c r="F54" i="2"/>
  <c r="H10" i="3" s="1"/>
  <c r="G54" i="2"/>
  <c r="G10" i="3" s="1"/>
  <c r="F55" i="2"/>
  <c r="D10" i="3" s="1"/>
  <c r="G55" i="2"/>
  <c r="C10" i="3" s="1"/>
  <c r="F56" i="2"/>
  <c r="P10" i="3" s="1"/>
  <c r="G56" i="2"/>
  <c r="O10" i="3" s="1"/>
  <c r="F57" i="2"/>
  <c r="L10" i="3" s="1"/>
  <c r="G57" i="2"/>
  <c r="K10" i="3" s="1"/>
  <c r="F58" i="2"/>
  <c r="L11" i="3" s="1"/>
  <c r="G58" i="2"/>
  <c r="K11" i="3" s="1"/>
  <c r="F59" i="2"/>
  <c r="P11" i="3" s="1"/>
  <c r="G59" i="2"/>
  <c r="O11" i="3" s="1"/>
  <c r="F60" i="2"/>
  <c r="D11" i="3" s="1"/>
  <c r="G60" i="2"/>
  <c r="C11" i="3" s="1"/>
  <c r="F61" i="2"/>
  <c r="H11" i="3" s="1"/>
  <c r="G61" i="2"/>
  <c r="G11" i="3" s="1"/>
  <c r="F62" i="2"/>
  <c r="L36" i="3" s="1"/>
  <c r="G62" i="2"/>
  <c r="K36" i="3" s="1"/>
  <c r="F63" i="2"/>
  <c r="P36" i="3" s="1"/>
  <c r="G63" i="2"/>
  <c r="O36" i="3" s="1"/>
  <c r="F64" i="2"/>
  <c r="D36" i="3" s="1"/>
  <c r="G64" i="2"/>
  <c r="C36" i="3" s="1"/>
  <c r="F65" i="2"/>
  <c r="H36" i="3" s="1"/>
  <c r="G65" i="2"/>
  <c r="G36" i="3" s="1"/>
  <c r="F66" i="2"/>
  <c r="L12" i="3" s="1"/>
  <c r="G66" i="2"/>
  <c r="K12" i="3" s="1"/>
  <c r="F67" i="2"/>
  <c r="P12" i="3" s="1"/>
  <c r="G67" i="2"/>
  <c r="O12" i="3" s="1"/>
  <c r="F68" i="2"/>
  <c r="D12" i="3" s="1"/>
  <c r="G68" i="2"/>
  <c r="C12" i="3" s="1"/>
  <c r="F69" i="2"/>
  <c r="H12" i="3" s="1"/>
  <c r="G69" i="2"/>
  <c r="G12" i="3" s="1"/>
  <c r="F70" i="2"/>
  <c r="L37" i="3" s="1"/>
  <c r="G70" i="2"/>
  <c r="K37" i="3" s="1"/>
  <c r="F71" i="2"/>
  <c r="P37" i="3" s="1"/>
  <c r="G71" i="2"/>
  <c r="O37" i="3"/>
  <c r="F72" i="2"/>
  <c r="D37" i="3" s="1"/>
  <c r="G72" i="2"/>
  <c r="C37" i="3" s="1"/>
  <c r="F73" i="2"/>
  <c r="H37" i="3" s="1"/>
  <c r="G73" i="2"/>
  <c r="G37" i="3" s="1"/>
  <c r="F74" i="2"/>
  <c r="H38" i="3" s="1"/>
  <c r="G74" i="2"/>
  <c r="G38" i="3" s="1"/>
  <c r="F75" i="2"/>
  <c r="D38" i="3" s="1"/>
  <c r="G75" i="2"/>
  <c r="C38" i="3" s="1"/>
  <c r="F76" i="2"/>
  <c r="P38" i="3"/>
  <c r="G76" i="2"/>
  <c r="O38" i="3" s="1"/>
  <c r="F77" i="2"/>
  <c r="L38" i="3" s="1"/>
  <c r="G77" i="2"/>
  <c r="K38" i="3"/>
  <c r="F78" i="2"/>
  <c r="H13" i="3" s="1"/>
  <c r="G78" i="2"/>
  <c r="G13" i="3" s="1"/>
  <c r="F79" i="2"/>
  <c r="D13" i="3" s="1"/>
  <c r="G79" i="2"/>
  <c r="C13" i="3" s="1"/>
  <c r="F80" i="2"/>
  <c r="P13" i="3" s="1"/>
  <c r="G80" i="2"/>
  <c r="O13" i="3" s="1"/>
  <c r="F81" i="2"/>
  <c r="L13" i="3" s="1"/>
  <c r="G81" i="2"/>
  <c r="K13" i="3" s="1"/>
  <c r="F82" i="2"/>
  <c r="L39" i="3" s="1"/>
  <c r="G82" i="2"/>
  <c r="K39" i="3" s="1"/>
  <c r="F83" i="2"/>
  <c r="G83" i="2"/>
  <c r="O39" i="3" s="1"/>
  <c r="F84" i="2"/>
  <c r="D39" i="3" s="1"/>
  <c r="G84" i="2"/>
  <c r="C39" i="3" s="1"/>
  <c r="F85" i="2"/>
  <c r="H39" i="3"/>
  <c r="G85" i="2"/>
  <c r="G39" i="3" s="1"/>
  <c r="F86" i="2"/>
  <c r="L14" i="3" s="1"/>
  <c r="G86" i="2"/>
  <c r="K14" i="3" s="1"/>
  <c r="F87" i="2"/>
  <c r="P14" i="3"/>
  <c r="G87" i="2"/>
  <c r="O14" i="3" s="1"/>
  <c r="F88" i="2"/>
  <c r="D14" i="3" s="1"/>
  <c r="G88" i="2"/>
  <c r="C14" i="3" s="1"/>
  <c r="F89" i="2"/>
  <c r="H14" i="3" s="1"/>
  <c r="G89" i="2"/>
  <c r="G14" i="3" s="1"/>
  <c r="F90" i="2"/>
  <c r="H15" i="3" s="1"/>
  <c r="G90" i="2"/>
  <c r="G15" i="3" s="1"/>
  <c r="F91" i="2"/>
  <c r="D15" i="3" s="1"/>
  <c r="G91" i="2"/>
  <c r="C15" i="3" s="1"/>
  <c r="F92" i="2"/>
  <c r="P15" i="3" s="1"/>
  <c r="G92" i="2"/>
  <c r="O15" i="3" s="1"/>
  <c r="F93" i="2"/>
  <c r="L15" i="3" s="1"/>
  <c r="G93" i="2"/>
  <c r="K15" i="3" s="1"/>
  <c r="F94" i="2"/>
  <c r="H40" i="3" s="1"/>
  <c r="G94" i="2"/>
  <c r="G40" i="3" s="1"/>
  <c r="F95" i="2"/>
  <c r="D40" i="3" s="1"/>
  <c r="G95" i="2"/>
  <c r="C40" i="3" s="1"/>
  <c r="F96" i="2"/>
  <c r="P40" i="3"/>
  <c r="G96" i="2"/>
  <c r="O40" i="3" s="1"/>
  <c r="F97" i="2"/>
  <c r="L40" i="3" s="1"/>
  <c r="G97" i="2"/>
  <c r="K40" i="3" s="1"/>
  <c r="F98" i="2"/>
  <c r="P16" i="3" s="1"/>
  <c r="G98" i="2"/>
  <c r="O16" i="3" s="1"/>
  <c r="F99" i="2"/>
  <c r="L16" i="3" s="1"/>
  <c r="G99" i="2"/>
  <c r="K16" i="3" s="1"/>
  <c r="F100" i="2"/>
  <c r="H16" i="3"/>
  <c r="G100" i="2"/>
  <c r="G16" i="3" s="1"/>
  <c r="F101" i="2"/>
  <c r="D16" i="3"/>
  <c r="G101" i="2"/>
  <c r="C16" i="3" s="1"/>
  <c r="F102" i="2"/>
  <c r="P41" i="3" s="1"/>
  <c r="G102" i="2"/>
  <c r="O41" i="3" s="1"/>
  <c r="F103" i="2"/>
  <c r="L41" i="3" s="1"/>
  <c r="G103" i="2"/>
  <c r="K41" i="3" s="1"/>
  <c r="F104" i="2"/>
  <c r="H41" i="3" s="1"/>
  <c r="G104" i="2"/>
  <c r="G41" i="3" s="1"/>
  <c r="F105" i="2"/>
  <c r="D41" i="3" s="1"/>
  <c r="G105" i="2"/>
  <c r="C41" i="3" s="1"/>
  <c r="F106" i="2"/>
  <c r="D42" i="3"/>
  <c r="G106" i="2"/>
  <c r="C42" i="3" s="1"/>
  <c r="F107" i="2"/>
  <c r="H42" i="3" s="1"/>
  <c r="G107" i="2"/>
  <c r="G42" i="3" s="1"/>
  <c r="F108" i="2"/>
  <c r="L42" i="3" s="1"/>
  <c r="G108" i="2"/>
  <c r="K42" i="3" s="1"/>
  <c r="F109" i="2"/>
  <c r="P42" i="3"/>
  <c r="G109" i="2"/>
  <c r="O42" i="3" s="1"/>
  <c r="F110" i="2"/>
  <c r="D17" i="3" s="1"/>
  <c r="G110" i="2"/>
  <c r="C17" i="3" s="1"/>
  <c r="F111" i="2"/>
  <c r="H17" i="3" s="1"/>
  <c r="G111" i="2"/>
  <c r="G17" i="3" s="1"/>
  <c r="F112" i="2"/>
  <c r="L17" i="3" s="1"/>
  <c r="G112" i="2"/>
  <c r="K17" i="3" s="1"/>
  <c r="F113" i="2"/>
  <c r="P17" i="3" s="1"/>
  <c r="G113" i="2"/>
  <c r="O17" i="3" s="1"/>
  <c r="F114" i="2"/>
  <c r="P43" i="3" s="1"/>
  <c r="G114" i="2"/>
  <c r="O43" i="3" s="1"/>
  <c r="F115" i="2"/>
  <c r="L43" i="3"/>
  <c r="G115" i="2"/>
  <c r="K43" i="3" s="1"/>
  <c r="F116" i="2"/>
  <c r="H43" i="3"/>
  <c r="G116" i="2"/>
  <c r="G43" i="3" s="1"/>
  <c r="F117" i="2"/>
  <c r="D43" i="3" s="1"/>
  <c r="G117" i="2"/>
  <c r="C43" i="3"/>
  <c r="F118" i="2"/>
  <c r="P18" i="3" s="1"/>
  <c r="G118" i="2"/>
  <c r="O18" i="3" s="1"/>
  <c r="F119" i="2"/>
  <c r="L18" i="3" s="1"/>
  <c r="G119" i="2"/>
  <c r="K18" i="3" s="1"/>
  <c r="F120" i="2"/>
  <c r="H18" i="3"/>
  <c r="G120" i="2"/>
  <c r="G18" i="3" s="1"/>
  <c r="F121" i="2"/>
  <c r="D18" i="3"/>
  <c r="G121" i="2"/>
  <c r="C18" i="3" s="1"/>
  <c r="F122" i="2"/>
  <c r="D19" i="3"/>
  <c r="G122" i="2"/>
  <c r="C19" i="3" s="1"/>
  <c r="F123" i="2"/>
  <c r="H19" i="3" s="1"/>
  <c r="G123" i="2"/>
  <c r="G19" i="3" s="1"/>
  <c r="F124" i="2"/>
  <c r="L19" i="3" s="1"/>
  <c r="G124" i="2"/>
  <c r="K19" i="3" s="1"/>
  <c r="F125" i="2"/>
  <c r="P19" i="3" s="1"/>
  <c r="G125" i="2"/>
  <c r="O19" i="3" s="1"/>
  <c r="F126" i="2"/>
  <c r="D44" i="3" s="1"/>
  <c r="G126" i="2"/>
  <c r="C44" i="3"/>
  <c r="F127" i="2"/>
  <c r="H44" i="3" s="1"/>
  <c r="G127" i="2"/>
  <c r="G44" i="3" s="1"/>
  <c r="F128" i="2"/>
  <c r="L44" i="3" s="1"/>
  <c r="G128" i="2"/>
  <c r="K44" i="3" s="1"/>
  <c r="F129" i="2"/>
  <c r="P44" i="3"/>
  <c r="G129" i="2"/>
  <c r="O44" i="3" s="1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D9" i="3"/>
  <c r="AF83" i="20"/>
  <c r="AB83" i="20"/>
  <c r="AE82" i="20"/>
  <c r="AD82" i="20"/>
  <c r="AC82" i="20"/>
  <c r="AA82" i="20"/>
  <c r="AF82" i="20"/>
  <c r="AB82" i="20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  <c r="O48" i="3" l="1"/>
  <c r="H9" i="10"/>
  <c r="K10" i="10"/>
  <c r="H17" i="10"/>
  <c r="N4" i="10"/>
  <c r="K5" i="10"/>
  <c r="K50" i="3"/>
  <c r="K48" i="3"/>
  <c r="K47" i="3"/>
  <c r="K49" i="3"/>
  <c r="G47" i="3"/>
  <c r="G48" i="3"/>
  <c r="G49" i="3"/>
  <c r="K9" i="10"/>
  <c r="O50" i="3"/>
  <c r="O49" i="3"/>
  <c r="O47" i="3"/>
  <c r="G22" i="3"/>
  <c r="G23" i="3"/>
  <c r="G25" i="3"/>
  <c r="G24" i="3"/>
  <c r="C50" i="3"/>
  <c r="C49" i="3"/>
  <c r="C48" i="3"/>
  <c r="C47" i="3"/>
  <c r="K25" i="3"/>
  <c r="K22" i="3"/>
  <c r="K24" i="3"/>
  <c r="K23" i="3"/>
  <c r="G50" i="3"/>
  <c r="O25" i="3"/>
  <c r="O23" i="3"/>
  <c r="O22" i="3"/>
  <c r="E16" i="10"/>
  <c r="H4" i="10"/>
  <c r="O24" i="3"/>
  <c r="P39" i="3"/>
  <c r="E18" i="10"/>
  <c r="H18" i="10"/>
  <c r="B3" i="10"/>
  <c r="K15" i="10"/>
  <c r="K11" i="10"/>
  <c r="H16" i="10"/>
  <c r="H12" i="10"/>
  <c r="B4" i="10"/>
  <c r="N3" i="10"/>
  <c r="H10" i="10"/>
  <c r="B16" i="10"/>
  <c r="B10" i="10"/>
  <c r="B12" i="10"/>
  <c r="K16" i="10"/>
  <c r="K4" i="10"/>
  <c r="D4" i="3"/>
  <c r="H15" i="10"/>
  <c r="B6" i="10"/>
  <c r="E3" i="10"/>
  <c r="E12" i="10"/>
  <c r="B11" i="10"/>
  <c r="B9" i="10"/>
  <c r="E11" i="10"/>
  <c r="K6" i="10"/>
  <c r="E5" i="10"/>
  <c r="K17" i="10"/>
  <c r="N6" i="10"/>
  <c r="B17" i="10"/>
  <c r="C4" i="3"/>
  <c r="K18" i="10"/>
  <c r="E10" i="10"/>
  <c r="K3" i="10"/>
  <c r="H6" i="10"/>
  <c r="E6" i="10"/>
  <c r="K12" i="10"/>
  <c r="N5" i="10"/>
  <c r="E15" i="10"/>
  <c r="B5" i="10"/>
  <c r="E4" i="10"/>
  <c r="B15" i="10"/>
  <c r="H11" i="10"/>
  <c r="E17" i="10"/>
  <c r="E9" i="10"/>
  <c r="H3" i="10"/>
  <c r="B18" i="10"/>
  <c r="H5" i="10"/>
  <c r="C24" i="3" l="1"/>
  <c r="C25" i="3"/>
  <c r="C22" i="3"/>
  <c r="C23" i="3"/>
</calcChain>
</file>

<file path=xl/sharedStrings.xml><?xml version="1.0" encoding="utf-8"?>
<sst xmlns="http://schemas.openxmlformats.org/spreadsheetml/2006/main" count="17035" uniqueCount="2901">
  <si>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</si>
  <si>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</si>
  <si>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</si>
  <si>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</si>
  <si>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</si>
  <si>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</si>
  <si>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</si>
  <si>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</si>
  <si>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</si>
  <si>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</si>
  <si>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</si>
  <si>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</si>
  <si>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</si>
  <si>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</si>
  <si>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</si>
  <si>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</si>
  <si>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</si>
  <si>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</si>
  <si>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</si>
  <si>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</si>
  <si>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</si>
  <si>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</si>
  <si>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</si>
  <si>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</si>
  <si>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</si>
  <si>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</si>
  <si>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</si>
  <si>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</si>
  <si>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</si>
  <si>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</si>
  <si>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</si>
  <si>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</si>
  <si>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</si>
  <si>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</si>
  <si>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</si>
  <si>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</si>
  <si>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</si>
  <si>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</si>
  <si>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</si>
  <si>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</si>
  <si>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</si>
  <si>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</si>
  <si>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</si>
  <si>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</si>
  <si>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</si>
  <si>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</si>
  <si>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</si>
  <si>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</si>
  <si>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</si>
  <si>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</si>
  <si>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</si>
  <si>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</si>
  <si>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</si>
  <si>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</si>
  <si>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</si>
  <si>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</si>
  <si>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</si>
  <si>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</si>
  <si>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</si>
  <si>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</si>
  <si>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</si>
  <si>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</si>
  <si>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</si>
  <si>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</si>
  <si>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</si>
  <si>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</si>
  <si>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</si>
  <si>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</si>
  <si>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</si>
  <si>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</si>
  <si>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</si>
  <si>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</si>
  <si>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</si>
  <si>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</si>
  <si>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</si>
  <si>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</si>
  <si>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</si>
  <si>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</si>
  <si>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</si>
  <si>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</si>
  <si>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</si>
  <si>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</si>
  <si>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</si>
  <si>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</si>
  <si>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</si>
  <si>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</si>
  <si>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</si>
  <si>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</si>
  <si>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</si>
  <si>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</si>
  <si>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</si>
  <si>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</si>
  <si>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</si>
  <si>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</si>
  <si>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</si>
  <si>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</si>
  <si>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</si>
  <si>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</si>
  <si>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</si>
  <si>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</si>
  <si>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</si>
  <si>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</si>
  <si>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</si>
  <si>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</si>
  <si>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</si>
  <si>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</si>
  <si>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</si>
  <si>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</si>
  <si>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</si>
  <si>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</si>
  <si>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</si>
  <si>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</si>
  <si>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</si>
  <si>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</si>
  <si>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</si>
  <si>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</si>
  <si>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</si>
  <si>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</si>
  <si>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</si>
  <si>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</si>
  <si>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</si>
  <si>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</si>
  <si>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</si>
  <si>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</si>
  <si>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</si>
  <si>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</si>
  <si>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</si>
  <si>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</si>
  <si>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</si>
  <si>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</si>
  <si>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</si>
  <si>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</si>
  <si>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</si>
  <si>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</si>
  <si>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</si>
  <si>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</si>
  <si>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</si>
  <si>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</si>
  <si>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</si>
  <si>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</si>
  <si>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</si>
  <si>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</si>
  <si>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</si>
  <si>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</si>
  <si>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</si>
  <si>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</si>
  <si>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</si>
  <si>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</si>
  <si>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</si>
  <si>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</si>
  <si>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</si>
  <si>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</si>
  <si>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</si>
  <si>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</si>
  <si>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</si>
  <si>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</si>
  <si>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</si>
  <si>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</si>
  <si>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</si>
  <si>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</si>
  <si>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</si>
  <si>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</si>
  <si>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</si>
  <si>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</si>
  <si>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</si>
  <si>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</si>
  <si>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</si>
  <si>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</si>
  <si>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</si>
  <si>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</si>
  <si>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</si>
  <si>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</si>
  <si>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</si>
  <si>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</si>
  <si>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</si>
  <si>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</si>
  <si>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</si>
  <si>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</si>
  <si>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</si>
  <si>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</si>
  <si>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</si>
  <si>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</si>
  <si>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</si>
  <si>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</si>
  <si>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</si>
  <si>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</si>
  <si>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</si>
  <si>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</si>
  <si>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</si>
  <si>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</si>
  <si>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</si>
  <si>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</si>
  <si>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</si>
  <si>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</si>
  <si>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</si>
  <si>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</si>
  <si>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</si>
  <si>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</si>
  <si>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</si>
  <si>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</si>
  <si>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</si>
  <si>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</si>
  <si>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</si>
  <si>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</si>
  <si>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</si>
  <si>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</si>
  <si>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</si>
  <si>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</si>
  <si>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</si>
  <si>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</si>
  <si>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</si>
  <si>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</si>
  <si>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</si>
  <si>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</si>
  <si>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</si>
  <si>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</si>
  <si>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</si>
  <si>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</si>
  <si>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</si>
  <si>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</si>
  <si>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</si>
  <si>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</si>
  <si>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</si>
  <si>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</si>
  <si>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</si>
  <si>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</si>
  <si>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</si>
  <si>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</si>
  <si>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</si>
  <si>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</si>
  <si>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</si>
  <si>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</si>
  <si>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</si>
  <si>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</si>
  <si>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</si>
  <si>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</si>
  <si>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</si>
  <si>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</si>
  <si>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</si>
  <si>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</si>
  <si>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</si>
  <si>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</si>
  <si>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</si>
  <si>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</si>
  <si>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</si>
  <si>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</si>
  <si>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</si>
  <si>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</si>
  <si>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</si>
  <si>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</si>
  <si>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</si>
  <si>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</si>
  <si>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</si>
  <si>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</si>
  <si>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</si>
  <si>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</si>
  <si>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</si>
  <si>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</si>
  <si>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</si>
  <si>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</si>
  <si>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</si>
  <si>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</si>
  <si>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</si>
  <si>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</si>
  <si>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</si>
  <si>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</si>
  <si>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</si>
  <si>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</si>
  <si>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</si>
  <si>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</si>
  <si>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</si>
  <si>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</si>
  <si>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</si>
  <si>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</si>
  <si>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</si>
  <si>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</si>
  <si>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</si>
  <si>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</si>
  <si>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</si>
  <si>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</si>
  <si>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</si>
  <si>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</si>
  <si>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</si>
  <si>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</si>
  <si>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</si>
  <si>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</si>
  <si>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</si>
  <si>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</si>
  <si>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</si>
  <si>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</si>
  <si>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</si>
  <si>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</si>
  <si>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</si>
  <si>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</si>
  <si>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</si>
  <si>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</si>
  <si>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</si>
  <si>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</si>
  <si>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</si>
  <si>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</si>
  <si>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</si>
  <si>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</si>
  <si>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</si>
  <si>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</si>
  <si>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</si>
  <si>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</si>
  <si>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</si>
  <si>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</si>
  <si>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</si>
  <si>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</si>
  <si>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</si>
  <si>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</si>
  <si>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</si>
  <si>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</si>
  <si>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</si>
  <si>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</si>
  <si>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</si>
  <si>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</si>
  <si>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</si>
  <si>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</si>
  <si>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</si>
  <si>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</si>
  <si>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</si>
  <si>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</si>
  <si>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</si>
  <si>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</si>
  <si>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</si>
  <si>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</si>
  <si>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</si>
  <si>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</si>
  <si>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</si>
  <si>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</si>
  <si>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</si>
  <si>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</si>
  <si>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</si>
  <si>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</si>
  <si>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</si>
  <si>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</si>
  <si>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</si>
  <si>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</si>
  <si>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</si>
  <si>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</si>
  <si>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</si>
  <si>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</si>
  <si>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</si>
  <si>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</si>
  <si>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</si>
  <si>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</si>
  <si>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</si>
  <si>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</si>
  <si>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</si>
  <si>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</si>
  <si>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</si>
  <si>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</si>
  <si>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</si>
  <si>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</si>
  <si>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</si>
  <si>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</si>
  <si>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</si>
  <si>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</si>
  <si>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</si>
  <si>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</si>
  <si>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</si>
  <si>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</si>
  <si>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</si>
  <si>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</si>
  <si>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</si>
  <si>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</si>
  <si>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</si>
  <si>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</si>
  <si>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</si>
  <si>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</si>
  <si>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</si>
  <si>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</si>
  <si>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</si>
  <si>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</si>
  <si>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</si>
  <si>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</si>
  <si>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</si>
  <si>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</si>
  <si>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</si>
  <si>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</si>
  <si>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</si>
  <si>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</si>
  <si>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</si>
  <si>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</si>
  <si>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</si>
  <si>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</si>
  <si>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</si>
  <si>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</si>
  <si>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</si>
  <si>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</si>
  <si>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</si>
  <si>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</si>
  <si>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</si>
  <si>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</si>
  <si>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</si>
  <si>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</si>
  <si>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</si>
  <si>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</si>
  <si>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</si>
  <si>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</si>
  <si>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</si>
  <si>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</si>
  <si>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</si>
  <si>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</si>
  <si>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</si>
  <si>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</si>
  <si>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</si>
  <si>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</si>
  <si>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</si>
  <si>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</si>
  <si>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</si>
  <si>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</si>
  <si>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</si>
  <si>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</si>
  <si>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</si>
  <si>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</si>
  <si>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</si>
  <si>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</si>
  <si>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</si>
  <si>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</si>
  <si>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</si>
  <si>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</si>
  <si>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</si>
  <si>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</si>
  <si>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</si>
  <si>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</si>
  <si>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</si>
  <si>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</si>
  <si>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</si>
  <si>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</si>
  <si>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</si>
  <si>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</si>
  <si>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</si>
  <si>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</si>
  <si>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</si>
  <si>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</si>
  <si>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</si>
  <si>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</si>
  <si>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</si>
  <si>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</si>
  <si>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</si>
  <si>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</si>
  <si>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</si>
  <si>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</si>
  <si>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</si>
  <si>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</si>
  <si>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</si>
  <si>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</si>
  <si>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</si>
  <si>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</si>
  <si>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</si>
  <si>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</si>
  <si>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</si>
  <si>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</si>
  <si>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</si>
  <si>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</si>
  <si>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</si>
  <si>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</si>
  <si>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</si>
  <si>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</si>
  <si>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</si>
  <si>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</si>
  <si>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</si>
  <si>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</si>
  <si>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</si>
  <si>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</si>
  <si>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</si>
  <si>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</si>
  <si>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</si>
  <si>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</si>
  <si>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</si>
  <si>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</si>
  <si>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</si>
  <si>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</si>
  <si>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</si>
  <si>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</si>
  <si>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</si>
  <si>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</si>
  <si>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</si>
  <si>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</si>
  <si>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</si>
  <si>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</si>
  <si>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</si>
  <si>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</si>
  <si>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</si>
  <si>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</si>
  <si>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</si>
  <si>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</si>
  <si>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</si>
  <si>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</si>
  <si>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</si>
  <si>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</si>
  <si>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</si>
  <si>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</si>
  <si>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</si>
  <si>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</si>
  <si>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</si>
  <si>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</si>
  <si>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</si>
  <si>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</si>
  <si>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</si>
  <si>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</si>
  <si>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</si>
  <si>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</si>
  <si>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</si>
  <si>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</si>
  <si>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</si>
  <si>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</si>
  <si>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</si>
  <si>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</si>
  <si>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</si>
  <si>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</si>
  <si>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</si>
  <si>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</si>
  <si>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</si>
  <si>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</si>
  <si>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</si>
  <si>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</si>
  <si>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</si>
  <si>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</si>
  <si>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</si>
  <si>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</si>
  <si>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</si>
  <si>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</si>
  <si>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</si>
  <si>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</si>
  <si>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</si>
  <si>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</si>
  <si>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</si>
  <si>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</si>
  <si>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</si>
  <si>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</si>
  <si>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</si>
  <si>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</si>
  <si>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</si>
  <si>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</si>
  <si>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</si>
  <si>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</si>
  <si>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</si>
  <si>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</si>
  <si>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</si>
  <si>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</si>
  <si>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</si>
  <si>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</si>
  <si>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</si>
  <si>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</si>
  <si>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</si>
  <si>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</si>
  <si>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</si>
  <si>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</si>
  <si>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</si>
  <si>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</si>
  <si>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</si>
  <si>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</si>
  <si>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</si>
  <si>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</si>
  <si>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</si>
  <si>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</si>
  <si>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</si>
  <si>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</si>
  <si>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</si>
  <si>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</si>
  <si>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</si>
  <si>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</si>
  <si>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</si>
  <si>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</si>
  <si>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</si>
  <si>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</si>
  <si>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</si>
  <si>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</si>
  <si>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</si>
  <si>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</si>
  <si>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</si>
  <si>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</si>
  <si>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</si>
  <si>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</si>
  <si>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</si>
  <si>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</si>
  <si>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</si>
  <si>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</si>
  <si>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</si>
  <si>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</si>
  <si>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</si>
  <si>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</si>
  <si>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</si>
  <si>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</si>
  <si>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</si>
  <si>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</si>
  <si>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</si>
  <si>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</si>
  <si>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</si>
  <si>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</si>
  <si>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</si>
  <si>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</si>
  <si>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</si>
  <si>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</si>
  <si>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</si>
  <si>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</si>
  <si>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</si>
  <si>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</si>
  <si>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</si>
  <si>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</si>
  <si>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</si>
  <si>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</si>
  <si>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</si>
  <si>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</si>
  <si>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</si>
  <si>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</si>
  <si>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</si>
  <si>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</si>
  <si>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</si>
  <si>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</si>
  <si>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</si>
  <si>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</si>
  <si>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</si>
  <si>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</si>
  <si>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</si>
  <si>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</si>
  <si>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</si>
  <si>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</si>
  <si>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</si>
  <si>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</si>
  <si>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</si>
  <si>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</si>
  <si>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</si>
  <si>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</si>
  <si>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</si>
  <si>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</si>
  <si>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</si>
  <si>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</si>
  <si>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</si>
  <si>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</si>
  <si>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</si>
  <si>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</si>
  <si>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</si>
  <si>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</si>
  <si>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</si>
  <si>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</si>
  <si>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</si>
  <si>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</si>
  <si>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</si>
  <si>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</si>
  <si>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</si>
  <si>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</si>
  <si>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</si>
  <si>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</si>
  <si>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</si>
  <si>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</si>
  <si>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</si>
  <si>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</si>
  <si>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</si>
  <si>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</si>
  <si>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</si>
  <si>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</si>
  <si>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</si>
  <si>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</si>
  <si>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</si>
  <si>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</si>
  <si>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</si>
  <si>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</si>
  <si>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</si>
  <si>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</si>
  <si>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</si>
  <si>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</si>
  <si>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</si>
  <si>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</si>
  <si>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</si>
  <si>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</si>
  <si>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</si>
  <si>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</si>
  <si>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</si>
  <si>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</si>
  <si>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</si>
  <si>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</si>
  <si>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</si>
  <si>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</si>
  <si>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</si>
  <si>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</si>
  <si>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</si>
  <si>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</si>
  <si>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</si>
  <si>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</si>
  <si>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</si>
  <si>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</si>
  <si>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</si>
  <si>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</si>
  <si>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</si>
  <si>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</si>
  <si>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</si>
  <si>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</si>
  <si>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</si>
  <si>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</si>
  <si>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</si>
  <si>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</si>
  <si>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</si>
  <si>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</si>
  <si>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</si>
  <si>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</si>
  <si>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</si>
  <si>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</si>
  <si>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</si>
  <si>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</si>
  <si>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</si>
  <si>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</si>
  <si>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</si>
  <si>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</si>
  <si>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</si>
  <si>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</si>
  <si>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</si>
  <si>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</si>
  <si>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</si>
  <si>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</si>
  <si>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</si>
  <si>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</si>
  <si>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</si>
  <si>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</si>
  <si>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</si>
  <si>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</si>
  <si>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</si>
  <si>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</si>
  <si>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</si>
  <si>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</si>
  <si>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</si>
  <si>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</si>
  <si>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</si>
  <si>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</si>
  <si>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</si>
  <si>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</si>
  <si>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</si>
  <si>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</si>
  <si>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</si>
  <si>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</si>
  <si>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</si>
  <si>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</si>
  <si>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</si>
  <si>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</si>
  <si>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</si>
  <si>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</si>
  <si>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</si>
  <si>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</si>
  <si>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</si>
  <si>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</si>
  <si>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</si>
  <si>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</si>
  <si>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</si>
  <si>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</si>
  <si>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</si>
  <si>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</si>
  <si>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</si>
  <si>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</si>
  <si>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</si>
  <si>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</si>
  <si>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</si>
  <si>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</si>
  <si>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</si>
  <si>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</si>
  <si>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</si>
  <si>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</si>
  <si>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</si>
  <si>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</si>
  <si>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</si>
  <si>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</si>
  <si>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</si>
  <si>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</si>
  <si>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</si>
  <si>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</si>
  <si>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</si>
  <si>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</si>
  <si>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</si>
  <si>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</si>
  <si>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</si>
  <si>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</si>
  <si>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</si>
  <si>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</si>
  <si>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</si>
  <si>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</si>
  <si>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</si>
  <si>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</si>
  <si>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</si>
  <si>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</si>
  <si>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</si>
  <si>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</si>
  <si>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</si>
  <si>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</si>
  <si>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</si>
  <si>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</si>
  <si>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</si>
  <si>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</si>
  <si>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</si>
  <si>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</si>
  <si>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</si>
  <si>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</si>
  <si>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</si>
  <si>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</si>
  <si>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</si>
  <si>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</si>
  <si>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</si>
  <si>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</si>
  <si>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</si>
  <si>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</si>
  <si>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</si>
  <si>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</si>
  <si>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</si>
  <si>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</si>
  <si>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</si>
  <si>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</si>
  <si>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</si>
  <si>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</si>
  <si>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</si>
  <si>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</si>
  <si>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</si>
  <si>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</si>
  <si>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</si>
  <si>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</si>
  <si>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</si>
  <si>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</si>
  <si>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</si>
  <si>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</si>
  <si>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</si>
  <si>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</si>
  <si>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</si>
  <si>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</si>
  <si>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</si>
  <si>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</si>
  <si>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</si>
  <si>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</si>
  <si>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</si>
  <si>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</si>
  <si>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</si>
  <si>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</si>
  <si>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</si>
  <si>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</si>
  <si>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</si>
  <si>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</si>
  <si>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</si>
  <si>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</si>
  <si>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</si>
  <si>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</si>
  <si>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</si>
  <si>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</si>
  <si>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</si>
  <si>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</si>
  <si>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</si>
  <si>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</si>
  <si>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</si>
  <si>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</si>
  <si>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</si>
  <si>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</si>
  <si>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</si>
  <si>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</si>
  <si>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</si>
  <si>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</si>
  <si>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</si>
  <si>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</si>
  <si>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</si>
  <si>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</si>
  <si>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</si>
  <si>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</si>
  <si>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</si>
  <si>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</si>
  <si>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</si>
  <si>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</si>
  <si>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</si>
  <si>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</si>
  <si>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</si>
  <si>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</si>
  <si>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</si>
  <si>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</si>
  <si>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</si>
  <si>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</si>
  <si>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</si>
  <si>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</si>
  <si>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</si>
  <si>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</si>
  <si>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</si>
  <si>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</si>
  <si>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</si>
  <si>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</si>
  <si>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</si>
  <si>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</si>
  <si>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</si>
  <si>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</si>
  <si>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</si>
  <si>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</si>
  <si>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</si>
  <si>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</si>
  <si>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</si>
  <si>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</si>
  <si>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</si>
  <si>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</si>
  <si>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</si>
  <si>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</si>
  <si>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</si>
  <si>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</si>
  <si>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</si>
  <si>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</si>
  <si>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</si>
  <si>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</si>
  <si>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</si>
  <si>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</si>
  <si>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</si>
  <si>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</si>
  <si>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</si>
  <si>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</si>
  <si>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</si>
  <si>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</si>
  <si>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</si>
  <si>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</si>
  <si>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</si>
  <si>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</si>
  <si>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</si>
  <si>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</si>
  <si>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</si>
  <si>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</si>
  <si>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</si>
  <si>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</si>
  <si>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</si>
  <si>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</si>
  <si>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</si>
  <si>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</si>
  <si>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</si>
  <si>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</si>
  <si>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</si>
  <si>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</si>
  <si>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</si>
  <si>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</si>
  <si>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</si>
  <si>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</si>
  <si>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</si>
  <si>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</si>
  <si>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</si>
  <si>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</si>
  <si>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</si>
  <si>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</si>
  <si>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</si>
  <si>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</si>
  <si>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</si>
  <si>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</si>
  <si>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</si>
  <si>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</si>
  <si>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</si>
  <si>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</si>
  <si>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</si>
  <si>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</si>
  <si>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</si>
  <si>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</si>
  <si>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</si>
  <si>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</si>
  <si>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</si>
  <si>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</si>
  <si>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</si>
  <si>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</si>
  <si>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</si>
  <si>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</si>
  <si>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</si>
  <si>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</si>
  <si>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</si>
  <si>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</si>
  <si>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</si>
  <si>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</si>
  <si>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</si>
  <si>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</si>
  <si>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</si>
  <si>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</si>
  <si>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</si>
  <si>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</si>
  <si>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</si>
  <si>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</si>
  <si>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</si>
  <si>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</si>
  <si>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</si>
  <si>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</si>
  <si>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</si>
  <si>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</si>
  <si>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</si>
  <si>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</si>
  <si>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</si>
  <si>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</si>
  <si>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</si>
  <si>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</si>
  <si>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</si>
  <si>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</si>
  <si>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</si>
  <si>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</si>
  <si>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</si>
  <si>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</si>
  <si>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</si>
  <si>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</si>
  <si>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</si>
  <si>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</si>
  <si>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</si>
  <si>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</si>
  <si>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</si>
  <si>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</si>
  <si>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</si>
  <si>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</si>
  <si>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</si>
  <si>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</si>
  <si>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</si>
  <si>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</si>
  <si>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</si>
  <si>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</si>
  <si>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</si>
  <si>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</si>
  <si>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</si>
  <si>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</si>
  <si>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</si>
  <si>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</si>
  <si>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</si>
  <si>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</si>
  <si>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</si>
  <si>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</si>
  <si>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</si>
  <si>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</si>
  <si>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</si>
  <si>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</si>
  <si>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</si>
  <si>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</si>
  <si>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</si>
  <si>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</si>
  <si>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</si>
  <si>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</si>
  <si>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</si>
  <si>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</si>
  <si>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</si>
  <si>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</si>
  <si>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</si>
  <si>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</si>
  <si>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</si>
  <si>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</si>
  <si>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</si>
  <si>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</si>
  <si>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</si>
  <si>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</si>
  <si>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</si>
  <si>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</si>
  <si>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</si>
  <si>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</si>
  <si>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</si>
  <si>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</si>
  <si>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</si>
  <si>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</si>
  <si>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</si>
  <si>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</si>
  <si>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</si>
  <si>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</si>
  <si>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</si>
  <si>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</si>
  <si>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</si>
  <si>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</si>
  <si>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</si>
  <si>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</si>
  <si>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</si>
  <si>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</si>
  <si>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</si>
  <si>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</si>
  <si>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</si>
  <si>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</si>
  <si>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</si>
  <si>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</si>
  <si>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</si>
  <si>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</si>
  <si>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</si>
  <si>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</si>
  <si>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</si>
  <si>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</si>
  <si>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</si>
  <si>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</si>
  <si>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</si>
  <si>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</si>
  <si>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</si>
  <si>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</si>
  <si>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</si>
  <si>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</si>
  <si>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</si>
  <si>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</si>
  <si>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</si>
  <si>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</si>
  <si>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</si>
  <si>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</si>
  <si>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</si>
  <si>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</si>
  <si>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</si>
  <si>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</si>
  <si>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</si>
  <si>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</si>
  <si>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</si>
  <si>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</si>
  <si>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</si>
  <si>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</si>
  <si>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</si>
  <si>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</si>
  <si>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</si>
  <si>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</si>
  <si>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</si>
  <si>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</si>
  <si>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</si>
  <si>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</si>
  <si>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</si>
  <si>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</si>
  <si>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</si>
  <si>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</si>
  <si>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</si>
  <si>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</si>
  <si>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</si>
  <si>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</si>
  <si>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</si>
  <si>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</si>
  <si>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</si>
  <si>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</si>
  <si>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</si>
  <si>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</si>
  <si>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</si>
  <si>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</si>
  <si>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</si>
  <si>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</si>
  <si>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</si>
  <si>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</si>
  <si>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</si>
  <si>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</si>
  <si>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</si>
  <si>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</si>
  <si>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</si>
  <si>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</si>
  <si>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</si>
  <si>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</si>
  <si>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</si>
  <si>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</si>
  <si>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</si>
  <si>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</si>
  <si>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</si>
  <si>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</si>
  <si>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</si>
  <si>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</si>
  <si>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</si>
  <si>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</si>
  <si>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</si>
  <si>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</si>
  <si>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</si>
  <si>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</si>
  <si>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</si>
  <si>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</si>
  <si>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</si>
  <si>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</si>
  <si>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</si>
  <si>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</si>
  <si>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</si>
  <si>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</si>
  <si>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</si>
  <si>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</si>
  <si>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</si>
  <si>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</si>
  <si>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</si>
  <si>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</si>
  <si>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</si>
  <si>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</si>
  <si>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</si>
  <si>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</si>
  <si>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</si>
  <si>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</si>
  <si>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</si>
  <si>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</si>
  <si>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</si>
  <si>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</si>
  <si>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</si>
  <si>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</si>
  <si>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</si>
  <si>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</si>
  <si>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</si>
  <si>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</si>
  <si>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</si>
  <si>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</si>
  <si>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</si>
  <si>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</si>
  <si>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</si>
  <si>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</si>
  <si>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</si>
  <si>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</si>
  <si>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</si>
  <si>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</si>
  <si>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</si>
  <si>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</si>
  <si>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</si>
  <si>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</si>
  <si>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</si>
  <si>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</si>
  <si>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</si>
  <si>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</si>
  <si>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</si>
  <si>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</si>
  <si>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</si>
  <si>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</si>
  <si>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</si>
  <si>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</si>
  <si>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</si>
  <si>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</si>
  <si>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</si>
  <si>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</si>
  <si>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</si>
  <si>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</si>
  <si>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</si>
  <si>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</si>
  <si>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</si>
  <si>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</si>
  <si>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</si>
  <si>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</si>
  <si>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</si>
  <si>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</si>
  <si>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</si>
  <si>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</si>
  <si>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</si>
  <si>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</si>
  <si>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</si>
  <si>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</si>
  <si>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</si>
  <si>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</si>
  <si>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</si>
  <si>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</si>
  <si>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</si>
  <si>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</si>
  <si>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</si>
  <si>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</si>
  <si>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</si>
  <si>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</si>
  <si>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</si>
  <si>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</si>
  <si>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</si>
  <si>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</si>
  <si>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</si>
  <si>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</si>
  <si>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</si>
  <si>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</si>
  <si>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</si>
  <si>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</si>
  <si>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</si>
  <si>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</si>
  <si>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</si>
  <si>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</si>
  <si>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</si>
  <si>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</si>
  <si>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</si>
  <si>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</si>
  <si>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</si>
  <si>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</si>
  <si>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</si>
  <si>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</si>
  <si>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</si>
  <si>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</si>
  <si>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</si>
  <si>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</si>
  <si>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</si>
  <si>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</si>
  <si>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</si>
  <si>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</si>
  <si>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</si>
  <si>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</si>
  <si>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</si>
  <si>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</si>
  <si>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</si>
  <si>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</si>
  <si>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</si>
  <si>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</si>
  <si>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</si>
  <si>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</si>
  <si>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</si>
  <si>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</si>
  <si>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</si>
  <si>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</si>
  <si>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</si>
  <si>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</si>
  <si>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</si>
  <si>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</si>
  <si>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</si>
  <si>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</si>
  <si>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</si>
  <si>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</si>
  <si>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</si>
  <si>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</si>
  <si>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</si>
  <si>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</si>
  <si>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</si>
  <si>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</si>
  <si>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</si>
  <si>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</si>
  <si>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</si>
  <si>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</si>
  <si>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</si>
  <si>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</si>
  <si>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</si>
  <si>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</si>
  <si>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</si>
  <si>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</si>
  <si>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</si>
  <si>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</si>
  <si>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</si>
  <si>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</si>
  <si>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</si>
  <si>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</si>
  <si>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</si>
  <si>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</si>
  <si>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</si>
  <si>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</si>
  <si>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</si>
  <si>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</si>
  <si>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</si>
  <si>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</si>
  <si>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</si>
  <si>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</si>
  <si>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</si>
  <si>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</si>
  <si>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</si>
  <si>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</si>
  <si>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</si>
  <si>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</si>
  <si>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</si>
  <si>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</si>
  <si>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</si>
  <si>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</si>
  <si>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</si>
  <si>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</si>
  <si>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</si>
  <si>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</si>
  <si>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</si>
  <si>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</si>
  <si>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</si>
  <si>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</si>
  <si>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</si>
  <si>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</si>
  <si>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</si>
  <si>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</si>
  <si>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</si>
  <si>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</si>
  <si>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</si>
  <si>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</si>
  <si>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</si>
  <si>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</si>
  <si>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</si>
  <si>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</si>
  <si>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</si>
  <si>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</si>
  <si>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</si>
  <si>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</si>
  <si>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</si>
  <si>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</si>
  <si>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</si>
  <si>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</si>
  <si>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</si>
  <si>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</si>
  <si>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</si>
  <si>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</si>
  <si>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</si>
  <si>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</si>
  <si>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</si>
  <si>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</si>
  <si>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</si>
  <si>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</si>
  <si>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</si>
  <si>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</si>
  <si>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</si>
  <si>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</si>
  <si>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</si>
  <si>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</si>
  <si>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</si>
  <si>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</si>
  <si>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</si>
  <si>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</si>
  <si>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</si>
  <si>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</si>
  <si>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</si>
  <si>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</si>
  <si>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</si>
  <si>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</si>
  <si>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</si>
  <si>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</si>
  <si>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</si>
  <si>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</si>
  <si>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</si>
  <si>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</si>
  <si>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</si>
  <si>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</si>
  <si>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</si>
  <si>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</si>
  <si>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</si>
  <si>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</si>
  <si>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</si>
  <si>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</si>
  <si>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</si>
  <si>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</si>
  <si>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</si>
  <si>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</si>
  <si>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</si>
  <si>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</si>
  <si>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</si>
  <si>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</si>
  <si>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</si>
  <si>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</si>
  <si>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</si>
  <si>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</si>
  <si>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</si>
  <si>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</si>
  <si>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</si>
  <si>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</si>
  <si>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</si>
  <si>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</si>
  <si>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</si>
  <si>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</si>
  <si>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</si>
  <si>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</si>
  <si>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</si>
  <si>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</si>
  <si>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</si>
  <si>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</si>
  <si>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</si>
  <si>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</si>
  <si>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</si>
  <si>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</si>
  <si>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</si>
  <si>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</si>
  <si>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</si>
  <si>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</si>
  <si>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</si>
  <si>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</si>
  <si>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</si>
  <si>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</si>
  <si>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</si>
  <si>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</si>
  <si>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</si>
  <si>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</si>
  <si>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</si>
  <si>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</si>
  <si>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</si>
  <si>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</si>
  <si>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</si>
  <si>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</si>
  <si>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</si>
  <si>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</si>
  <si>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</si>
  <si>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</si>
  <si>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</si>
  <si>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</si>
  <si>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</si>
  <si>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</si>
  <si>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</si>
  <si>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</si>
  <si>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</si>
  <si>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</si>
  <si>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</si>
  <si>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</si>
  <si>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</si>
  <si>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</si>
  <si>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</si>
  <si>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</si>
  <si>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</si>
  <si>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</si>
  <si>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</si>
  <si>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</si>
  <si>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</si>
  <si>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</si>
  <si>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</si>
  <si>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</si>
  <si>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</si>
  <si>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</si>
  <si>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</si>
  <si>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</si>
  <si>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</si>
  <si>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</si>
  <si>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</si>
  <si>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</si>
  <si>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</si>
  <si>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</si>
  <si>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</si>
  <si>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</si>
  <si>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</si>
  <si>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</si>
  <si>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</si>
  <si>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</si>
  <si>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</si>
  <si>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</si>
  <si>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</si>
  <si>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</si>
  <si>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</si>
  <si>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</si>
  <si>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</si>
  <si>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</si>
  <si>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</si>
  <si>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</si>
  <si>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</si>
  <si>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</si>
  <si>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</si>
  <si>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</si>
  <si>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</si>
  <si>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</si>
  <si>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</si>
  <si>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</si>
  <si>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</si>
  <si>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</si>
  <si>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</si>
  <si>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</si>
  <si>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</si>
  <si>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</si>
  <si>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</si>
  <si>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</si>
  <si>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</si>
  <si>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</si>
  <si>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</si>
  <si>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</si>
  <si>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</si>
  <si>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</si>
  <si>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</si>
  <si>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</si>
  <si>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</si>
  <si>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</si>
  <si>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</si>
  <si>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</si>
  <si>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</si>
  <si>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</si>
  <si>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</si>
  <si>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</si>
  <si>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</si>
  <si>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</si>
  <si>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</si>
  <si>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</si>
  <si>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</si>
  <si>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</si>
  <si>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</si>
  <si>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</si>
  <si>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</si>
  <si>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</si>
  <si>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</si>
  <si>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</si>
  <si>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</si>
  <si>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</si>
  <si>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</si>
  <si>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</si>
  <si>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</si>
  <si>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</si>
  <si>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</si>
  <si>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</si>
  <si>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</si>
  <si>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</si>
  <si>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</si>
  <si>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</si>
  <si>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</si>
  <si>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</si>
  <si>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</si>
  <si>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</si>
  <si>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</si>
  <si>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</si>
  <si>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</si>
  <si>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</si>
  <si>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</si>
  <si>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</si>
  <si>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</si>
  <si>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</si>
  <si>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</si>
  <si>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</si>
  <si>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</si>
  <si>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</si>
  <si>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</si>
  <si>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</si>
  <si>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</si>
  <si>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</si>
  <si>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</si>
  <si>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</si>
  <si>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</si>
  <si>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</si>
  <si>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</si>
  <si>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</si>
  <si>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</si>
  <si>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</si>
  <si>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</si>
  <si>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</si>
  <si>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</si>
  <si>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</si>
  <si>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</si>
  <si>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</si>
  <si>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</si>
  <si>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</si>
  <si>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</si>
  <si>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</si>
  <si>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</si>
  <si>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</si>
  <si>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</si>
  <si>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</si>
  <si>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</si>
  <si>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</si>
  <si>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</si>
  <si>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</si>
  <si>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</si>
  <si>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</si>
  <si>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</si>
  <si>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</si>
  <si>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</si>
  <si>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</si>
  <si>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</si>
  <si>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</si>
  <si>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</si>
  <si>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</si>
  <si>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</si>
  <si>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</si>
  <si>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</si>
  <si>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</si>
  <si>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</si>
  <si>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</si>
  <si>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</si>
  <si>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</si>
  <si>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</si>
  <si>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</si>
  <si>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</si>
  <si>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</si>
  <si>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</si>
  <si>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</si>
  <si>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</si>
  <si>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</si>
  <si>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</si>
  <si>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</si>
  <si>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</si>
  <si>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</si>
  <si>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</si>
  <si>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</si>
  <si>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</si>
  <si>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</si>
  <si>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</si>
  <si>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</si>
  <si>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</si>
  <si>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</si>
  <si>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</si>
  <si>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</si>
  <si>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</si>
  <si>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</si>
  <si>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</si>
  <si>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</si>
  <si>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</si>
  <si>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</si>
  <si>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</si>
  <si>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</si>
  <si>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</si>
  <si>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</si>
  <si>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</si>
  <si>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</si>
  <si>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</si>
  <si>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</si>
  <si>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</si>
  <si>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</si>
  <si>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</si>
  <si>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</si>
  <si>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</si>
  <si>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</si>
  <si>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</si>
  <si>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</si>
  <si>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</si>
  <si>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</si>
  <si>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</si>
  <si>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</si>
  <si>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</si>
  <si>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</si>
  <si>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</si>
  <si>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</si>
  <si>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</si>
  <si>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</si>
  <si>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</si>
  <si>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</si>
  <si>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</si>
  <si>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</si>
  <si>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</si>
  <si>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</si>
  <si>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</si>
  <si>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</si>
  <si>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</si>
  <si>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</si>
  <si>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</si>
  <si>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</si>
  <si>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</si>
  <si>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</si>
  <si>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</si>
  <si>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</si>
  <si>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</si>
  <si>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</si>
  <si>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</si>
  <si>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</si>
  <si>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</si>
  <si>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</si>
  <si>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</si>
  <si>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</si>
  <si>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</si>
  <si>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</si>
  <si>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</si>
  <si>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</si>
  <si>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</si>
  <si>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</si>
  <si>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</si>
  <si>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</si>
  <si>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</si>
  <si>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</si>
  <si>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</si>
  <si>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</si>
  <si>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</si>
  <si>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</si>
  <si>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</si>
  <si>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</si>
  <si>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</si>
  <si>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</si>
  <si>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</si>
  <si>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</si>
  <si>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</si>
  <si>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</si>
  <si>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</si>
  <si>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</si>
  <si>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</si>
  <si>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</si>
  <si>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</si>
  <si>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</si>
  <si>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</si>
  <si>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</si>
  <si>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</si>
  <si>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</si>
  <si>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</si>
  <si>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</si>
  <si>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</si>
  <si>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</si>
  <si>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</si>
  <si>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</si>
  <si>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</si>
  <si>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</si>
  <si>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</si>
  <si>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</si>
  <si>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</si>
  <si>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</si>
  <si>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</si>
  <si>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</si>
  <si>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</si>
  <si>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</si>
  <si>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</si>
  <si>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</si>
  <si>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</si>
  <si>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</si>
  <si>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</si>
  <si>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</si>
  <si>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</si>
  <si>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</si>
  <si>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</si>
  <si>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</si>
  <si>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</si>
  <si>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</si>
  <si>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</si>
  <si>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</si>
  <si>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</si>
  <si>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</si>
  <si>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</si>
  <si>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</si>
  <si>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</si>
  <si>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</si>
  <si>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</si>
  <si>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</si>
  <si>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</si>
  <si>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</si>
  <si>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</si>
  <si>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</si>
  <si>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</si>
  <si>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</si>
  <si>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</si>
  <si>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</si>
  <si>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</si>
  <si>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</si>
  <si>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</si>
  <si>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</si>
  <si>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</si>
  <si>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</si>
  <si>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</si>
  <si>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</si>
  <si>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</si>
  <si>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</si>
  <si>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</si>
  <si>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</si>
  <si>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</si>
  <si>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</si>
  <si>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</si>
  <si>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</si>
  <si>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</si>
  <si>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</si>
  <si>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</si>
  <si>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</si>
  <si>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</si>
  <si>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</si>
  <si>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</si>
  <si>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</si>
  <si>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</si>
  <si>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</si>
  <si>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</si>
  <si>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</si>
  <si>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</si>
  <si>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</si>
  <si>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</si>
  <si>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</si>
  <si>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</si>
  <si>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</si>
  <si>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</si>
  <si>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</si>
  <si>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</si>
  <si>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</si>
  <si>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</si>
  <si>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</si>
  <si>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</si>
  <si>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</si>
  <si>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</si>
  <si>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</si>
  <si>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</si>
  <si>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</si>
  <si>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</si>
  <si>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</si>
  <si>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</si>
  <si>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</si>
  <si>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</si>
  <si>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</si>
  <si>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</si>
  <si>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</si>
  <si>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</si>
  <si>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</si>
  <si>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</si>
  <si>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</si>
  <si>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</si>
  <si>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</si>
  <si>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</si>
  <si>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</si>
  <si>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</si>
  <si>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</si>
  <si>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</si>
  <si>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</si>
  <si>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</si>
  <si>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</si>
  <si>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</si>
  <si>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</si>
  <si>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</si>
  <si>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</si>
  <si>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</si>
  <si>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</si>
  <si>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</si>
  <si>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</si>
  <si>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</si>
  <si>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</si>
  <si>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</si>
  <si>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</si>
  <si>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</si>
  <si>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</si>
  <si>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</si>
  <si>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</si>
  <si>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</si>
  <si>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</si>
  <si>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</si>
  <si>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</si>
  <si>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</si>
  <si>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</si>
  <si>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</si>
  <si>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</si>
  <si>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</si>
  <si>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</si>
  <si>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</si>
  <si>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</si>
  <si>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</si>
  <si>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</si>
  <si>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</si>
  <si>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</si>
  <si>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</si>
  <si>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</si>
  <si>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</si>
  <si>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</si>
  <si>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</si>
  <si>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</si>
  <si>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</si>
  <si>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</si>
  <si>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</si>
  <si>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</si>
  <si>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</si>
  <si>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</si>
  <si>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</si>
  <si>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</si>
  <si>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</si>
  <si>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</si>
  <si>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</si>
  <si>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</si>
  <si>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</si>
  <si>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</si>
  <si>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</si>
  <si>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</si>
  <si>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</si>
  <si>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</si>
  <si>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</si>
  <si>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</si>
  <si>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</si>
  <si>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</si>
  <si>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</si>
  <si>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</si>
  <si>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</si>
  <si>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</si>
  <si>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</si>
  <si>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</si>
  <si>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</si>
  <si>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</si>
  <si>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</si>
  <si>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</si>
  <si>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</si>
  <si>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</si>
  <si>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</si>
  <si>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</si>
  <si>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</si>
  <si>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</si>
  <si>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</si>
  <si>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</si>
  <si>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</si>
  <si>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</si>
  <si>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</si>
  <si>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</si>
  <si>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</si>
  <si>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</si>
  <si>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</si>
  <si>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</si>
  <si>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</si>
  <si>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</si>
  <si>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</si>
  <si>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</si>
  <si>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</si>
  <si>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</si>
  <si>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</si>
  <si>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</si>
  <si>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</si>
  <si>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</si>
  <si>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</si>
  <si>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</si>
  <si>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</si>
  <si>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</si>
  <si>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</si>
  <si>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</si>
  <si>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</si>
  <si>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</si>
  <si>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</si>
  <si>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</si>
  <si>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</si>
  <si>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</si>
  <si>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</si>
  <si>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</si>
  <si>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</si>
  <si>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</si>
  <si>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</si>
  <si>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</si>
  <si>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</si>
  <si>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</si>
  <si>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</si>
  <si>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</si>
  <si>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</si>
  <si>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</si>
  <si>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</si>
  <si>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</si>
  <si>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</si>
  <si>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</si>
  <si>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</si>
  <si>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</si>
  <si>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</si>
  <si>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</si>
  <si>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</si>
  <si>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</si>
  <si>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</si>
  <si>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</si>
  <si>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</si>
  <si>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</si>
  <si>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</si>
  <si>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</si>
  <si>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</si>
  <si>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</si>
  <si>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</si>
  <si>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</si>
  <si>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</si>
  <si>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</si>
  <si>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</si>
  <si>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</si>
  <si>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</si>
  <si>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</si>
  <si>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</si>
  <si>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</si>
  <si>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</si>
  <si>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</si>
  <si>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</si>
  <si>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</si>
  <si>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</si>
  <si>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</si>
  <si>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</si>
  <si>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</si>
  <si>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</si>
  <si>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</si>
  <si>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</si>
  <si>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</si>
  <si>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</si>
  <si>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</si>
  <si>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</si>
  <si>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</si>
  <si>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</si>
  <si>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</si>
  <si>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</si>
  <si>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</si>
  <si>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</si>
  <si>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</si>
  <si>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</si>
  <si>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</si>
  <si>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</si>
  <si>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</si>
  <si>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</si>
  <si>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</si>
  <si>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</si>
  <si>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</si>
  <si>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</si>
  <si>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</si>
  <si>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</si>
  <si>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</si>
  <si>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</si>
  <si>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</si>
  <si>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</si>
  <si>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</si>
  <si>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</si>
  <si>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</si>
  <si>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</si>
  <si>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</si>
  <si>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</si>
  <si>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</si>
  <si>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</si>
  <si>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</si>
  <si>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</si>
  <si>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</si>
  <si>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</si>
  <si>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</si>
  <si>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</si>
  <si>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</si>
  <si>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</si>
  <si>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</si>
  <si>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</si>
  <si>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</si>
  <si>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</si>
  <si>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</si>
  <si>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</si>
  <si>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</si>
  <si>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</si>
  <si>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</si>
  <si>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</si>
  <si>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</si>
  <si>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</si>
  <si>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</si>
  <si>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</si>
  <si>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</si>
  <si>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</si>
  <si>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</si>
  <si>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</si>
  <si>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</si>
  <si>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</si>
  <si>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</si>
  <si>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</si>
  <si>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</si>
  <si>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</si>
  <si>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</si>
  <si>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</si>
  <si>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</si>
  <si>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</si>
  <si>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</si>
  <si>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</si>
  <si>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</si>
  <si>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</si>
  <si>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</si>
  <si>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</si>
  <si>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</si>
  <si>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</si>
  <si>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</si>
  <si>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</si>
  <si>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</si>
  <si>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</si>
  <si>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</si>
  <si>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</si>
  <si>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</si>
  <si>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</si>
  <si>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</si>
  <si>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</si>
  <si>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</si>
  <si>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</si>
  <si>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</si>
  <si>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</si>
  <si>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</si>
  <si>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</si>
  <si>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</si>
  <si>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</si>
  <si>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</si>
  <si>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</si>
  <si>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</si>
  <si>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</si>
  <si>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</si>
  <si>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</si>
  <si>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</si>
  <si>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</si>
  <si>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</si>
  <si>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</si>
  <si>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</si>
  <si>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</si>
  <si>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</si>
  <si>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</si>
  <si>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</si>
  <si>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</si>
  <si>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</si>
  <si>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</si>
  <si>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</si>
  <si>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</si>
  <si>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</si>
  <si>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</si>
  <si>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</si>
  <si>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</si>
  <si>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</si>
  <si>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</si>
  <si>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</si>
  <si>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</si>
  <si>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</si>
  <si>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</si>
  <si>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</si>
  <si>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</si>
  <si>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</si>
  <si>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</si>
  <si>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</si>
  <si>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</si>
  <si>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</si>
  <si>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</si>
  <si>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</si>
  <si>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</si>
  <si>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</si>
  <si>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</si>
  <si>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</si>
  <si>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</si>
  <si>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</si>
  <si>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</si>
  <si>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</si>
  <si>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</si>
  <si>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</si>
  <si>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</si>
  <si>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</si>
  <si>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</si>
  <si>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</si>
  <si>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</si>
  <si>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</si>
  <si>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</si>
  <si>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</si>
  <si>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</si>
  <si>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</si>
  <si>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</si>
  <si>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</si>
  <si>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</si>
  <si>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</si>
  <si>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</si>
  <si>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</si>
  <si>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</si>
  <si>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</si>
  <si>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</si>
  <si>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</si>
  <si>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</si>
  <si>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</si>
  <si>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</si>
  <si>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</si>
  <si>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</si>
  <si>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</si>
  <si>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</si>
  <si>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</si>
  <si>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</si>
  <si>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</si>
  <si>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</si>
  <si>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</si>
  <si>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</si>
  <si>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</si>
  <si>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</si>
  <si>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</si>
  <si>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</si>
  <si>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</si>
  <si>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</si>
  <si>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</si>
  <si>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</si>
  <si>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</si>
  <si>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</si>
  <si>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</si>
  <si>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</si>
  <si>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</si>
  <si>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</si>
  <si>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</si>
  <si>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</si>
  <si>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</si>
  <si>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</si>
  <si>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</si>
  <si>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</si>
  <si>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</si>
  <si>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</si>
  <si>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</si>
  <si>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</si>
  <si>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</si>
  <si>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</si>
  <si>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</si>
  <si>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</si>
  <si>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</si>
  <si>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</si>
  <si>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</si>
  <si>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</si>
  <si>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</si>
  <si>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</si>
  <si>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</si>
  <si>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</si>
  <si>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</si>
  <si>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</si>
  <si>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</si>
  <si>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</si>
  <si>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</si>
  <si>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</si>
  <si>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</si>
  <si>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</si>
  <si>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</si>
  <si>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</si>
  <si>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</si>
  <si>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</si>
  <si>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</si>
  <si>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</si>
  <si>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</si>
  <si>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</si>
  <si>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</si>
  <si>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</si>
  <si>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</si>
  <si>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</si>
  <si>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</si>
  <si>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</si>
  <si>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</si>
  <si>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</si>
  <si>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</si>
  <si>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</si>
  <si>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</si>
  <si>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</si>
  <si>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</si>
  <si>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</si>
  <si>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</si>
  <si>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</si>
  <si>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</si>
  <si>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</si>
  <si>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</si>
  <si>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</si>
  <si>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</si>
  <si>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</si>
  <si>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</si>
  <si>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</si>
  <si>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</si>
  <si>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</si>
  <si>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</si>
  <si>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</si>
  <si>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</si>
  <si>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</si>
  <si>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</si>
  <si>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</si>
  <si>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</si>
  <si>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</si>
  <si>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</si>
  <si>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</si>
  <si>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</si>
  <si>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</si>
  <si>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</si>
  <si>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</si>
  <si>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</si>
  <si>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</si>
  <si>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</si>
  <si>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</si>
  <si>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</si>
  <si>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</si>
  <si>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</si>
  <si>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</si>
  <si>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</si>
  <si>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</si>
  <si>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</si>
  <si>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</si>
  <si>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</si>
  <si>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</si>
  <si>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</si>
  <si>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</si>
  <si>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</si>
  <si>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</si>
  <si>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</si>
  <si>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</si>
  <si>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</si>
  <si>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</si>
  <si>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</si>
  <si>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</si>
  <si>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</si>
  <si>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</si>
  <si>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</si>
  <si>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</si>
  <si>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</si>
  <si>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</si>
  <si>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</si>
  <si>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</si>
  <si>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</si>
  <si>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</si>
  <si>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</si>
  <si>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</si>
  <si>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</si>
  <si>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</si>
  <si>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</si>
  <si>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</si>
  <si>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</si>
  <si>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</si>
  <si>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</si>
  <si>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</si>
  <si>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</si>
  <si>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</si>
  <si>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</si>
  <si>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</si>
  <si>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</si>
  <si>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</si>
  <si>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</si>
  <si>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</si>
  <si>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</si>
  <si>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</si>
  <si>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</si>
  <si>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</si>
  <si>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</si>
  <si>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</si>
  <si>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</si>
  <si>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</si>
  <si>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</si>
  <si>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</si>
  <si>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</si>
  <si>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</si>
  <si>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</si>
  <si>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</si>
  <si>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</si>
  <si>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</si>
  <si>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</si>
  <si>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</si>
  <si>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</si>
  <si>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</si>
  <si>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</si>
  <si>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</si>
  <si>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</si>
  <si>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</si>
  <si>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</si>
  <si>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</si>
  <si>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</si>
  <si>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</si>
  <si>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</si>
  <si>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</si>
  <si>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</si>
  <si>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</si>
  <si>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</si>
  <si>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</si>
  <si>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</si>
  <si>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</si>
  <si>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</si>
  <si>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</si>
  <si>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</si>
  <si>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</si>
  <si>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</si>
  <si>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</si>
  <si>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</si>
  <si>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</si>
  <si>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</si>
  <si>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</si>
  <si>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</si>
  <si>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</si>
  <si>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</si>
  <si>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</si>
  <si>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</si>
  <si>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</si>
  <si>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</si>
  <si>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</si>
  <si>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</si>
  <si>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</si>
  <si>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</si>
  <si>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</si>
  <si>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</si>
  <si>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</si>
  <si>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</si>
  <si>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</si>
  <si>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</si>
  <si>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</si>
  <si>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</si>
  <si>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</si>
  <si>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</si>
  <si>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</si>
  <si>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</si>
  <si>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</si>
  <si>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</si>
  <si>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</si>
  <si>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</si>
  <si>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</si>
  <si>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</si>
  <si>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</si>
  <si>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</si>
  <si>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</si>
  <si>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</si>
  <si>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</si>
  <si>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</si>
  <si>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</si>
  <si>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</si>
  <si>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</si>
  <si>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</si>
  <si>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</si>
  <si>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</si>
  <si>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</si>
  <si>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</si>
  <si>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</si>
  <si>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</si>
  <si>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</si>
  <si>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</si>
  <si>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</si>
  <si>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</si>
  <si>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</si>
  <si>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</si>
  <si>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</si>
  <si>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</si>
  <si>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</si>
  <si>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</si>
  <si>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</si>
  <si>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</si>
  <si>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</si>
  <si>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</si>
  <si>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</si>
  <si>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</si>
  <si>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</si>
  <si>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</si>
  <si>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</si>
  <si>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</si>
  <si>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</si>
  <si>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</si>
  <si>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</si>
  <si>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</si>
  <si>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</si>
  <si>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</si>
  <si>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</si>
  <si>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</si>
  <si>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</si>
  <si>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</si>
  <si>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</si>
  <si>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</si>
  <si>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</si>
  <si>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</si>
  <si>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</si>
  <si>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</si>
  <si>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</si>
  <si>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</si>
  <si>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</si>
  <si>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</si>
  <si>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</si>
  <si>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</si>
  <si>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</si>
  <si>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</si>
  <si>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</si>
  <si>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</si>
  <si>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</si>
  <si>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</si>
  <si>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</si>
  <si>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</si>
  <si>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</si>
  <si>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</si>
  <si>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</si>
  <si>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</si>
  <si>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</si>
  <si>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</si>
  <si>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</si>
  <si>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</si>
  <si>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</si>
  <si>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</si>
  <si>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</si>
  <si>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</si>
  <si>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</si>
  <si>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</si>
  <si>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</si>
  <si>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</si>
  <si>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</si>
  <si>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</si>
  <si>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</si>
  <si>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</si>
  <si>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</si>
  <si>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</si>
  <si>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</si>
  <si>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</si>
  <si>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</si>
  <si>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</si>
  <si>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</si>
  <si>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</si>
  <si>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</si>
  <si>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</si>
  <si>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</si>
  <si>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</si>
  <si>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</si>
  <si>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</si>
  <si>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</si>
  <si>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</si>
  <si>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</si>
  <si>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</si>
  <si>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</si>
  <si>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</si>
  <si>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</si>
  <si>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</si>
  <si>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</si>
  <si>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</si>
  <si>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</si>
  <si>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</si>
  <si>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</si>
  <si>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</si>
  <si>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</si>
  <si>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</si>
  <si>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</si>
  <si>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</si>
  <si>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</si>
  <si>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</si>
  <si>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</si>
  <si>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</si>
  <si>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</si>
  <si>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</si>
  <si>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</si>
  <si>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</si>
  <si>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</si>
  <si>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</si>
  <si>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</si>
  <si>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</si>
  <si>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</si>
  <si>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</si>
  <si>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</si>
  <si>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</si>
  <si>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</si>
  <si>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</si>
  <si>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</si>
  <si>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</si>
  <si>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</si>
  <si>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</si>
  <si>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</si>
  <si>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</si>
  <si>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</si>
  <si>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</si>
  <si>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</si>
  <si>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</si>
  <si>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</si>
  <si>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</si>
  <si>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</si>
  <si>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</si>
  <si>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</si>
  <si>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</si>
  <si>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</si>
  <si>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</si>
  <si>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</si>
  <si>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</si>
  <si>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</si>
  <si>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</si>
  <si>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</si>
  <si>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</si>
  <si>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</si>
  <si>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</si>
  <si>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</si>
  <si>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</si>
  <si>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</si>
  <si>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</si>
  <si>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</si>
  <si>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</si>
  <si>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</si>
  <si>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</si>
  <si>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</si>
  <si>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</si>
  <si>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</si>
  <si>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</si>
  <si>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</si>
  <si>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</si>
  <si>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</si>
  <si>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</si>
  <si>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</si>
  <si>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</si>
  <si>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</si>
  <si>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</si>
  <si>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</si>
  <si>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</si>
  <si>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</si>
  <si>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</si>
  <si>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</si>
  <si>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</si>
  <si>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</si>
  <si>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</si>
  <si>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</si>
  <si>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</si>
  <si>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</si>
  <si>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</si>
  <si>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</si>
  <si>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</si>
  <si>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</si>
  <si>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</si>
  <si>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</si>
  <si>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</si>
  <si>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</si>
  <si>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</si>
  <si>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</si>
  <si>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</si>
  <si>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</si>
  <si>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</si>
  <si>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</si>
  <si>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</si>
  <si>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</si>
  <si>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</si>
  <si>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</si>
  <si>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</si>
  <si>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</si>
  <si>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</si>
  <si>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</si>
  <si>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</si>
  <si>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</si>
  <si>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</si>
  <si>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</si>
  <si>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</si>
  <si>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</si>
  <si>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</si>
  <si>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</si>
  <si>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</si>
  <si>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</si>
  <si>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</si>
  <si>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</si>
  <si>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</si>
  <si>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</si>
  <si>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</si>
  <si>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</si>
  <si>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</si>
  <si>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</si>
  <si>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</si>
  <si>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</si>
  <si>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</si>
  <si>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</si>
  <si>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</si>
  <si>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</si>
  <si>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</si>
  <si>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</si>
  <si>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</si>
  <si>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</si>
  <si>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</si>
  <si>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</si>
  <si>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</si>
  <si>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</si>
  <si>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</si>
  <si>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</si>
  <si>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</si>
  <si>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</si>
  <si>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</si>
  <si>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</si>
  <si>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</si>
  <si>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</si>
  <si>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</si>
  <si>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</si>
  <si>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</si>
  <si>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</si>
  <si>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</si>
  <si>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</si>
  <si>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</si>
  <si>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</si>
  <si>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</si>
  <si>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</si>
  <si>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</si>
  <si>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</si>
  <si>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</si>
  <si>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</si>
  <si>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</si>
  <si>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</si>
  <si>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</si>
  <si>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</si>
  <si>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</si>
  <si>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</si>
  <si>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</si>
  <si>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</si>
  <si>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</si>
  <si>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</si>
  <si>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</si>
  <si>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</si>
  <si>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</si>
  <si>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</si>
  <si>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</si>
  <si>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</si>
  <si>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</si>
  <si>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</si>
  <si>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</si>
  <si>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</si>
  <si>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</si>
  <si>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</si>
  <si>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</si>
  <si>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</si>
  <si>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</si>
  <si>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</si>
  <si>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</si>
  <si>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</si>
  <si>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</si>
  <si>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</si>
  <si>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</si>
  <si>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</si>
  <si>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</si>
  <si>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</si>
  <si>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</si>
  <si>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</si>
  <si>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</si>
  <si>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</si>
  <si>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</si>
  <si>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</si>
  <si>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</si>
  <si>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</si>
  <si>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</si>
  <si>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</si>
  <si>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</si>
  <si>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</si>
  <si>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</si>
  <si>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</si>
  <si>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</si>
  <si>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</si>
  <si>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</si>
  <si>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</si>
  <si>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</si>
  <si>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</si>
  <si>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</si>
  <si>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</si>
  <si>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</si>
  <si>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</si>
  <si>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</si>
  <si>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</si>
  <si>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</si>
  <si>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</si>
  <si>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</si>
  <si>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</si>
  <si>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</si>
  <si>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</si>
  <si>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</si>
  <si>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</si>
  <si>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</si>
  <si>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</si>
  <si>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</si>
  <si>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</si>
  <si>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</si>
  <si>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</si>
  <si>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</si>
  <si>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</si>
  <si>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</si>
  <si>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</si>
  <si>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</si>
  <si>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</si>
  <si>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</si>
  <si>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</si>
  <si>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</si>
  <si>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</si>
  <si>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</si>
  <si>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</si>
  <si>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</si>
  <si>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</si>
  <si>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</si>
  <si>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</si>
  <si>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</si>
  <si>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</si>
  <si>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</si>
  <si>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</si>
  <si>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</si>
  <si>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</si>
  <si>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</si>
  <si>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</si>
  <si>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</si>
  <si>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</si>
  <si>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</si>
  <si>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</si>
  <si>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</si>
  <si>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</si>
  <si>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</si>
  <si>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</si>
  <si>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</si>
  <si>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</si>
  <si>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</si>
  <si>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</si>
  <si>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</si>
  <si>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</si>
  <si>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</si>
  <si>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</si>
  <si>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</si>
  <si>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</si>
  <si>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</si>
  <si>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</si>
  <si>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</si>
  <si>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</si>
  <si>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</si>
  <si>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</si>
  <si>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</si>
  <si>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</si>
  <si>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</si>
  <si>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</si>
  <si>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</si>
  <si>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</si>
  <si>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</si>
  <si>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</si>
  <si>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</si>
  <si>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</si>
  <si>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</si>
  <si>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</si>
  <si>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</si>
  <si>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</si>
  <si>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</si>
  <si>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</si>
  <si>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</si>
  <si>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</si>
  <si>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</si>
  <si>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</si>
  <si>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</si>
  <si>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</si>
  <si>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</si>
  <si>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</si>
  <si>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</si>
  <si>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</si>
  <si>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</si>
  <si>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</si>
  <si>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</si>
  <si>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</si>
  <si>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</si>
  <si>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</si>
  <si>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</si>
  <si>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</si>
  <si>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</si>
  <si>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</si>
  <si>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</si>
  <si>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</si>
  <si>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</si>
  <si>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</si>
  <si>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</si>
  <si>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</si>
  <si>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</si>
  <si>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</si>
  <si>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</si>
  <si>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</si>
  <si>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</si>
  <si>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</si>
  <si>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</si>
  <si>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</si>
  <si>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</si>
  <si>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</si>
  <si>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</si>
  <si>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</si>
  <si>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</si>
  <si>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</si>
  <si>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</si>
  <si>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</si>
  <si>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</si>
  <si>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</si>
  <si>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</si>
  <si>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</si>
  <si>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</si>
  <si>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</si>
  <si>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</si>
  <si>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</si>
  <si>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</si>
  <si>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</si>
  <si>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</si>
  <si>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</si>
  <si>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</si>
  <si>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</si>
  <si>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</si>
  <si>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</si>
  <si>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</si>
  <si>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</si>
  <si>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</si>
  <si>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</si>
  <si>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</si>
  <si>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</si>
  <si>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</si>
  <si>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</si>
  <si>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</si>
  <si>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</si>
  <si>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</si>
  <si>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</si>
  <si>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</si>
  <si>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</si>
  <si>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</si>
  <si>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</si>
  <si>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</si>
  <si>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</si>
  <si>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</si>
  <si>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</si>
  <si>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</si>
  <si>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</si>
  <si>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</si>
  <si>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</si>
  <si>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</si>
  <si>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</si>
  <si>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</si>
  <si>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</si>
  <si>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</si>
  <si>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</si>
  <si>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</si>
  <si>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</si>
  <si>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</si>
  <si>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</si>
  <si>
    <t>9vf02r3geinhsy732oxyrcacq</t>
  </si>
  <si>
    <t>32bvxwhceid2xdcfx6cd8a8d1</t>
  </si>
  <si>
    <t>2nddcty9qris2mmeldon0ogd1</t>
  </si>
  <si>
    <t>e8gz0tmmdh1ql8qrn1ncrvnpx</t>
  </si>
  <si>
    <t>e3il1t1s5lrn4g8t85fcm40oa</t>
  </si>
  <si>
    <t>8mjj0wgufggpc1ai2dk21h90p</t>
  </si>
  <si>
    <t>5zoz3mjooujpv0wdcphyrztd6</t>
  </si>
  <si>
    <t>atigcsq78g14w82lwvay26aj9</t>
  </si>
  <si>
    <t>France v Spain</t>
  </si>
  <si>
    <t>England v Argentina</t>
  </si>
  <si>
    <t>3-4</t>
  </si>
  <si>
    <t>France v England</t>
  </si>
  <si>
    <t>Spain v Argentina</t>
  </si>
  <si>
    <t>0-7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</si>
</sst>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E4" sqref="E4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2899</v>
      </c>
      <c r="C2" s="47">
        <v>46222</v>
      </c>
      <c r="D2" t="s">
        <v>8</v>
      </c>
      <c r="E2" t="s">
        <v>123</v>
      </c>
      <c r="F2" t="s">
        <v>40</v>
      </c>
      <c r="G2" t="s">
        <v>9</v>
      </c>
    </row>
    <row r="3" spans="1:7" x14ac:dyDescent="0.25">
      <c r="A3" t="s">
        <v>10</v>
      </c>
      <c r="B3" t="s">
        <v>2898</v>
      </c>
      <c r="C3" s="47">
        <v>46221</v>
      </c>
      <c r="D3" t="s">
        <v>11</v>
      </c>
      <c r="E3" t="s">
        <v>61</v>
      </c>
      <c r="F3" t="s">
        <v>109</v>
      </c>
      <c r="G3" t="s">
        <v>9</v>
      </c>
    </row>
    <row r="4" spans="1:7" x14ac:dyDescent="0.25">
      <c r="A4" t="s">
        <v>12</v>
      </c>
      <c r="B4" t="s">
        <v>2896</v>
      </c>
      <c r="C4" s="47">
        <v>46218</v>
      </c>
      <c r="D4" t="s">
        <v>8</v>
      </c>
      <c r="E4" t="s">
        <v>109</v>
      </c>
      <c r="F4" t="s">
        <v>40</v>
      </c>
      <c r="G4" t="s">
        <v>13</v>
      </c>
    </row>
    <row r="5" spans="1:7" x14ac:dyDescent="0.25">
      <c r="A5" t="s">
        <v>14</v>
      </c>
      <c r="B5" t="s">
        <v>2895</v>
      </c>
      <c r="C5" s="47">
        <v>46217</v>
      </c>
      <c r="D5" t="s">
        <v>8</v>
      </c>
      <c r="E5" t="s">
        <v>61</v>
      </c>
      <c r="F5" t="s">
        <v>123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40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sheetPr filterMode="1"/>
  <dimension ref="A1:Q145"/>
  <sheetViews>
    <sheetView topLeftCell="B1" workbookViewId="0">
      <pane ySplit="1" topLeftCell="A2" activePane="bottomLeft" state="frozen"/>
      <selection activeCell="B1" sqref="B1"/>
      <selection pane="bottomLeft" activeCell="D145" sqref="D14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hidden="1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hidden="1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hidden="1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hidden="1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hidden="1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hidden="1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hidden="1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hidden="1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hidden="1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hidden="1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hidden="1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hidden="1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hidden="1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hidden="1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hidden="1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hidden="1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hidden="1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hidden="1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hidden="1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hidden="1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hidden="1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hidden="1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hidden="1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hidden="1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hidden="1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hidden="1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hidden="1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hidden="1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hidden="1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hidden="1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hidden="1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hidden="1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hidden="1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hidden="1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hidden="1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hidden="1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hidden="1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hidden="1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hidden="1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hidden="1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hidden="1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hidden="1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hidden="1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hidden="1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hidden="1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hidden="1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hidden="1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hidden="1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hidden="1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hidden="1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hidden="1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hidden="1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hidden="1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hidden="1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hidden="1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hidden="1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hidden="1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hidden="1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hidden="1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hidden="1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hidden="1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hidden="1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hidden="1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hidden="1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hidden="1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hidden="1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hidden="1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hidden="1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hidden="1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hidden="1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hidden="1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hidden="1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hidden="1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hidden="1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hidden="1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hidden="1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hidden="1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hidden="1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hidden="1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hidden="1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hidden="1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hidden="1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hidden="1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hidden="1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hidden="1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hidden="1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hidden="1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hidden="1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hidden="1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hidden="1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hidden="1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hidden="1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hidden="1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hidden="1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hidden="1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hidden="1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hidden="1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hidden="1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hidden="1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hidden="1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hidden="1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hidden="1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hidden="1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hidden="1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hidden="1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hidden="1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hidden="1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hidden="1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hidden="1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hidden="1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hidden="1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hidden="1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hidden="1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hidden="1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hidden="1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hidden="1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hidden="1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hidden="1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hidden="1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hidden="1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hidden="1" x14ac:dyDescent="0.25">
      <c r="A138" s="3">
        <v>18</v>
      </c>
      <c r="B138" s="3">
        <v>137</v>
      </c>
      <c r="C138" s="3" t="s">
        <v>292</v>
      </c>
      <c r="D138" s="3" t="s">
        <v>1347</v>
      </c>
      <c r="E138" s="3" t="s">
        <v>2892</v>
      </c>
      <c r="F138" s="3" t="str">
        <f>IF(D138="","",VLOOKUP(D138,SquadLists!C:E,2,FALSE))</f>
        <v>England</v>
      </c>
      <c r="G138" s="3" t="str">
        <f>IF(D138="","",VLOOKUP(D138,SquadLists!C:E,3,FALSE))</f>
        <v>FWD</v>
      </c>
    </row>
    <row r="139" spans="1:7" x14ac:dyDescent="0.25">
      <c r="A139" s="3">
        <v>18</v>
      </c>
      <c r="B139" s="3">
        <v>138</v>
      </c>
      <c r="C139" s="3" t="s">
        <v>274</v>
      </c>
      <c r="D139" s="3" t="s">
        <v>2305</v>
      </c>
      <c r="E139" s="3" t="s">
        <v>2893</v>
      </c>
      <c r="F139" s="3" t="str">
        <f>IF(D139="","",VLOOKUP(D139,SquadLists!C:E,2,FALSE))</f>
        <v>Spain</v>
      </c>
      <c r="G139" s="3" t="str">
        <f>IF(D139="","",VLOOKUP(D139,SquadLists!C:E,3,FALSE))</f>
        <v>MID</v>
      </c>
    </row>
    <row r="140" spans="1:7" hidden="1" x14ac:dyDescent="0.25">
      <c r="A140" s="3">
        <v>18</v>
      </c>
      <c r="B140" s="3">
        <v>139</v>
      </c>
      <c r="C140" s="3" t="s">
        <v>295</v>
      </c>
      <c r="D140" s="3" t="s">
        <v>1365</v>
      </c>
      <c r="E140" s="3" t="s">
        <v>2890</v>
      </c>
      <c r="F140" s="3" t="str">
        <f>IF(D140="","",VLOOKUP(D140,SquadLists!C:E,2,FALSE))</f>
        <v>France</v>
      </c>
      <c r="G140" s="3" t="str">
        <f>IF(D140="","",VLOOKUP(D140,SquadLists!C:E,3,FALSE))</f>
        <v>DEF</v>
      </c>
    </row>
    <row r="141" spans="1:7" hidden="1" x14ac:dyDescent="0.25">
      <c r="A141" s="3">
        <v>18</v>
      </c>
      <c r="B141" s="3">
        <v>140</v>
      </c>
      <c r="C141" s="3" t="s">
        <v>283</v>
      </c>
      <c r="D141" s="3" t="s">
        <v>1921</v>
      </c>
      <c r="E141" s="3" t="s">
        <v>2888</v>
      </c>
      <c r="F141" s="3" t="str">
        <f>IF(D141="","",VLOOKUP(D141,SquadLists!C:E,2,FALSE))</f>
        <v>Norway</v>
      </c>
      <c r="G141" s="3" t="str">
        <f>IF(D141="","",VLOOKUP(D141,SquadLists!C:E,3,FALSE))</f>
        <v>DEF</v>
      </c>
    </row>
    <row r="142" spans="1:7" hidden="1" x14ac:dyDescent="0.25">
      <c r="A142" s="3">
        <v>18</v>
      </c>
      <c r="B142" s="3">
        <v>141</v>
      </c>
      <c r="C142" s="3" t="s">
        <v>277</v>
      </c>
      <c r="D142" s="3" t="s">
        <v>1795</v>
      </c>
      <c r="E142" s="3" t="s">
        <v>2887</v>
      </c>
      <c r="F142" s="3" t="str">
        <f>IF(D142="","",VLOOKUP(D142,SquadLists!C:E,2,FALSE))</f>
        <v>Morocco</v>
      </c>
      <c r="G142" s="3" t="str">
        <f>IF(D142="","",VLOOKUP(D142,SquadLists!C:E,3,FALSE))</f>
        <v>MID</v>
      </c>
    </row>
    <row r="143" spans="1:7" hidden="1" x14ac:dyDescent="0.25">
      <c r="A143" s="3">
        <v>18</v>
      </c>
      <c r="B143" s="3">
        <v>142</v>
      </c>
      <c r="C143" s="3" t="s">
        <v>286</v>
      </c>
      <c r="D143" s="3" t="s">
        <v>1377</v>
      </c>
      <c r="E143" s="3" t="s">
        <v>2889</v>
      </c>
      <c r="F143" s="3" t="str">
        <f>IF(D143="","",VLOOKUP(D143,SquadLists!C:E,2,FALSE))</f>
        <v>France</v>
      </c>
      <c r="G143" s="3" t="str">
        <f>IF(D143="","",VLOOKUP(D143,SquadLists!C:E,3,FALSE))</f>
        <v>MID</v>
      </c>
    </row>
    <row r="144" spans="1:7" hidden="1" x14ac:dyDescent="0.25">
      <c r="A144" s="3">
        <v>18</v>
      </c>
      <c r="B144" s="3">
        <v>143</v>
      </c>
      <c r="C144" s="3" t="s">
        <v>280</v>
      </c>
      <c r="D144" s="3" t="s">
        <v>1352</v>
      </c>
      <c r="E144" s="3" t="s">
        <v>2891</v>
      </c>
      <c r="F144" s="3" t="str">
        <f>IF(D144="","",VLOOKUP(D144,SquadLists!C:E,2,FALSE))</f>
        <v>England</v>
      </c>
      <c r="G144" s="3" t="str">
        <f>IF(D144="","",VLOOKUP(D144,SquadLists!C:E,3,FALSE))</f>
        <v>FWD</v>
      </c>
    </row>
    <row r="145" spans="1:7" x14ac:dyDescent="0.25">
      <c r="A145" s="3">
        <v>18</v>
      </c>
      <c r="B145" s="3">
        <v>144</v>
      </c>
      <c r="C145" s="3" t="s">
        <v>289</v>
      </c>
      <c r="D145" s="3" t="s">
        <v>2303</v>
      </c>
      <c r="E145" s="3" t="s">
        <v>2894</v>
      </c>
      <c r="F145" s="3" t="str">
        <f>IF(D145="","",VLOOKUP(D145,SquadLists!C:E,2,FALSE))</f>
        <v>Spain</v>
      </c>
      <c r="G145" s="3" t="str">
        <f>IF(D145="","",VLOOKUP(D145,SquadLists!C:E,3,FALSE))</f>
        <v>MID</v>
      </c>
    </row>
  </sheetData>
  <autoFilter ref="A1:Q145" xr:uid="{4FCF0DC5-0001-44E4-BE4A-9DD16990B50B}">
    <filterColumn colId="5">
      <filters>
        <filter val="Spain"/>
      </filters>
    </filterColumn>
  </autoFilter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89" t="s">
        <v>274</v>
      </c>
      <c r="C2" s="90"/>
      <c r="D2" s="91"/>
      <c r="F2" s="89" t="s">
        <v>277</v>
      </c>
      <c r="G2" s="90"/>
      <c r="H2" s="91"/>
      <c r="J2" s="89" t="s">
        <v>280</v>
      </c>
      <c r="K2" s="90"/>
      <c r="L2" s="91"/>
      <c r="N2" s="89" t="s">
        <v>283</v>
      </c>
      <c r="O2" s="90"/>
      <c r="P2" s="91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86" t="s">
        <v>286</v>
      </c>
      <c r="C27" s="87"/>
      <c r="D27" s="88"/>
      <c r="E27" s="17"/>
      <c r="F27" s="86" t="s">
        <v>289</v>
      </c>
      <c r="G27" s="87"/>
      <c r="H27" s="88"/>
      <c r="I27" s="17"/>
      <c r="J27" s="86" t="s">
        <v>292</v>
      </c>
      <c r="K27" s="87"/>
      <c r="L27" s="88"/>
      <c r="M27" s="17"/>
      <c r="N27" s="86" t="s">
        <v>295</v>
      </c>
      <c r="O27" s="87"/>
      <c r="P27" s="88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3"/>
  <sheetViews>
    <sheetView topLeftCell="N1" workbookViewId="0">
      <selection activeCell="Z16" sqref="Z16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2698</v>
      </c>
      <c r="B1" s="75"/>
      <c r="C1" s="76"/>
      <c r="D1" s="77" t="s">
        <v>2679</v>
      </c>
      <c r="E1" s="78"/>
      <c r="F1" s="79"/>
      <c r="G1" s="71" t="s">
        <v>2680</v>
      </c>
      <c r="H1" s="72"/>
      <c r="I1" s="73"/>
      <c r="J1" s="71" t="s">
        <v>2681</v>
      </c>
      <c r="K1" s="72"/>
      <c r="L1" s="73"/>
      <c r="M1" s="71" t="s">
        <v>36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 t="s">
        <v>2687</v>
      </c>
      <c r="R4" s="31">
        <f>VLOOKUP($B4,PickedPlayers!D:Q,11,FALSE)</f>
        <v>0</v>
      </c>
      <c r="S4" s="30" t="str">
        <f>VLOOKUP($C4,Fixtures!A:I,7,FALSE)</f>
        <v>FRA</v>
      </c>
      <c r="T4" s="20" t="s">
        <v>2687</v>
      </c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 t="s">
        <v>2687</v>
      </c>
      <c r="X5" s="31">
        <f>VLOOKUP($B5,PickedPlayers!D:Q,13,FALSE)</f>
        <v>0</v>
      </c>
      <c r="Y5" s="30" t="str">
        <f>VLOOKUP($C5,Fixtures!A:I,9,FALSE)</f>
        <v>ENG</v>
      </c>
      <c r="Z5" s="20" t="s">
        <v>2687</v>
      </c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 t="s">
        <v>2687</v>
      </c>
      <c r="R7" s="31">
        <f>VLOOKUP($B7,PickedPlayers!D:Q,11,FALSE)</f>
        <v>0</v>
      </c>
      <c r="S7" s="30" t="str">
        <f>VLOOKUP($C7,Fixtures!A:I,7,FALSE)</f>
        <v>BEL</v>
      </c>
      <c r="T7" s="20" t="s">
        <v>2687</v>
      </c>
      <c r="U7" s="31">
        <f>VLOOKUP($B7,PickedPlayers!D:Q,12,FALSE)</f>
        <v>0</v>
      </c>
      <c r="V7" s="30" t="str">
        <f>VLOOKUP($C7,Fixtures!A:I,8,FALSE)</f>
        <v>FRA</v>
      </c>
      <c r="W7" s="20" t="s">
        <v>2687</v>
      </c>
      <c r="X7" s="31">
        <f>VLOOKUP($B7,PickedPlayers!D:Q,13,FALSE)</f>
        <v>0</v>
      </c>
      <c r="Y7" s="30" t="str">
        <f>VLOOKUP($C7,Fixtures!A:I,9,FALSE)</f>
        <v>ARG</v>
      </c>
      <c r="Z7" s="20" t="s">
        <v>2687</v>
      </c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 t="s">
        <v>2687</v>
      </c>
      <c r="R9" s="31">
        <f>VLOOKUP($B9,PickedPlayers!D:Q,11,FALSE)</f>
        <v>0</v>
      </c>
      <c r="S9" s="30" t="str">
        <f>VLOOKUP($C9,Fixtures!A:I,7,FALSE)</f>
        <v>NOR</v>
      </c>
      <c r="T9" s="20" t="s">
        <v>2687</v>
      </c>
      <c r="U9" s="31">
        <f>VLOOKUP($B9,PickedPlayers!D:Q,12,FALSE)</f>
        <v>0</v>
      </c>
      <c r="V9" s="30" t="str">
        <f>VLOOKUP($C9,Fixtures!A:I,8,FALSE)</f>
        <v>ARG</v>
      </c>
      <c r="W9" s="20" t="s">
        <v>2687</v>
      </c>
      <c r="X9" s="31">
        <f>VLOOKUP($B9,PickedPlayers!D:Q,13,FALSE)</f>
        <v>0</v>
      </c>
      <c r="Y9" s="30" t="str">
        <f>VLOOKUP($C9,Fixtures!A:I,9,FALSE)</f>
        <v>FRA</v>
      </c>
      <c r="Z9" s="20" t="s">
        <v>2687</v>
      </c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ARG</v>
      </c>
      <c r="W10" s="20" t="s">
        <v>2692</v>
      </c>
      <c r="X10" s="31">
        <f>VLOOKUP($B10,PickedPlayers!D:Q,13,FALSE)</f>
        <v>0</v>
      </c>
      <c r="Y10" s="30" t="str">
        <f>VLOOKUP($C10,Fixtures!A:I,9,FALSE)</f>
        <v>FRA</v>
      </c>
      <c r="Z10" s="20" t="s">
        <v>2691</v>
      </c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SPA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FRA</v>
      </c>
      <c r="W13" s="20" t="s">
        <v>2687</v>
      </c>
      <c r="X13" s="31">
        <f>VLOOKUP($B13,PickedPlayers!D:Q,13,FALSE)</f>
        <v>0</v>
      </c>
      <c r="Y13" s="30" t="str">
        <f>VLOOKUP($C13,Fixtures!A:I,9,FALSE)</f>
        <v>ARG</v>
      </c>
      <c r="Z13" s="20" t="s">
        <v>2687</v>
      </c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2305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ARG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275</v>
      </c>
      <c r="C16" s="29" t="s">
        <v>61</v>
      </c>
      <c r="D16" s="30" t="str">
        <f>VLOOKUP($C16,Fixtures!A:I,2,FALSE)</f>
        <v>SEN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SPA</v>
      </c>
      <c r="W16" s="20" t="s">
        <v>2691</v>
      </c>
      <c r="X16" s="31">
        <f>VLOOKUP($B16,PickedPlayers!D:Q,13,FALSE)</f>
        <v>0</v>
      </c>
      <c r="Y16" s="30" t="str">
        <f>VLOOKUP($C16,Fixtures!A:I,9,FALSE)</f>
        <v>ENG</v>
      </c>
      <c r="Z16" s="20" t="s">
        <v>2692</v>
      </c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374</v>
      </c>
      <c r="C17" s="29" t="s">
        <v>40</v>
      </c>
      <c r="D17" s="30" t="str">
        <f>VLOOKUP($C17,Fixtures!A:I,2,FALSE)</f>
        <v>ALG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AUT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JOR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CAP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EGY</v>
      </c>
      <c r="Q17" s="20" t="s">
        <v>2695</v>
      </c>
      <c r="R17" s="31">
        <f>VLOOKUP($B17,PickedPlayers!D:Q,11,FALSE)</f>
        <v>0</v>
      </c>
      <c r="S17" s="30" t="str">
        <f>VLOOKUP($C17,Fixtures!A:I,7,FALSE)</f>
        <v>SWI</v>
      </c>
      <c r="T17" s="20" t="s">
        <v>2695</v>
      </c>
      <c r="U17" s="31">
        <f>VLOOKUP($B17,PickedPlayers!D:Q,12,FALSE)</f>
        <v>0</v>
      </c>
      <c r="V17" s="30" t="str">
        <f>VLOOKUP($C17,Fixtures!A:I,8,FALSE)</f>
        <v>ENG</v>
      </c>
      <c r="W17" s="20" t="s">
        <v>2687</v>
      </c>
      <c r="X17" s="31">
        <f>VLOOKUP($B17,PickedPlayers!D:Q,13,FALSE)</f>
        <v>0</v>
      </c>
      <c r="Y17" s="30" t="str">
        <f>VLOOKUP($C17,Fixtures!A:I,9,FALSE)</f>
        <v>SPA</v>
      </c>
      <c r="Z17" s="20" t="s">
        <v>2687</v>
      </c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414</v>
      </c>
      <c r="C18" s="29" t="s">
        <v>122</v>
      </c>
      <c r="D18" s="30" t="str">
        <f>VLOOKUP($C18,Fixtures!A:I,2,FALSE)</f>
        <v>SAU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CAP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SPA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out</v>
      </c>
      <c r="N18" s="20"/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460</v>
      </c>
      <c r="C19" s="29" t="s">
        <v>113</v>
      </c>
      <c r="D19" s="30" t="str">
        <f>VLOOKUP($C19,Fixtures!A:I,2,FALSE)</f>
        <v>EGY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IRA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NZL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SPA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479</v>
      </c>
      <c r="C20" s="34" t="s">
        <v>61</v>
      </c>
      <c r="D20" s="30" t="str">
        <f>VLOOKUP($C20,Fixtures!A:I,2,FALSE)</f>
        <v>SEN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IRQ</v>
      </c>
      <c r="H20" s="35" t="s">
        <v>2687</v>
      </c>
      <c r="I20" s="31">
        <f>VLOOKUP($B20,PickedPlayers!D:Q,8,FALSE)</f>
        <v>0</v>
      </c>
      <c r="J20" s="30" t="str">
        <f>VLOOKUP($C20,Fixtures!A:I,4,FALSE)</f>
        <v>NOR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SWE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PAR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MOR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SPA</v>
      </c>
      <c r="W20" s="35" t="s">
        <v>2687</v>
      </c>
      <c r="X20" s="31">
        <f>VLOOKUP($B20,PickedPlayers!D:Q,13,FALSE)</f>
        <v>0</v>
      </c>
      <c r="Y20" s="30" t="str">
        <f>VLOOKUP($C20,Fixtures!A:I,9,FALSE)</f>
        <v>ENG</v>
      </c>
      <c r="Z20" s="35" t="s">
        <v>2687</v>
      </c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350" priority="112" operator="containsText" text="Sub">
      <formula>NOT(ISERROR(SEARCH("Sub",E3)))</formula>
    </cfRule>
    <cfRule type="containsText" dxfId="349" priority="111" operator="containsText" text="Off">
      <formula>NOT(ISERROR(SEARCH("Off",E3)))</formula>
    </cfRule>
    <cfRule type="containsText" dxfId="348" priority="110" operator="containsText" text="Vice Captain">
      <formula>NOT(ISERROR(SEARCH("Vice Captain",E3)))</formula>
    </cfRule>
    <cfRule type="containsText" dxfId="347" priority="114" operator="containsText" text="Picked">
      <formula>NOT(ISERROR(SEARCH("Picked",E3)))</formula>
    </cfRule>
    <cfRule type="containsText" dxfId="346" priority="113" operator="containsText" text="Captain">
      <formula>NOT(ISERROR(SEARCH("Captain",E3)))</formula>
    </cfRule>
  </conditionalFormatting>
  <conditionalFormatting sqref="H3:H20">
    <cfRule type="containsText" dxfId="345" priority="71" operator="containsText" text="Captain">
      <formula>NOT(ISERROR(SEARCH("Captain",H3)))</formula>
    </cfRule>
    <cfRule type="containsText" dxfId="344" priority="72" operator="containsText" text="Picked">
      <formula>NOT(ISERROR(SEARCH("Picked",H3)))</formula>
    </cfRule>
    <cfRule type="containsText" dxfId="343" priority="70" operator="containsText" text="Sub">
      <formula>NOT(ISERROR(SEARCH("Sub",H3)))</formula>
    </cfRule>
    <cfRule type="containsText" dxfId="342" priority="69" operator="containsText" text="Off">
      <formula>NOT(ISERROR(SEARCH("Off",H3)))</formula>
    </cfRule>
    <cfRule type="containsText" dxfId="341" priority="68" operator="containsText" text="Vice Captain">
      <formula>NOT(ISERROR(SEARCH("Vice Captain",H3)))</formula>
    </cfRule>
  </conditionalFormatting>
  <conditionalFormatting sqref="K3:K20">
    <cfRule type="containsText" dxfId="340" priority="36" operator="containsText" text="Captain">
      <formula>NOT(ISERROR(SEARCH("Captain",K3)))</formula>
    </cfRule>
    <cfRule type="containsText" dxfId="339" priority="35" operator="containsText" text="Sub">
      <formula>NOT(ISERROR(SEARCH("Sub",K3)))</formula>
    </cfRule>
    <cfRule type="containsText" dxfId="338" priority="34" operator="containsText" text="Off">
      <formula>NOT(ISERROR(SEARCH("Off",K3)))</formula>
    </cfRule>
    <cfRule type="containsText" dxfId="337" priority="33" operator="containsText" text="Vice Captain">
      <formula>NOT(ISERROR(SEARCH("Vice Captain",K3)))</formula>
    </cfRule>
    <cfRule type="containsText" dxfId="336" priority="37" operator="containsText" text="Picked">
      <formula>NOT(ISERROR(SEARCH("Picked",K3)))</formula>
    </cfRule>
  </conditionalFormatting>
  <conditionalFormatting sqref="M3:M20 P3:P20 S3:S20 V3:V20 Y3:Y20">
    <cfRule type="containsText" dxfId="335" priority="32" operator="containsText" text="Out">
      <formula>NOT(ISERROR(SEARCH("Out",M3)))</formula>
    </cfRule>
    <cfRule type="containsText" dxfId="334" priority="31" operator="containsText" text="tbc">
      <formula>NOT(ISERROR(SEARCH("tbc",M3)))</formula>
    </cfRule>
  </conditionalFormatting>
  <conditionalFormatting sqref="N3:N20">
    <cfRule type="containsText" dxfId="333" priority="6" operator="containsText" text="Vice Captain">
      <formula>NOT(ISERROR(SEARCH("Vice Captain",N3)))</formula>
    </cfRule>
    <cfRule type="containsText" dxfId="332" priority="7" operator="containsText" text="Off">
      <formula>NOT(ISERROR(SEARCH("Off",N3)))</formula>
    </cfRule>
    <cfRule type="containsText" dxfId="331" priority="8" operator="containsText" text="Sub">
      <formula>NOT(ISERROR(SEARCH("Sub",N3)))</formula>
    </cfRule>
    <cfRule type="containsText" dxfId="330" priority="9" operator="containsText" text="Captain">
      <formula>NOT(ISERROR(SEARCH("Captain",N3)))</formula>
    </cfRule>
    <cfRule type="containsText" dxfId="329" priority="10" operator="containsText" text="Picked">
      <formula>NOT(ISERROR(SEARCH("Picked",N3)))</formula>
    </cfRule>
  </conditionalFormatting>
  <conditionalFormatting sqref="Q3:Q20">
    <cfRule type="containsText" dxfId="328" priority="28" operator="containsText" text="Sub">
      <formula>NOT(ISERROR(SEARCH("Sub",Q3)))</formula>
    </cfRule>
    <cfRule type="containsText" dxfId="327" priority="29" operator="containsText" text="Captain">
      <formula>NOT(ISERROR(SEARCH("Captain",Q3)))</formula>
    </cfRule>
    <cfRule type="containsText" dxfId="326" priority="30" operator="containsText" text="Picked">
      <formula>NOT(ISERROR(SEARCH("Picked",Q3)))</formula>
    </cfRule>
    <cfRule type="containsText" dxfId="325" priority="26" operator="containsText" text="Vice Captain">
      <formula>NOT(ISERROR(SEARCH("Vice Captain",Q3)))</formula>
    </cfRule>
    <cfRule type="containsText" dxfId="324" priority="27" operator="containsText" text="Off">
      <formula>NOT(ISERROR(SEARCH("Off",Q3)))</formula>
    </cfRule>
  </conditionalFormatting>
  <conditionalFormatting sqref="T3:T20">
    <cfRule type="containsText" dxfId="323" priority="24" operator="containsText" text="Captain">
      <formula>NOT(ISERROR(SEARCH("Captain",T3)))</formula>
    </cfRule>
    <cfRule type="containsText" dxfId="322" priority="23" operator="containsText" text="Sub">
      <formula>NOT(ISERROR(SEARCH("Sub",T3)))</formula>
    </cfRule>
    <cfRule type="containsText" dxfId="321" priority="21" operator="containsText" text="Vice Captain">
      <formula>NOT(ISERROR(SEARCH("Vice Captain",T3)))</formula>
    </cfRule>
    <cfRule type="containsText" dxfId="320" priority="25" operator="containsText" text="Picked">
      <formula>NOT(ISERROR(SEARCH("Picked",T3)))</formula>
    </cfRule>
    <cfRule type="containsText" dxfId="319" priority="22" operator="containsText" text="Off">
      <formula>NOT(ISERROR(SEARCH("Off",T3)))</formula>
    </cfRule>
  </conditionalFormatting>
  <conditionalFormatting sqref="W3:W20">
    <cfRule type="containsText" dxfId="318" priority="20" operator="containsText" text="Picked">
      <formula>NOT(ISERROR(SEARCH("Picked",W3)))</formula>
    </cfRule>
    <cfRule type="containsText" dxfId="317" priority="19" operator="containsText" text="Captain">
      <formula>NOT(ISERROR(SEARCH("Captain",W3)))</formula>
    </cfRule>
    <cfRule type="containsText" dxfId="316" priority="18" operator="containsText" text="Sub">
      <formula>NOT(ISERROR(SEARCH("Sub",W3)))</formula>
    </cfRule>
    <cfRule type="containsText" dxfId="315" priority="17" operator="containsText" text="Off">
      <formula>NOT(ISERROR(SEARCH("Off",W3)))</formula>
    </cfRule>
    <cfRule type="containsText" dxfId="314" priority="16" operator="containsText" text="Vice Captain">
      <formula>NOT(ISERROR(SEARCH("Vice Captain",W3)))</formula>
    </cfRule>
  </conditionalFormatting>
  <conditionalFormatting sqref="Z3:Z20">
    <cfRule type="containsText" dxfId="313" priority="1" operator="containsText" text="Vice Captain">
      <formula>NOT(ISERROR(SEARCH("Vice Captain",Z3)))</formula>
    </cfRule>
    <cfRule type="containsText" dxfId="312" priority="5" operator="containsText" text="Picked">
      <formula>NOT(ISERROR(SEARCH("Picked",Z3)))</formula>
    </cfRule>
    <cfRule type="containsText" dxfId="311" priority="4" operator="containsText" text="Captain">
      <formula>NOT(ISERROR(SEARCH("Captain",Z3)))</formula>
    </cfRule>
    <cfRule type="containsText" dxfId="310" priority="3" operator="containsText" text="Sub">
      <formula>NOT(ISERROR(SEARCH("Sub",Z3)))</formula>
    </cfRule>
    <cfRule type="containsText" dxfId="309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E5:E20 H5:H20 K5:K20 Q5:Q20 N5:N20 T5:T20 W5:W20 Z5:Z20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3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2678</v>
      </c>
      <c r="B1" s="75"/>
      <c r="C1" s="76"/>
      <c r="D1" s="77" t="s">
        <v>2679</v>
      </c>
      <c r="E1" s="78"/>
      <c r="F1" s="79"/>
      <c r="G1" s="71" t="s">
        <v>2680</v>
      </c>
      <c r="H1" s="72"/>
      <c r="I1" s="73"/>
      <c r="J1" s="71" t="s">
        <v>2681</v>
      </c>
      <c r="K1" s="72"/>
      <c r="L1" s="73"/>
      <c r="M1" s="71" t="s">
        <v>36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NOR</v>
      </c>
      <c r="T3" s="20" t="s">
        <v>2687</v>
      </c>
      <c r="U3" s="31">
        <f>VLOOKUP($B3,PickedPlayers!D:Q,12,FALSE)</f>
        <v>0</v>
      </c>
      <c r="V3" s="30" t="str">
        <f>VLOOKUP($C3,Fixtures!A:I,8,FALSE)</f>
        <v>ARG</v>
      </c>
      <c r="W3" s="20" t="s">
        <v>2687</v>
      </c>
      <c r="X3" s="31">
        <f>VLOOKUP($B3,PickedPlayers!D:Q,13,FALSE)</f>
        <v>0</v>
      </c>
      <c r="Y3" s="30" t="str">
        <f>VLOOKUP($C3,Fixtures!A:I,9,FALSE)</f>
        <v>FRA</v>
      </c>
      <c r="Z3" s="20" t="s">
        <v>2687</v>
      </c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 t="s">
        <v>2691</v>
      </c>
      <c r="X5" s="31">
        <f>VLOOKUP($B5,PickedPlayers!D:Q,13,FALSE)</f>
        <v>0</v>
      </c>
      <c r="Y5" s="30" t="str">
        <f>VLOOKUP($C5,Fixtures!A:I,9,FALSE)</f>
        <v>ENG</v>
      </c>
      <c r="Z5" s="20" t="s">
        <v>2687</v>
      </c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2691</v>
      </c>
      <c r="U8" s="31">
        <f>VLOOKUP($B8,PickedPlayers!D:Q,12,FALSE)</f>
        <v>0</v>
      </c>
      <c r="V8" s="30" t="str">
        <f>VLOOKUP($C8,Fixtures!A:I,8,FALSE)</f>
        <v>ENG</v>
      </c>
      <c r="W8" s="20" t="s">
        <v>2687</v>
      </c>
      <c r="X8" s="31">
        <f>VLOOKUP($B8,PickedPlayers!D:Q,13,FALSE)</f>
        <v>0</v>
      </c>
      <c r="Y8" s="30" t="str">
        <f>VLOOKUP($C8,Fixtures!A:I,9,FALSE)</f>
        <v>SPA</v>
      </c>
      <c r="Z8" s="20" t="s">
        <v>2687</v>
      </c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ENG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1795</v>
      </c>
      <c r="C15" s="29" t="s">
        <v>70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FRA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out</v>
      </c>
      <c r="W15" s="20"/>
      <c r="X15" s="31">
        <f>VLOOKUP($B15,PickedPlayers!D:Q,13,FALSE)</f>
        <v>0</v>
      </c>
      <c r="Y15" s="30" t="str">
        <f>VLOOKUP($C15,Fixtures!A:I,9,FALSE)</f>
        <v>out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278</v>
      </c>
      <c r="C16" s="29" t="s">
        <v>109</v>
      </c>
      <c r="D16" s="30" t="str">
        <f>VLOOKUP($C16,Fixtures!A:I,2,FALSE)</f>
        <v>CRO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ARG</v>
      </c>
      <c r="W16" s="20" t="s">
        <v>2692</v>
      </c>
      <c r="X16" s="31">
        <f>VLOOKUP($B16,PickedPlayers!D:Q,13,FALSE)</f>
        <v>0</v>
      </c>
      <c r="Y16" s="30" t="str">
        <f>VLOOKUP($C16,Fixtures!A:I,9,FALSE)</f>
        <v>FRA</v>
      </c>
      <c r="Z16" s="20" t="s">
        <v>2687</v>
      </c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324</v>
      </c>
      <c r="C17" s="29" t="s">
        <v>113</v>
      </c>
      <c r="D17" s="30" t="str">
        <f>VLOOKUP($C17,Fixtures!A:I,2,FALSE)</f>
        <v>EGY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SEN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USA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SPA</v>
      </c>
      <c r="T17" s="20" t="s">
        <v>2687</v>
      </c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346</v>
      </c>
      <c r="C18" s="29" t="s">
        <v>123</v>
      </c>
      <c r="D18" s="30" t="str">
        <f>VLOOKUP($C18,Fixtures!A:I,2,FALSE)</f>
        <v>CAP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SAU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URU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POR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BEL</v>
      </c>
      <c r="T18" s="20" t="s">
        <v>2687</v>
      </c>
      <c r="U18" s="31">
        <f>VLOOKUP($B18,PickedPlayers!D:Q,12,FALSE)</f>
        <v>0</v>
      </c>
      <c r="V18" s="30" t="str">
        <f>VLOOKUP($C18,Fixtures!A:I,8,FALSE)</f>
        <v>FRA</v>
      </c>
      <c r="W18" s="20" t="s">
        <v>2687</v>
      </c>
      <c r="X18" s="31">
        <f>VLOOKUP($B18,PickedPlayers!D:Q,13,FALSE)</f>
        <v>0</v>
      </c>
      <c r="Y18" s="30" t="str">
        <f>VLOOKUP($C18,Fixtures!A:I,9,FALSE)</f>
        <v>ARG</v>
      </c>
      <c r="Z18" s="20" t="s">
        <v>2687</v>
      </c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400</v>
      </c>
      <c r="C19" s="29" t="s">
        <v>78</v>
      </c>
      <c r="D19" s="30" t="str">
        <f>VLOOKUP($C19,Fixtures!A:I,2,FALSE)</f>
        <v>MOR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HAI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SCO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JAP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NOR</v>
      </c>
      <c r="Q19" s="20" t="s">
        <v>2691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499</v>
      </c>
      <c r="C20" s="34" t="s">
        <v>109</v>
      </c>
      <c r="D20" s="30" t="str">
        <f>VLOOKUP($C20,Fixtures!A:I,2,FALSE)</f>
        <v>CRO</v>
      </c>
      <c r="E20" s="35" t="s">
        <v>2695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2695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2692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2685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2685</v>
      </c>
      <c r="U20" s="31">
        <f>VLOOKUP($B20,PickedPlayers!D:Q,12,FALSE)</f>
        <v>0</v>
      </c>
      <c r="V20" s="30" t="str">
        <f>VLOOKUP($C20,Fixtures!A:I,8,FALSE)</f>
        <v>ARG</v>
      </c>
      <c r="W20" s="35" t="s">
        <v>2687</v>
      </c>
      <c r="X20" s="31">
        <f>VLOOKUP($B20,PickedPlayers!D:Q,13,FALSE)</f>
        <v>0</v>
      </c>
      <c r="Y20" s="30" t="str">
        <f>VLOOKUP($C20,Fixtures!A:I,9,FALSE)</f>
        <v>FRA</v>
      </c>
      <c r="Z20" s="35" t="s">
        <v>2687</v>
      </c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20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20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20 P3:P20 S3:S20 V3:V20 Y3:Y20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20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20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20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20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20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E5:E20 H5:H20 K5:K20 W5:W20 T5:T20 Q5:Q20 N5:N20 Z5:Z20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3"/>
  <sheetViews>
    <sheetView workbookViewId="0">
      <selection activeCell="A2" sqref="A2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2698</v>
      </c>
      <c r="B1" s="75"/>
      <c r="C1" s="76"/>
      <c r="D1" s="77" t="s">
        <v>2679</v>
      </c>
      <c r="E1" s="78"/>
      <c r="F1" s="79"/>
      <c r="G1" s="71" t="s">
        <v>2680</v>
      </c>
      <c r="H1" s="72"/>
      <c r="I1" s="73"/>
      <c r="J1" s="71" t="s">
        <v>2681</v>
      </c>
      <c r="K1" s="72"/>
      <c r="L1" s="73"/>
      <c r="M1" s="71" t="s">
        <v>36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BEL</v>
      </c>
      <c r="T3" s="20" t="s">
        <v>2687</v>
      </c>
      <c r="U3" s="31">
        <f>VLOOKUP($B3,PickedPlayers!D:Q,12,FALSE)</f>
        <v>0</v>
      </c>
      <c r="V3" s="30" t="str">
        <f>VLOOKUP($C3,Fixtures!A:I,8,FALSE)</f>
        <v>FRA</v>
      </c>
      <c r="W3" s="20" t="s">
        <v>2687</v>
      </c>
      <c r="X3" s="31">
        <f>VLOOKUP($B3,PickedPlayers!D:Q,13,FALSE)</f>
        <v>0</v>
      </c>
      <c r="Y3" s="30" t="str">
        <f>VLOOKUP($C3,Fixtures!A:I,9,FALSE)</f>
        <v>ARG</v>
      </c>
      <c r="Z3" s="20" t="s">
        <v>2687</v>
      </c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FRA</v>
      </c>
      <c r="T5" s="20" t="s">
        <v>2687</v>
      </c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FRA</v>
      </c>
      <c r="W6" s="20" t="s">
        <v>2687</v>
      </c>
      <c r="X6" s="31">
        <f>VLOOKUP($B6,PickedPlayers!D:Q,13,FALSE)</f>
        <v>0</v>
      </c>
      <c r="Y6" s="30" t="str">
        <f>VLOOKUP($C6,Fixtures!A:I,9,FALSE)</f>
        <v>ARG</v>
      </c>
      <c r="Z6" s="20" t="s">
        <v>2687</v>
      </c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 t="s">
        <v>2695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ARG</v>
      </c>
      <c r="W8" s="20" t="s">
        <v>2687</v>
      </c>
      <c r="X8" s="31">
        <f>VLOOKUP($B8,PickedPlayers!D:Q,13,FALSE)</f>
        <v>0</v>
      </c>
      <c r="Y8" s="30" t="str">
        <f>VLOOKUP($C8,Fixtures!A:I,9,FALSE)</f>
        <v>FRA</v>
      </c>
      <c r="Z8" s="20" t="s">
        <v>2687</v>
      </c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MOR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SPA</v>
      </c>
      <c r="W10" s="20" t="s">
        <v>2692</v>
      </c>
      <c r="X10" s="31">
        <f>VLOOKUP($B10,PickedPlayers!D:Q,13,FALSE)</f>
        <v>0</v>
      </c>
      <c r="Y10" s="30" t="str">
        <f>VLOOKUP($C10,Fixtures!A:I,9,FALSE)</f>
        <v>ENG</v>
      </c>
      <c r="Z10" s="20" t="s">
        <v>2692</v>
      </c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2688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2690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ENG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BEL</v>
      </c>
      <c r="T15" s="20" t="s">
        <v>2691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2691</v>
      </c>
      <c r="X15" s="31">
        <f>VLOOKUP($B15,PickedPlayers!D:Q,13,FALSE)</f>
        <v>0</v>
      </c>
      <c r="Y15" s="30" t="str">
        <f>VLOOKUP($C15,Fixtures!A:I,9,FALSE)</f>
        <v>ARG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x14ac:dyDescent="0.25">
      <c r="A19" s="28" t="s">
        <v>2677</v>
      </c>
      <c r="B19" s="55" t="s">
        <v>1352</v>
      </c>
      <c r="C19" s="56" t="s">
        <v>109</v>
      </c>
      <c r="D19" s="30"/>
      <c r="E19" s="57"/>
      <c r="F19" s="31"/>
      <c r="G19" s="30"/>
      <c r="H19" s="57"/>
      <c r="I19" s="31"/>
      <c r="J19" s="30"/>
      <c r="K19" s="57"/>
      <c r="L19" s="31"/>
      <c r="M19" s="30"/>
      <c r="N19" s="57"/>
      <c r="O19" s="31"/>
      <c r="P19" s="30"/>
      <c r="Q19" s="57"/>
      <c r="R19" s="31"/>
      <c r="S19" s="30" t="str">
        <f>VLOOKUP($C19,Fixtures!A:I,7,FALSE)</f>
        <v>NOR</v>
      </c>
      <c r="T19" s="57" t="s">
        <v>2687</v>
      </c>
      <c r="U19" s="31">
        <f>VLOOKUP($B19,PickedPlayers!D:Q,12,FALSE)</f>
        <v>0</v>
      </c>
      <c r="V19" s="30" t="str">
        <f>VLOOKUP($C19,Fixtures!A:I,8,FALSE)</f>
        <v>ARG</v>
      </c>
      <c r="W19" s="57" t="s">
        <v>2687</v>
      </c>
      <c r="X19" s="31">
        <f>VLOOKUP($B19,PickedPlayers!D:Q,13,FALSE)</f>
        <v>0</v>
      </c>
      <c r="Y19" s="30" t="str">
        <f>VLOOKUP($C19,Fixtures!A:I,9,FALSE)</f>
        <v>FRA</v>
      </c>
      <c r="Z19" s="57" t="s">
        <v>2687</v>
      </c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515</v>
      </c>
      <c r="C20" s="34" t="s">
        <v>109</v>
      </c>
      <c r="D20" s="30" t="str">
        <f>VLOOKUP($C20,Fixtures!A:I,2,FALSE)</f>
        <v>CRO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ARG</v>
      </c>
      <c r="W20" s="35" t="s">
        <v>2687</v>
      </c>
      <c r="X20" s="31">
        <f>VLOOKUP($B20,PickedPlayers!D:Q,13,FALSE)</f>
        <v>0</v>
      </c>
      <c r="Y20" s="30" t="str">
        <f>VLOOKUP($C20,Fixtures!A:I,9,FALSE)</f>
        <v>FRA</v>
      </c>
      <c r="Z20" s="35" t="s">
        <v>2687</v>
      </c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20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20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20 P3:P20 S3:S20 V3:V20 Y3:Y20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20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20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20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20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20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H5:H20 K5:K20 E5:E20 Q5:Q20 N5:N20 W5:W20 T5:T20 Z5:Z20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3"/>
  <sheetViews>
    <sheetView tabSelected="1" topLeftCell="M1" workbookViewId="0">
      <selection activeCell="Z14" sqref="Z14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2700</v>
      </c>
      <c r="B1" s="75"/>
      <c r="C1" s="76"/>
      <c r="D1" s="77" t="s">
        <v>2679</v>
      </c>
      <c r="E1" s="78"/>
      <c r="F1" s="79"/>
      <c r="G1" s="71" t="s">
        <v>2680</v>
      </c>
      <c r="H1" s="72"/>
      <c r="I1" s="73"/>
      <c r="J1" s="71" t="s">
        <v>2681</v>
      </c>
      <c r="K1" s="72"/>
      <c r="L1" s="73"/>
      <c r="M1" s="71" t="s">
        <v>36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NOR</v>
      </c>
      <c r="T5" s="20" t="s">
        <v>2687</v>
      </c>
      <c r="U5" s="31">
        <f>VLOOKUP($B5,PickedPlayers!D:Q,12,FALSE)</f>
        <v>0</v>
      </c>
      <c r="V5" s="30" t="str">
        <f>VLOOKUP($C5,Fixtures!A:I,8,FALSE)</f>
        <v>ARG</v>
      </c>
      <c r="W5" s="20" t="s">
        <v>2687</v>
      </c>
      <c r="X5" s="31">
        <f>VLOOKUP($B5,PickedPlayers!D:Q,13,FALSE)</f>
        <v>0</v>
      </c>
      <c r="Y5" s="30" t="str">
        <f>VLOOKUP($C5,Fixtures!A:I,9,FALSE)</f>
        <v>FRA</v>
      </c>
      <c r="Z5" s="20" t="s">
        <v>2687</v>
      </c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2687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2674</v>
      </c>
      <c r="B11" s="19" t="s">
        <v>1921</v>
      </c>
      <c r="C11" s="29" t="s">
        <v>66</v>
      </c>
      <c r="D11" s="30"/>
      <c r="E11" s="20"/>
      <c r="F11" s="31"/>
      <c r="G11" s="30"/>
      <c r="H11" s="20"/>
      <c r="I11" s="31"/>
      <c r="J11" s="30"/>
      <c r="K11" s="20"/>
      <c r="L11" s="31"/>
      <c r="M11" s="30"/>
      <c r="N11" s="20"/>
      <c r="O11" s="31"/>
      <c r="P11" s="30"/>
      <c r="Q11" s="20"/>
      <c r="R11" s="31"/>
      <c r="S11" s="30" t="str">
        <f>VLOOKUP($C11,Fixtures!A:I,7,FALSE)</f>
        <v>ENG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328</v>
      </c>
      <c r="C12" s="29" t="s">
        <v>40</v>
      </c>
      <c r="D12" s="30" t="str">
        <f>VLOOKUP($C12,Fixtures!A:I,2,FALSE)</f>
        <v>ALG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2691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SWI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ENG</v>
      </c>
      <c r="W12" s="20" t="s">
        <v>2687</v>
      </c>
      <c r="X12" s="31">
        <f>VLOOKUP($B12,PickedPlayers!D:Q,13,FALSE)</f>
        <v>0</v>
      </c>
      <c r="Y12" s="30" t="str">
        <f>VLOOKUP($C12,Fixtures!A:I,9,FALSE)</f>
        <v>SPA</v>
      </c>
      <c r="Z12" s="20" t="s">
        <v>2687</v>
      </c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330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FRA</v>
      </c>
      <c r="W13" s="20" t="s">
        <v>2687</v>
      </c>
      <c r="X13" s="31">
        <f>VLOOKUP($B13,PickedPlayers!D:Q,13,FALSE)</f>
        <v>0</v>
      </c>
      <c r="Y13" s="30" t="str">
        <f>VLOOKUP($C13,Fixtures!A:I,9,FALSE)</f>
        <v>ARG</v>
      </c>
      <c r="Z13" s="20" t="s">
        <v>2687</v>
      </c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396</v>
      </c>
      <c r="C14" s="29" t="s">
        <v>109</v>
      </c>
      <c r="D14" s="30" t="str">
        <f>VLOOKUP($C14,Fixtures!A:I,2,FALSE)</f>
        <v>CRO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CON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MEX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NOR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ARG</v>
      </c>
      <c r="W14" s="20" t="s">
        <v>2691</v>
      </c>
      <c r="X14" s="31">
        <f>VLOOKUP($B14,PickedPlayers!D:Q,13,FALSE)</f>
        <v>0</v>
      </c>
      <c r="Y14" s="30" t="str">
        <f>VLOOKUP($C14,Fixtures!A:I,9,FALSE)</f>
        <v>FRA</v>
      </c>
      <c r="Z14" s="20" t="s">
        <v>2691</v>
      </c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412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SPA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ENG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284</v>
      </c>
      <c r="C16" s="29" t="s">
        <v>123</v>
      </c>
      <c r="D16" s="30" t="str">
        <f>VLOOKUP($C16,Fixtures!A:I,2,FALSE)</f>
        <v>CAP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AUS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POR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BEL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FRA</v>
      </c>
      <c r="W16" s="20" t="s">
        <v>2692</v>
      </c>
      <c r="X16" s="31">
        <f>VLOOKUP($B16,PickedPlayers!D:Q,13,FALSE)</f>
        <v>0</v>
      </c>
      <c r="Y16" s="30" t="str">
        <f>VLOOKUP($C16,Fixtures!A:I,9,FALSE)</f>
        <v>ARG</v>
      </c>
      <c r="Z16" s="20" t="s">
        <v>2692</v>
      </c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306</v>
      </c>
      <c r="C17" s="29" t="s">
        <v>66</v>
      </c>
      <c r="D17" s="30" t="str">
        <f>VLOOKUP($C17,Fixtures!A:I,2,FALSE)</f>
        <v>IRQ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SEN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FRA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IVO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BRA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ENG</v>
      </c>
      <c r="T17" s="20" t="s">
        <v>2692</v>
      </c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438</v>
      </c>
      <c r="C18" s="29" t="s">
        <v>165</v>
      </c>
      <c r="D18" s="30" t="str">
        <f>VLOOKUP($C18,Fixtures!A:I,2,FALSE)</f>
        <v>QAT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BOS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ALG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COL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ARG</v>
      </c>
      <c r="T18" s="20" t="s">
        <v>2687</v>
      </c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503</v>
      </c>
      <c r="C19" s="29" t="s">
        <v>62</v>
      </c>
      <c r="D19" s="30" t="str">
        <f>VLOOKUP($C19,Fixtures!A:I,2,FALSE)</f>
        <v>TUN</v>
      </c>
      <c r="E19" s="20" t="s">
        <v>2687</v>
      </c>
      <c r="F19" s="31">
        <f>VLOOKUP($B19,PickedPlayers!D:Q,7,FALSE)</f>
        <v>0</v>
      </c>
      <c r="G19" s="30" t="str">
        <f>VLOOKUP($C19,Fixtures!A:I,3,FALSE)</f>
        <v>NED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JAP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FRA</v>
      </c>
      <c r="N19" s="20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527</v>
      </c>
      <c r="C20" s="34" t="s">
        <v>82</v>
      </c>
      <c r="D20" s="30" t="str">
        <f>VLOOKUP($C20,Fixtures!A:I,2,FALSE)</f>
        <v>MEX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CZE</v>
      </c>
      <c r="H20" s="35" t="s">
        <v>2690</v>
      </c>
      <c r="I20" s="31">
        <f>VLOOKUP($B20,PickedPlayers!D:Q,8,FALSE)</f>
        <v>0</v>
      </c>
      <c r="J20" s="30" t="str">
        <f>VLOOKUP($C20,Fixtures!A:I,4,FALSE)</f>
        <v>KOR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CAN</v>
      </c>
      <c r="N20" s="35" t="s">
        <v>2685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idden="1" x14ac:dyDescent="0.25">
      <c r="D23" s="21"/>
      <c r="E23" s="21"/>
      <c r="F23" s="21"/>
    </row>
  </sheetData>
  <mergeCells count="18">
    <mergeCell ref="M21:O22"/>
    <mergeCell ref="P21:R22"/>
    <mergeCell ref="D1:F1"/>
    <mergeCell ref="G1:I1"/>
    <mergeCell ref="J1:L1"/>
    <mergeCell ref="M1:O1"/>
    <mergeCell ref="P1:R1"/>
    <mergeCell ref="A1:C1"/>
    <mergeCell ref="D21:F22"/>
    <mergeCell ref="G21:I22"/>
    <mergeCell ref="J21:L22"/>
    <mergeCell ref="A21:C22"/>
    <mergeCell ref="S21:U22"/>
    <mergeCell ref="V21:X22"/>
    <mergeCell ref="Y21:AA22"/>
    <mergeCell ref="S1:U1"/>
    <mergeCell ref="V1:X1"/>
    <mergeCell ref="Y1:AA1"/>
  </mergeCells>
  <conditionalFormatting sqref="E3:E20">
    <cfRule type="containsText" dxfId="224" priority="108" operator="containsText" text="Sub">
      <formula>NOT(ISERROR(SEARCH("Sub",E3)))</formula>
    </cfRule>
    <cfRule type="containsText" dxfId="223" priority="106" operator="containsText" text="Off">
      <formula>NOT(ISERROR(SEARCH("Off",E3)))</formula>
    </cfRule>
    <cfRule type="containsText" dxfId="222" priority="105" operator="containsText" text="Vice Captain">
      <formula>NOT(ISERROR(SEARCH("Vice Captain",E3)))</formula>
    </cfRule>
    <cfRule type="containsText" dxfId="221" priority="110" operator="containsText" text="Picked">
      <formula>NOT(ISERROR(SEARCH("Picked",E3)))</formula>
    </cfRule>
    <cfRule type="containsText" dxfId="220" priority="109" operator="containsText" text="Captain">
      <formula>NOT(ISERROR(SEARCH("Captain",E3)))</formula>
    </cfRule>
  </conditionalFormatting>
  <conditionalFormatting sqref="H3:H20">
    <cfRule type="containsText" dxfId="219" priority="66" operator="containsText" text="Captain">
      <formula>NOT(ISERROR(SEARCH("Captain",H3)))</formula>
    </cfRule>
    <cfRule type="containsText" dxfId="218" priority="67" operator="containsText" text="Picked">
      <formula>NOT(ISERROR(SEARCH("Picked",H3)))</formula>
    </cfRule>
    <cfRule type="containsText" dxfId="217" priority="65" operator="containsText" text="Sub">
      <formula>NOT(ISERROR(SEARCH("Sub",H3)))</formula>
    </cfRule>
    <cfRule type="containsText" dxfId="216" priority="64" operator="containsText" text="Off">
      <formula>NOT(ISERROR(SEARCH("Off",H3)))</formula>
    </cfRule>
    <cfRule type="containsText" dxfId="215" priority="63" operator="containsText" text="Vice Captain">
      <formula>NOT(ISERROR(SEARCH("Vice Captain",H3)))</formula>
    </cfRule>
  </conditionalFormatting>
  <conditionalFormatting sqref="K3:K20">
    <cfRule type="containsText" dxfId="214" priority="61" operator="containsText" text="Captain">
      <formula>NOT(ISERROR(SEARCH("Captain",K3)))</formula>
    </cfRule>
    <cfRule type="containsText" dxfId="213" priority="60" operator="containsText" text="Sub">
      <formula>NOT(ISERROR(SEARCH("Sub",K3)))</formula>
    </cfRule>
    <cfRule type="containsText" dxfId="212" priority="59" operator="containsText" text="Off">
      <formula>NOT(ISERROR(SEARCH("Off",K3)))</formula>
    </cfRule>
    <cfRule type="containsText" dxfId="211" priority="58" operator="containsText" text="Vice Captain">
      <formula>NOT(ISERROR(SEARCH("Vice Captain",K3)))</formula>
    </cfRule>
    <cfRule type="containsText" dxfId="210" priority="62" operator="containsText" text="Picked">
      <formula>NOT(ISERROR(SEARCH("Picked",K3)))</formula>
    </cfRule>
  </conditionalFormatting>
  <conditionalFormatting sqref="M3:M20 P3:P20 S3:S20 V3:V20 Y3:Y20">
    <cfRule type="containsText" dxfId="209" priority="32" operator="containsText" text="Out">
      <formula>NOT(ISERROR(SEARCH("Out",M3)))</formula>
    </cfRule>
    <cfRule type="containsText" dxfId="208" priority="31" operator="containsText" text="tbc">
      <formula>NOT(ISERROR(SEARCH("tbc",M3)))</formula>
    </cfRule>
  </conditionalFormatting>
  <conditionalFormatting sqref="N3:N20">
    <cfRule type="containsText" dxfId="207" priority="6" operator="containsText" text="Vice Captain">
      <formula>NOT(ISERROR(SEARCH("Vice Captain",N3)))</formula>
    </cfRule>
    <cfRule type="containsText" dxfId="206" priority="7" operator="containsText" text="Off">
      <formula>NOT(ISERROR(SEARCH("Off",N3)))</formula>
    </cfRule>
    <cfRule type="containsText" dxfId="205" priority="8" operator="containsText" text="Sub">
      <formula>NOT(ISERROR(SEARCH("Sub",N3)))</formula>
    </cfRule>
    <cfRule type="containsText" dxfId="204" priority="9" operator="containsText" text="Captain">
      <formula>NOT(ISERROR(SEARCH("Captain",N3)))</formula>
    </cfRule>
    <cfRule type="containsText" dxfId="203" priority="10" operator="containsText" text="Picked">
      <formula>NOT(ISERROR(SEARCH("Picked",N3)))</formula>
    </cfRule>
  </conditionalFormatting>
  <conditionalFormatting sqref="Q3:Q20">
    <cfRule type="containsText" dxfId="202" priority="28" operator="containsText" text="Sub">
      <formula>NOT(ISERROR(SEARCH("Sub",Q3)))</formula>
    </cfRule>
    <cfRule type="containsText" dxfId="201" priority="29" operator="containsText" text="Captain">
      <formula>NOT(ISERROR(SEARCH("Captain",Q3)))</formula>
    </cfRule>
    <cfRule type="containsText" dxfId="200" priority="30" operator="containsText" text="Picked">
      <formula>NOT(ISERROR(SEARCH("Picked",Q3)))</formula>
    </cfRule>
    <cfRule type="containsText" dxfId="199" priority="26" operator="containsText" text="Vice Captain">
      <formula>NOT(ISERROR(SEARCH("Vice Captain",Q3)))</formula>
    </cfRule>
    <cfRule type="containsText" dxfId="198" priority="27" operator="containsText" text="Off">
      <formula>NOT(ISERROR(SEARCH("Off",Q3)))</formula>
    </cfRule>
  </conditionalFormatting>
  <conditionalFormatting sqref="T3:T20">
    <cfRule type="containsText" dxfId="197" priority="24" operator="containsText" text="Captain">
      <formula>NOT(ISERROR(SEARCH("Captain",T3)))</formula>
    </cfRule>
    <cfRule type="containsText" dxfId="196" priority="23" operator="containsText" text="Sub">
      <formula>NOT(ISERROR(SEARCH("Sub",T3)))</formula>
    </cfRule>
    <cfRule type="containsText" dxfId="195" priority="21" operator="containsText" text="Vice Captain">
      <formula>NOT(ISERROR(SEARCH("Vice Captain",T3)))</formula>
    </cfRule>
    <cfRule type="containsText" dxfId="194" priority="25" operator="containsText" text="Picked">
      <formula>NOT(ISERROR(SEARCH("Picked",T3)))</formula>
    </cfRule>
    <cfRule type="containsText" dxfId="193" priority="22" operator="containsText" text="Off">
      <formula>NOT(ISERROR(SEARCH("Off",T3)))</formula>
    </cfRule>
  </conditionalFormatting>
  <conditionalFormatting sqref="W3:W20">
    <cfRule type="containsText" dxfId="192" priority="20" operator="containsText" text="Picked">
      <formula>NOT(ISERROR(SEARCH("Picked",W3)))</formula>
    </cfRule>
    <cfRule type="containsText" dxfId="191" priority="19" operator="containsText" text="Captain">
      <formula>NOT(ISERROR(SEARCH("Captain",W3)))</formula>
    </cfRule>
    <cfRule type="containsText" dxfId="190" priority="18" operator="containsText" text="Sub">
      <formula>NOT(ISERROR(SEARCH("Sub",W3)))</formula>
    </cfRule>
    <cfRule type="containsText" dxfId="189" priority="17" operator="containsText" text="Off">
      <formula>NOT(ISERROR(SEARCH("Off",W3)))</formula>
    </cfRule>
    <cfRule type="containsText" dxfId="188" priority="16" operator="containsText" text="Vice Captain">
      <formula>NOT(ISERROR(SEARCH("Vice Captain",W3)))</formula>
    </cfRule>
  </conditionalFormatting>
  <conditionalFormatting sqref="Z3:Z20">
    <cfRule type="containsText" dxfId="187" priority="1" operator="containsText" text="Vice Captain">
      <formula>NOT(ISERROR(SEARCH("Vice Captain",Z3)))</formula>
    </cfRule>
    <cfRule type="containsText" dxfId="186" priority="5" operator="containsText" text="Picked">
      <formula>NOT(ISERROR(SEARCH("Picked",Z3)))</formula>
    </cfRule>
    <cfRule type="containsText" dxfId="185" priority="4" operator="containsText" text="Captain">
      <formula>NOT(ISERROR(SEARCH("Captain",Z3)))</formula>
    </cfRule>
    <cfRule type="containsText" dxfId="184" priority="3" operator="containsText" text="Sub">
      <formula>NOT(ISERROR(SEARCH("Sub",Z3)))</formula>
    </cfRule>
    <cfRule type="containsText" dxfId="183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E5:E20 H5:H20 K5:K20 T5:T20 Q5:Q20 N5:N20 W5:W20 Z5:Z20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3"/>
  <sheetViews>
    <sheetView topLeftCell="X1" workbookViewId="0">
      <selection activeCell="Z6" sqref="Z6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2698</v>
      </c>
      <c r="B1" s="75"/>
      <c r="C1" s="76"/>
      <c r="D1" s="77" t="s">
        <v>2679</v>
      </c>
      <c r="E1" s="78"/>
      <c r="F1" s="79"/>
      <c r="G1" s="71" t="s">
        <v>2680</v>
      </c>
      <c r="H1" s="72"/>
      <c r="I1" s="73"/>
      <c r="J1" s="71" t="s">
        <v>2681</v>
      </c>
      <c r="K1" s="72"/>
      <c r="L1" s="73"/>
      <c r="M1" s="71" t="s">
        <v>36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SPA</v>
      </c>
      <c r="T3" s="20" t="s">
        <v>2687</v>
      </c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BEL</v>
      </c>
      <c r="T4" s="20" t="s">
        <v>2686</v>
      </c>
      <c r="U4" s="31">
        <f>VLOOKUP($B4,PickedPlayers!D:Q,12,FALSE)</f>
        <v>0</v>
      </c>
      <c r="V4" s="30" t="str">
        <f>VLOOKUP($C4,Fixtures!A:I,8,FALSE)</f>
        <v>FRA</v>
      </c>
      <c r="W4" s="20" t="s">
        <v>2687</v>
      </c>
      <c r="X4" s="31">
        <f>VLOOKUP($B4,PickedPlayers!D:Q,13,FALSE)</f>
        <v>0</v>
      </c>
      <c r="Y4" s="30" t="str">
        <f>VLOOKUP($C4,Fixtures!A:I,9,FALSE)</f>
        <v>ARG</v>
      </c>
      <c r="Z4" s="20" t="s">
        <v>2687</v>
      </c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NOR</v>
      </c>
      <c r="T6" s="20" t="s">
        <v>2687</v>
      </c>
      <c r="U6" s="31">
        <f>VLOOKUP($B6,PickedPlayers!D:Q,12,FALSE)</f>
        <v>0</v>
      </c>
      <c r="V6" s="30" t="str">
        <f>VLOOKUP($C6,Fixtures!A:I,8,FALSE)</f>
        <v>ARG</v>
      </c>
      <c r="W6" s="20" t="s">
        <v>2687</v>
      </c>
      <c r="X6" s="31">
        <f>VLOOKUP($B6,PickedPlayers!D:Q,13,FALSE)</f>
        <v>0</v>
      </c>
      <c r="Y6" s="30" t="str">
        <f>VLOOKUP($C6,Fixtures!A:I,9,FALSE)</f>
        <v>FRA</v>
      </c>
      <c r="Z6" s="20" t="s">
        <v>2692</v>
      </c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MOR</v>
      </c>
      <c r="T8" s="20" t="s">
        <v>2687</v>
      </c>
      <c r="U8" s="31">
        <f>VLOOKUP($B8,PickedPlayers!D:Q,12,FALSE)</f>
        <v>0</v>
      </c>
      <c r="V8" s="30" t="str">
        <f>VLOOKUP($C8,Fixtures!A:I,8,FALSE)</f>
        <v>SPA</v>
      </c>
      <c r="W8" s="20" t="s">
        <v>2687</v>
      </c>
      <c r="X8" s="31">
        <f>VLOOKUP($B8,PickedPlayers!D:Q,13,FALSE)</f>
        <v>0</v>
      </c>
      <c r="Y8" s="30" t="str">
        <f>VLOOKUP($C8,Fixtures!A:I,9,FALSE)</f>
        <v>ENG</v>
      </c>
      <c r="Z8" s="20" t="s">
        <v>2687</v>
      </c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2685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ARG</v>
      </c>
      <c r="W10" s="20" t="s">
        <v>2691</v>
      </c>
      <c r="X10" s="31">
        <f>VLOOKUP($B10,PickedPlayers!D:Q,13,FALSE)</f>
        <v>0</v>
      </c>
      <c r="Y10" s="30" t="str">
        <f>VLOOKUP($C10,Fixtures!A:I,9,FALSE)</f>
        <v>FRA</v>
      </c>
      <c r="Z10" s="20" t="s">
        <v>2687</v>
      </c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BEL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FRA</v>
      </c>
      <c r="W11" s="20" t="s">
        <v>2687</v>
      </c>
      <c r="X11" s="31">
        <f>VLOOKUP($B11,PickedPlayers!D:Q,13,FALSE)</f>
        <v>0</v>
      </c>
      <c r="Y11" s="30" t="str">
        <f>VLOOKUP($C11,Fixtures!A:I,9,FALSE)</f>
        <v>ARG</v>
      </c>
      <c r="Z11" s="20" t="s">
        <v>2687</v>
      </c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FRA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1377</v>
      </c>
      <c r="C15" s="29" t="s">
        <v>61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SPA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ENG</v>
      </c>
      <c r="Z15" s="20" t="s">
        <v>2687</v>
      </c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287</v>
      </c>
      <c r="C16" s="29" t="s">
        <v>61</v>
      </c>
      <c r="D16" s="30" t="str">
        <f>VLOOKUP($C16,Fixtures!A:I,2,FALSE)</f>
        <v>SEN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SPA</v>
      </c>
      <c r="W16" s="20" t="s">
        <v>2692</v>
      </c>
      <c r="X16" s="31">
        <f>VLOOKUP($B16,PickedPlayers!D:Q,13,FALSE)</f>
        <v>0</v>
      </c>
      <c r="Y16" s="30" t="str">
        <f>VLOOKUP($C16,Fixtures!A:I,9,FALSE)</f>
        <v>ENG</v>
      </c>
      <c r="Z16" s="20" t="s">
        <v>2691</v>
      </c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304</v>
      </c>
      <c r="C17" s="29" t="s">
        <v>78</v>
      </c>
      <c r="D17" s="30" t="str">
        <f>VLOOKUP($C17,Fixtures!A:I,2,FALSE)</f>
        <v>MOR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2692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2691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366</v>
      </c>
      <c r="C18" s="29" t="s">
        <v>101</v>
      </c>
      <c r="D18" s="30" t="str">
        <f>VLOOKUP($C18,Fixtures!A:I,2,FALSE)</f>
        <v>CON</v>
      </c>
      <c r="E18" s="20" t="s">
        <v>2690</v>
      </c>
      <c r="F18" s="31">
        <f>VLOOKUP($B18,PickedPlayers!D:Q,7,FALSE)</f>
        <v>0</v>
      </c>
      <c r="G18" s="30" t="str">
        <f>VLOOKUP($C18,Fixtures!A:I,3,FALSE)</f>
        <v>UZB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COL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CRO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SPA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446</v>
      </c>
      <c r="C19" s="29" t="s">
        <v>126</v>
      </c>
      <c r="D19" s="30" t="str">
        <f>VLOOKUP($C19,Fixtures!A:I,2,FALSE)</f>
        <v>FRA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NOR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IRQ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BEL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489</v>
      </c>
      <c r="C20" s="34" t="s">
        <v>153</v>
      </c>
      <c r="D20" s="30" t="str">
        <f>VLOOKUP($C20,Fixtures!A:I,2,FALSE)</f>
        <v>SOU</v>
      </c>
      <c r="E20" s="35" t="s">
        <v>2687</v>
      </c>
      <c r="F20" s="31">
        <f>VLOOKUP($B20,PickedPlayers!D:Q,7,FALSE)</f>
        <v>0</v>
      </c>
      <c r="G20" s="30" t="str">
        <f>VLOOKUP($C20,Fixtures!A:I,3,FALSE)</f>
        <v>KOR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CZE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ECU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ENG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20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20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20 P3:P20 S3:S20 V3:V20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20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20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20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20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20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20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E5:E20 H5:H20 K5:K20 T5:T20 N5:N20 Q5:Q20 W5:W20 Z5:Z20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3"/>
  <sheetViews>
    <sheetView workbookViewId="0">
      <selection activeCell="T15" sqref="T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2882</v>
      </c>
      <c r="B1" s="75"/>
      <c r="C1" s="76"/>
      <c r="D1" s="77" t="s">
        <v>2679</v>
      </c>
      <c r="E1" s="78"/>
      <c r="F1" s="79"/>
      <c r="G1" s="71" t="s">
        <v>2680</v>
      </c>
      <c r="H1" s="72"/>
      <c r="I1" s="73"/>
      <c r="J1" s="71" t="s">
        <v>2681</v>
      </c>
      <c r="K1" s="72"/>
      <c r="L1" s="73"/>
      <c r="M1" s="71" t="s">
        <v>36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MOR</v>
      </c>
      <c r="T3" s="20" t="s">
        <v>2687</v>
      </c>
      <c r="U3" s="31">
        <f>VLOOKUP($B3,PickedPlayers!D:Q,12,FALSE)</f>
        <v>0</v>
      </c>
      <c r="V3" s="30" t="str">
        <f>VLOOKUP($C3,Fixtures!A:I,8,FALSE)</f>
        <v>SPA</v>
      </c>
      <c r="W3" s="20" t="s">
        <v>2687</v>
      </c>
      <c r="X3" s="31">
        <f>VLOOKUP($B3,PickedPlayers!D:Q,13,FALSE)</f>
        <v>0</v>
      </c>
      <c r="Y3" s="30" t="str">
        <f>VLOOKUP($C3,Fixtures!A:I,9,FALSE)</f>
        <v>ENG</v>
      </c>
      <c r="Z3" s="20" t="s">
        <v>2687</v>
      </c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BEL</v>
      </c>
      <c r="T5" s="20" t="s">
        <v>2687</v>
      </c>
      <c r="U5" s="31">
        <f>VLOOKUP($B5,PickedPlayers!D:Q,12,FALSE)</f>
        <v>0</v>
      </c>
      <c r="V5" s="30" t="str">
        <f>VLOOKUP($C5,Fixtures!A:I,8,FALSE)</f>
        <v>FRA</v>
      </c>
      <c r="W5" s="20" t="s">
        <v>2687</v>
      </c>
      <c r="X5" s="31">
        <f>VLOOKUP($B5,PickedPlayers!D:Q,13,FALSE)</f>
        <v>0</v>
      </c>
      <c r="Y5" s="30" t="str">
        <f>VLOOKUP($C5,Fixtures!A:I,9,FALSE)</f>
        <v>ARG</v>
      </c>
      <c r="Z5" s="20" t="s">
        <v>2687</v>
      </c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2685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2691</v>
      </c>
      <c r="U8" s="31">
        <f>VLOOKUP($B8,PickedPlayers!D:Q,12,FALSE)</f>
        <v>0</v>
      </c>
      <c r="V8" s="30" t="str">
        <f>VLOOKUP($C8,Fixtures!A:I,8,FALSE)</f>
        <v>ENG</v>
      </c>
      <c r="W8" s="20" t="s">
        <v>2687</v>
      </c>
      <c r="X8" s="31">
        <f>VLOOKUP($B8,PickedPlayers!D:Q,13,FALSE)</f>
        <v>0</v>
      </c>
      <c r="Y8" s="30" t="str">
        <f>VLOOKUP($C8,Fixtures!A:I,9,FALSE)</f>
        <v>SPA</v>
      </c>
      <c r="Z8" s="20" t="s">
        <v>2687</v>
      </c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SWI</v>
      </c>
      <c r="T10" s="20" t="s">
        <v>2687</v>
      </c>
      <c r="U10" s="31">
        <f>VLOOKUP($B10,PickedPlayers!D:Q,12,FALSE)</f>
        <v>0</v>
      </c>
      <c r="V10" s="30" t="str">
        <f>VLOOKUP($C10,Fixtures!A:I,8,FALSE)</f>
        <v>ENG</v>
      </c>
      <c r="W10" s="20" t="s">
        <v>2687</v>
      </c>
      <c r="X10" s="31">
        <f>VLOOKUP($B10,PickedPlayers!D:Q,13,FALSE)</f>
        <v>0</v>
      </c>
      <c r="Y10" s="30" t="str">
        <f>VLOOKUP($C10,Fixtures!A:I,9,FALSE)</f>
        <v>SPA</v>
      </c>
      <c r="Z10" s="20" t="s">
        <v>2687</v>
      </c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SPA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2303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FRA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ARG</v>
      </c>
      <c r="Z15" s="20" t="s">
        <v>2687</v>
      </c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290</v>
      </c>
      <c r="C16" s="29" t="s">
        <v>40</v>
      </c>
      <c r="D16" s="30" t="str">
        <f>VLOOKUP($C16,Fixtures!A:I,2,FALSE)</f>
        <v>ALG</v>
      </c>
      <c r="E16" s="48" t="s">
        <v>2692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SWI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ENG</v>
      </c>
      <c r="W16" s="20" t="s">
        <v>2692</v>
      </c>
      <c r="X16" s="31">
        <f>VLOOKUP($B16,PickedPlayers!D:Q,13,FALSE)</f>
        <v>0</v>
      </c>
      <c r="Y16" s="30" t="str">
        <f>VLOOKUP($C16,Fixtures!A:I,9,FALSE)</f>
        <v>SPA</v>
      </c>
      <c r="Z16" s="20" t="s">
        <v>2692</v>
      </c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302</v>
      </c>
      <c r="C17" s="29" t="s">
        <v>78</v>
      </c>
      <c r="D17" s="30" t="str">
        <f>VLOOKUP($C17,Fixtures!A:I,2,FALSE)</f>
        <v>MOR</v>
      </c>
      <c r="E17" s="20" t="s">
        <v>2695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2689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2689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2685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316</v>
      </c>
      <c r="C18" s="29" t="s">
        <v>74</v>
      </c>
      <c r="D18" s="30" t="str">
        <f>VLOOKUP($C18,Fixtures!A:I,2,FALSE)</f>
        <v>CUR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IVO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ECU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PAR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out</v>
      </c>
      <c r="Q18" s="20" t="s">
        <v>2690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354</v>
      </c>
      <c r="C19" s="29" t="s">
        <v>61</v>
      </c>
      <c r="D19" s="30" t="str">
        <f>VLOOKUP($C19,Fixtures!A:I,2,FALSE)</f>
        <v>SEN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PAR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MOR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SPA</v>
      </c>
      <c r="W19" s="20" t="s">
        <v>2691</v>
      </c>
      <c r="X19" s="31">
        <f>VLOOKUP($B19,PickedPlayers!D:Q,13,FALSE)</f>
        <v>0</v>
      </c>
      <c r="Y19" s="30" t="str">
        <f>VLOOKUP($C19,Fixtures!A:I,9,FALSE)</f>
        <v>ENG</v>
      </c>
      <c r="Z19" s="20" t="s">
        <v>2691</v>
      </c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491</v>
      </c>
      <c r="C20" s="34" t="s">
        <v>123</v>
      </c>
      <c r="D20" s="30" t="str">
        <f>VLOOKUP($C20,Fixtures!A:I,2,FALSE)</f>
        <v>CAP</v>
      </c>
      <c r="E20" s="35" t="s">
        <v>2691</v>
      </c>
      <c r="F20" s="31">
        <f>VLOOKUP($B20,PickedPlayers!D:Q,7,FALSE)</f>
        <v>0</v>
      </c>
      <c r="G20" s="30" t="str">
        <f>VLOOKUP($C20,Fixtures!A:I,3,FALSE)</f>
        <v>SAU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URU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AUS</v>
      </c>
      <c r="N20" s="35" t="s">
        <v>2690</v>
      </c>
      <c r="O20" s="31">
        <f>VLOOKUP($B20,PickedPlayers!D:Q,10,FALSE)</f>
        <v>0</v>
      </c>
      <c r="P20" s="30" t="str">
        <f>VLOOKUP($C20,Fixtures!A:I,6,FALSE)</f>
        <v>POR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BEL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FRA</v>
      </c>
      <c r="W20" s="35" t="s">
        <v>2687</v>
      </c>
      <c r="X20" s="31">
        <f>VLOOKUP($B20,PickedPlayers!D:Q,13,FALSE)</f>
        <v>0</v>
      </c>
      <c r="Y20" s="30" t="str">
        <f>VLOOKUP($C20,Fixtures!A:I,9,FALSE)</f>
        <v>ARG</v>
      </c>
      <c r="Z20" s="35" t="s">
        <v>2687</v>
      </c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20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20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20 P3:P20 S3:S20 V3:V20 Y3:Y20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20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20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20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20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20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E5:E20 H5:H20 K5:K20 Q5:Q20 Z5:Z20 N5:N20 W5:W20 T5:T20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3"/>
  <sheetViews>
    <sheetView workbookViewId="0">
      <selection activeCell="Z3" sqref="Z3:Z16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2678</v>
      </c>
      <c r="B1" s="75"/>
      <c r="C1" s="76"/>
      <c r="D1" s="77" t="s">
        <v>2679</v>
      </c>
      <c r="E1" s="78"/>
      <c r="F1" s="79"/>
      <c r="G1" s="71" t="s">
        <v>2680</v>
      </c>
      <c r="H1" s="72"/>
      <c r="I1" s="73"/>
      <c r="J1" s="71" t="s">
        <v>2681</v>
      </c>
      <c r="K1" s="72"/>
      <c r="L1" s="73"/>
      <c r="M1" s="71" t="s">
        <v>36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 t="s">
        <v>2687</v>
      </c>
      <c r="R3" s="31">
        <f>VLOOKUP($B3,PickedPlayers!D:Q,11,FALSE)</f>
        <v>0</v>
      </c>
      <c r="S3" s="30" t="str">
        <f>VLOOKUP($C3,Fixtures!A:I,7,FALSE)</f>
        <v>SWI</v>
      </c>
      <c r="T3" s="20" t="s">
        <v>2687</v>
      </c>
      <c r="U3" s="31">
        <f>VLOOKUP($B3,PickedPlayers!D:Q,12,FALSE)</f>
        <v>0</v>
      </c>
      <c r="V3" s="30" t="str">
        <f>VLOOKUP($C3,Fixtures!A:I,8,FALSE)</f>
        <v>ENG</v>
      </c>
      <c r="W3" s="20" t="s">
        <v>2687</v>
      </c>
      <c r="X3" s="31">
        <f>VLOOKUP($B3,PickedPlayers!D:Q,13,FALSE)</f>
        <v>0</v>
      </c>
      <c r="Y3" s="30" t="str">
        <f>VLOOKUP($C3,Fixtures!A:I,9,FALSE)</f>
        <v>SPA</v>
      </c>
      <c r="Z3" s="20" t="s">
        <v>2687</v>
      </c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 t="s">
        <v>2686</v>
      </c>
      <c r="R4" s="31">
        <f>VLOOKUP($B4,PickedPlayers!D:Q,11,FALSE)</f>
        <v>0</v>
      </c>
      <c r="S4" s="30" t="str">
        <f>VLOOKUP($C4,Fixtures!A:I,7,FALSE)</f>
        <v>ARG</v>
      </c>
      <c r="T4" s="20" t="s">
        <v>2686</v>
      </c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FRA</v>
      </c>
      <c r="W6" s="20" t="s">
        <v>2687</v>
      </c>
      <c r="X6" s="31">
        <f>VLOOKUP($B6,PickedPlayers!D:Q,13,FALSE)</f>
        <v>0</v>
      </c>
      <c r="Y6" s="30" t="str">
        <f>VLOOKUP($C6,Fixtures!A:I,9,FALSE)</f>
        <v>ARG</v>
      </c>
      <c r="Z6" s="20" t="s">
        <v>2687</v>
      </c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 t="s">
        <v>2687</v>
      </c>
      <c r="R7" s="31">
        <f>VLOOKUP($B7,PickedPlayers!D:Q,11,FALSE)</f>
        <v>0</v>
      </c>
      <c r="S7" s="30" t="str">
        <f>VLOOKUP($C7,Fixtures!A:I,7,FALSE)</f>
        <v>SPA</v>
      </c>
      <c r="T7" s="20" t="s">
        <v>2687</v>
      </c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ARG</v>
      </c>
      <c r="W8" s="20" t="s">
        <v>2687</v>
      </c>
      <c r="X8" s="31">
        <f>VLOOKUP($B8,PickedPlayers!D:Q,13,FALSE)</f>
        <v>0</v>
      </c>
      <c r="Y8" s="30" t="str">
        <f>VLOOKUP($C8,Fixtures!A:I,9,FALSE)</f>
        <v>FRA</v>
      </c>
      <c r="Z8" s="20" t="s">
        <v>2687</v>
      </c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BEL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FRA</v>
      </c>
      <c r="W12" s="20" t="s">
        <v>2687</v>
      </c>
      <c r="X12" s="31">
        <f>VLOOKUP($B12,PickedPlayers!D:Q,13,FALSE)</f>
        <v>0</v>
      </c>
      <c r="Y12" s="30" t="str">
        <f>VLOOKUP($C12,Fixtures!A:I,9,FALSE)</f>
        <v>ARG</v>
      </c>
      <c r="Z12" s="20" t="s">
        <v>2687</v>
      </c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ENG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SPA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2687</v>
      </c>
      <c r="U16" s="31">
        <f>VLOOKUP($B16,PickedPlayers!D:Q,12,FALSE)</f>
        <v>0</v>
      </c>
      <c r="V16" s="30" t="str">
        <f>VLOOKUP($C16,Fixtures!A:I,8,FALSE)</f>
        <v>ARG</v>
      </c>
      <c r="W16" s="20" t="s">
        <v>2687</v>
      </c>
      <c r="X16" s="31">
        <f>VLOOKUP($B16,PickedPlayers!D:Q,13,FALSE)</f>
        <v>0</v>
      </c>
      <c r="Y16" s="30" t="str">
        <f>VLOOKUP($C16,Fixtures!A:I,9,FALSE)</f>
        <v>FRA</v>
      </c>
      <c r="Z16" s="20" t="s">
        <v>2687</v>
      </c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1347</v>
      </c>
      <c r="C17" s="29" t="s">
        <v>109</v>
      </c>
      <c r="D17" s="30"/>
      <c r="E17" s="20"/>
      <c r="F17" s="31"/>
      <c r="G17" s="30"/>
      <c r="H17" s="20"/>
      <c r="I17" s="31"/>
      <c r="J17" s="30"/>
      <c r="K17" s="20"/>
      <c r="L17" s="31"/>
      <c r="M17" s="30"/>
      <c r="N17" s="20"/>
      <c r="O17" s="31"/>
      <c r="P17" s="30"/>
      <c r="Q17" s="20"/>
      <c r="R17" s="31"/>
      <c r="S17" s="30" t="str">
        <f>VLOOKUP($C17,Fixtures!A:I,7,FALSE)</f>
        <v>NOR</v>
      </c>
      <c r="T17" s="20"/>
      <c r="U17" s="31">
        <f>VLOOKUP($B17,PickedPlayers!D:Q,12,FALSE)</f>
        <v>0</v>
      </c>
      <c r="V17" s="30" t="str">
        <f>VLOOKUP($C17,Fixtures!A:I,8,FALSE)</f>
        <v>ARG</v>
      </c>
      <c r="W17" s="20"/>
      <c r="X17" s="31">
        <f>VLOOKUP($B17,PickedPlayers!D:Q,13,FALSE)</f>
        <v>0</v>
      </c>
      <c r="Y17" s="30" t="str">
        <f>VLOOKUP($C17,Fixtures!A:I,9,FALSE)</f>
        <v>FRA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360</v>
      </c>
      <c r="C18" s="29" t="s">
        <v>100</v>
      </c>
      <c r="D18" s="30" t="str">
        <f>VLOOKUP($C18,Fixtures!A:I,2,FALSE)</f>
        <v>UZB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CON</v>
      </c>
      <c r="H18" s="20" t="s">
        <v>2691</v>
      </c>
      <c r="I18" s="31">
        <f>VLOOKUP($B18,PickedPlayers!D:Q,8,FALSE)</f>
        <v>0</v>
      </c>
      <c r="J18" s="30" t="str">
        <f>VLOOKUP($C18,Fixtures!A:I,4,FALSE)</f>
        <v>POR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GHA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SWI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418</v>
      </c>
      <c r="C19" s="29" t="s">
        <v>46</v>
      </c>
      <c r="D19" s="30" t="str">
        <f>VLOOKUP($C19,Fixtures!A:I,2,FALSE)</f>
        <v>BEL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NZL</v>
      </c>
      <c r="H19" s="20" t="s">
        <v>2692</v>
      </c>
      <c r="I19" s="31">
        <f>VLOOKUP($B19,PickedPlayers!D:Q,8,FALSE)</f>
        <v>0</v>
      </c>
      <c r="J19" s="30" t="str">
        <f>VLOOKUP($C19,Fixtures!A:I,4,FALSE)</f>
        <v>IRA</v>
      </c>
      <c r="K19" s="20" t="s">
        <v>2692</v>
      </c>
      <c r="L19" s="31">
        <f>VLOOKUP($B19,PickedPlayers!D:Q,9,FALSE)</f>
        <v>0</v>
      </c>
      <c r="M19" s="30" t="str">
        <f>VLOOKUP($C19,Fixtures!A:I,5,FALSE)</f>
        <v>AUS</v>
      </c>
      <c r="N19" s="20" t="s">
        <v>2692</v>
      </c>
      <c r="O19" s="31">
        <f>VLOOKUP($B19,PickedPlayers!D:Q,10,FALSE)</f>
        <v>0</v>
      </c>
      <c r="P19" s="30" t="str">
        <f>VLOOKUP($C19,Fixtures!A:I,6,FALSE)</f>
        <v>ARG</v>
      </c>
      <c r="Q19" s="20" t="s">
        <v>2695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483</v>
      </c>
      <c r="C20" s="34" t="s">
        <v>69</v>
      </c>
      <c r="D20" s="30" t="str">
        <f>VLOOKUP($C20,Fixtures!A:I,2,FALSE)</f>
        <v>JAP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SWE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TUN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MOR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0"/>
      <c r="B21" s="81"/>
      <c r="C21" s="82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83"/>
      <c r="B22" s="84"/>
      <c r="C22" s="85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96" priority="91" operator="containsText" text="Captain">
      <formula>NOT(ISERROR(SEARCH("Captain",E3)))</formula>
    </cfRule>
    <cfRule type="containsText" dxfId="95" priority="90" operator="containsText" text="Sub">
      <formula>NOT(ISERROR(SEARCH("Sub",E3)))</formula>
    </cfRule>
    <cfRule type="containsText" dxfId="94" priority="89" operator="containsText" text="Off">
      <formula>NOT(ISERROR(SEARCH("Off",E3)))</formula>
    </cfRule>
    <cfRule type="containsText" dxfId="93" priority="88" operator="containsText" text="Vice Captain">
      <formula>NOT(ISERROR(SEARCH("Vice Captain",E3)))</formula>
    </cfRule>
    <cfRule type="containsText" dxfId="92" priority="92" operator="containsText" text="Picked">
      <formula>NOT(ISERROR(SEARCH("Picked",E3)))</formula>
    </cfRule>
  </conditionalFormatting>
  <conditionalFormatting sqref="H3:H20">
    <cfRule type="containsText" dxfId="91" priority="84" operator="containsText" text="Captain">
      <formula>NOT(ISERROR(SEARCH("Captain",H3)))</formula>
    </cfRule>
    <cfRule type="containsText" dxfId="90" priority="85" operator="containsText" text="Picked">
      <formula>NOT(ISERROR(SEARCH("Picked",H3)))</formula>
    </cfRule>
    <cfRule type="containsText" dxfId="89" priority="83" operator="containsText" text="Sub">
      <formula>NOT(ISERROR(SEARCH("Sub",H3)))</formula>
    </cfRule>
    <cfRule type="containsText" dxfId="88" priority="82" operator="containsText" text="Off">
      <formula>NOT(ISERROR(SEARCH("Off",H3)))</formula>
    </cfRule>
    <cfRule type="containsText" dxfId="87" priority="81" operator="containsText" text="Vice Captain">
      <formula>NOT(ISERROR(SEARCH("Vice Captain",H3)))</formula>
    </cfRule>
  </conditionalFormatting>
  <conditionalFormatting sqref="K3:K20">
    <cfRule type="containsText" dxfId="86" priority="78" operator="containsText" text="Sub">
      <formula>NOT(ISERROR(SEARCH("Sub",K3)))</formula>
    </cfRule>
    <cfRule type="containsText" dxfId="85" priority="80" operator="containsText" text="Picked">
      <formula>NOT(ISERROR(SEARCH("Picked",K3)))</formula>
    </cfRule>
    <cfRule type="containsText" dxfId="84" priority="79" operator="containsText" text="Captain">
      <formula>NOT(ISERROR(SEARCH("Captain",K3)))</formula>
    </cfRule>
    <cfRule type="containsText" dxfId="83" priority="77" operator="containsText" text="Off">
      <formula>NOT(ISERROR(SEARCH("Off",K3)))</formula>
    </cfRule>
    <cfRule type="containsText" dxfId="82" priority="76" operator="containsText" text="Vice Captain">
      <formula>NOT(ISERROR(SEARCH("Vice Captain",K3)))</formula>
    </cfRule>
  </conditionalFormatting>
  <conditionalFormatting sqref="M3:M20">
    <cfRule type="containsText" dxfId="81" priority="50" operator="containsText" text="Out">
      <formula>NOT(ISERROR(SEARCH("Out",M3)))</formula>
    </cfRule>
    <cfRule type="containsText" dxfId="80" priority="49" operator="containsText" text="tbc">
      <formula>NOT(ISERROR(SEARCH("tbc",M3)))</formula>
    </cfRule>
  </conditionalFormatting>
  <conditionalFormatting sqref="N3:N20">
    <cfRule type="containsText" dxfId="79" priority="48" operator="containsText" text="Picked">
      <formula>NOT(ISERROR(SEARCH("Picked",N3)))</formula>
    </cfRule>
    <cfRule type="containsText" dxfId="78" priority="47" operator="containsText" text="Captain">
      <formula>NOT(ISERROR(SEARCH("Captain",N3)))</formula>
    </cfRule>
    <cfRule type="containsText" dxfId="77" priority="44" operator="containsText" text="Vice Captain">
      <formula>NOT(ISERROR(SEARCH("Vice Captain",N3)))</formula>
    </cfRule>
    <cfRule type="containsText" dxfId="76" priority="46" operator="containsText" text="Sub">
      <formula>NOT(ISERROR(SEARCH("Sub",N3)))</formula>
    </cfRule>
    <cfRule type="containsText" dxfId="75" priority="45" operator="containsText" text="Off">
      <formula>NOT(ISERROR(SEARCH("Off",N3)))</formula>
    </cfRule>
  </conditionalFormatting>
  <conditionalFormatting sqref="P3:P20">
    <cfRule type="containsText" dxfId="74" priority="43" operator="containsText" text="Out">
      <formula>NOT(ISERROR(SEARCH("Out",P3)))</formula>
    </cfRule>
    <cfRule type="containsText" dxfId="73" priority="42" operator="containsText" text="tbc">
      <formula>NOT(ISERROR(SEARCH("tbc",P3)))</formula>
    </cfRule>
  </conditionalFormatting>
  <conditionalFormatting sqref="Q3:Q20">
    <cfRule type="containsText" dxfId="72" priority="40" operator="containsText" text="Captain">
      <formula>NOT(ISERROR(SEARCH("Captain",Q3)))</formula>
    </cfRule>
    <cfRule type="containsText" dxfId="71" priority="41" operator="containsText" text="Picked">
      <formula>NOT(ISERROR(SEARCH("Picked",Q3)))</formula>
    </cfRule>
    <cfRule type="containsText" dxfId="70" priority="37" operator="containsText" text="Vice Captain">
      <formula>NOT(ISERROR(SEARCH("Vice Captain",Q3)))</formula>
    </cfRule>
    <cfRule type="containsText" dxfId="69" priority="38" operator="containsText" text="Off">
      <formula>NOT(ISERROR(SEARCH("Off",Q3)))</formula>
    </cfRule>
    <cfRule type="containsText" dxfId="68" priority="39" operator="containsText" text="Sub">
      <formula>NOT(ISERROR(SEARCH("Sub",Q3)))</formula>
    </cfRule>
  </conditionalFormatting>
  <conditionalFormatting sqref="S3:S20">
    <cfRule type="containsText" dxfId="67" priority="36" operator="containsText" text="Out">
      <formula>NOT(ISERROR(SEARCH("Out",S3)))</formula>
    </cfRule>
    <cfRule type="containsText" dxfId="66" priority="35" operator="containsText" text="tbc">
      <formula>NOT(ISERROR(SEARCH("tbc",S3)))</formula>
    </cfRule>
  </conditionalFormatting>
  <conditionalFormatting sqref="T3:T20">
    <cfRule type="containsText" dxfId="65" priority="13" operator="containsText" text="Sub">
      <formula>NOT(ISERROR(SEARCH("Sub",T3)))</formula>
    </cfRule>
    <cfRule type="containsText" dxfId="64" priority="15" operator="containsText" text="Picked">
      <formula>NOT(ISERROR(SEARCH("Picked",T3)))</formula>
    </cfRule>
    <cfRule type="containsText" dxfId="63" priority="14" operator="containsText" text="Captain">
      <formula>NOT(ISERROR(SEARCH("Captain",T3)))</formula>
    </cfRule>
    <cfRule type="containsText" dxfId="62" priority="12" operator="containsText" text="Off">
      <formula>NOT(ISERROR(SEARCH("Off",T3)))</formula>
    </cfRule>
    <cfRule type="containsText" dxfId="61" priority="11" operator="containsText" text="Vice Captain">
      <formula>NOT(ISERROR(SEARCH("Vice Captain",T3)))</formula>
    </cfRule>
  </conditionalFormatting>
  <conditionalFormatting sqref="V3:V20">
    <cfRule type="containsText" dxfId="60" priority="29" operator="containsText" text="Out">
      <formula>NOT(ISERROR(SEARCH("Out",V3)))</formula>
    </cfRule>
    <cfRule type="containsText" dxfId="59" priority="28" operator="containsText" text="tbc">
      <formula>NOT(ISERROR(SEARCH("tbc",V3)))</formula>
    </cfRule>
  </conditionalFormatting>
  <conditionalFormatting sqref="W3:W20">
    <cfRule type="containsText" dxfId="58" priority="10" operator="containsText" text="Picked">
      <formula>NOT(ISERROR(SEARCH("Picked",W3)))</formula>
    </cfRule>
    <cfRule type="containsText" dxfId="57" priority="7" operator="containsText" text="Off">
      <formula>NOT(ISERROR(SEARCH("Off",W3)))</formula>
    </cfRule>
    <cfRule type="containsText" dxfId="56" priority="9" operator="containsText" text="Captain">
      <formula>NOT(ISERROR(SEARCH("Captain",W3)))</formula>
    </cfRule>
    <cfRule type="containsText" dxfId="55" priority="8" operator="containsText" text="Sub">
      <formula>NOT(ISERROR(SEARCH("Sub",W3)))</formula>
    </cfRule>
    <cfRule type="containsText" dxfId="54" priority="6" operator="containsText" text="Vice Captain">
      <formula>NOT(ISERROR(SEARCH("Vice Captain",W3)))</formula>
    </cfRule>
  </conditionalFormatting>
  <conditionalFormatting sqref="Y3:Y20">
    <cfRule type="containsText" dxfId="53" priority="22" operator="containsText" text="Out">
      <formula>NOT(ISERROR(SEARCH("Out",Y3)))</formula>
    </cfRule>
    <cfRule type="containsText" dxfId="52" priority="21" operator="containsText" text="tbc">
      <formula>NOT(ISERROR(SEARCH("tbc",Y3)))</formula>
    </cfRule>
  </conditionalFormatting>
  <conditionalFormatting sqref="Z3:Z20">
    <cfRule type="containsText" dxfId="51" priority="2" operator="containsText" text="Off">
      <formula>NOT(ISERROR(SEARCH("Off",Z3)))</formula>
    </cfRule>
    <cfRule type="containsText" dxfId="50" priority="1" operator="containsText" text="Vice Captain">
      <formula>NOT(ISERROR(SEARCH("Vice Captain",Z3)))</formula>
    </cfRule>
    <cfRule type="containsText" dxfId="49" priority="5" operator="containsText" text="Picked">
      <formula>NOT(ISERROR(SEARCH("Picked",Z3)))</formula>
    </cfRule>
    <cfRule type="containsText" dxfId="48" priority="4" operator="containsText" text="Captain">
      <formula>NOT(ISERROR(SEARCH("Captain",Z3)))</formula>
    </cfRule>
    <cfRule type="containsText" dxfId="47" priority="3" operator="containsText" text="Sub">
      <formula>NOT(ISERROR(SEARCH("Sub",Z3)))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W3:W4 T3:T4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E5:E20 Q5:Q20 W5:W20 H5:H20 K5:K20 T5:T20 N5:N20 Z5:Z20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3"/>
  <sheetViews>
    <sheetView topLeftCell="U1" workbookViewId="0">
      <selection activeCell="W10" sqref="W10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4" t="s">
        <v>2700</v>
      </c>
      <c r="B1" s="75"/>
      <c r="C1" s="76"/>
      <c r="D1" s="77" t="s">
        <v>2679</v>
      </c>
      <c r="E1" s="78"/>
      <c r="F1" s="79"/>
      <c r="G1" s="71" t="s">
        <v>2680</v>
      </c>
      <c r="H1" s="72"/>
      <c r="I1" s="73"/>
      <c r="J1" s="71" t="s">
        <v>2681</v>
      </c>
      <c r="K1" s="72"/>
      <c r="L1" s="73"/>
      <c r="M1" s="71" t="s">
        <v>36</v>
      </c>
      <c r="N1" s="72"/>
      <c r="O1" s="73"/>
      <c r="P1" s="71" t="s">
        <v>23</v>
      </c>
      <c r="Q1" s="72"/>
      <c r="R1" s="73"/>
      <c r="S1" s="71" t="s">
        <v>17</v>
      </c>
      <c r="T1" s="72"/>
      <c r="U1" s="73"/>
      <c r="V1" s="71" t="s">
        <v>13</v>
      </c>
      <c r="W1" s="72"/>
      <c r="X1" s="73"/>
      <c r="Y1" s="71" t="s">
        <v>9</v>
      </c>
      <c r="Z1" s="72"/>
      <c r="AA1" s="73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SPA</v>
      </c>
      <c r="W5" s="20" t="s">
        <v>2687</v>
      </c>
      <c r="X5" s="31">
        <f>VLOOKUP($B5,PickedPlayers!D:Q,13,FALSE)</f>
        <v>0</v>
      </c>
      <c r="Y5" s="30" t="str">
        <f>VLOOKUP($C5,Fixtures!A:I,9,FALSE)</f>
        <v>ENG</v>
      </c>
      <c r="Z5" s="20" t="s">
        <v>2687</v>
      </c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2692</v>
      </c>
      <c r="U8" s="31">
        <f>VLOOKUP($B8,PickedPlayers!D:Q,12,FALSE)</f>
        <v>0</v>
      </c>
      <c r="V8" s="30" t="str">
        <f>VLOOKUP($C8,Fixtures!A:I,8,FALSE)</f>
        <v>ENG</v>
      </c>
      <c r="W8" s="20" t="s">
        <v>2692</v>
      </c>
      <c r="X8" s="31">
        <f>VLOOKUP($B8,PickedPlayers!D:Q,13,FALSE)</f>
        <v>0</v>
      </c>
      <c r="Y8" s="30" t="str">
        <f>VLOOKUP($C8,Fixtures!A:I,9,FALSE)</f>
        <v>SPA</v>
      </c>
      <c r="Z8" s="20" t="s">
        <v>2687</v>
      </c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BEL</v>
      </c>
      <c r="T9" s="20" t="s">
        <v>2687</v>
      </c>
      <c r="U9" s="31">
        <f>VLOOKUP($B9,PickedPlayers!D:Q,12,FALSE)</f>
        <v>0</v>
      </c>
      <c r="V9" s="30" t="str">
        <f>VLOOKUP($C9,Fixtures!A:I,8,FALSE)</f>
        <v>FRA</v>
      </c>
      <c r="W9" s="20" t="s">
        <v>2687</v>
      </c>
      <c r="X9" s="31">
        <f>VLOOKUP($B9,PickedPlayers!D:Q,13,FALSE)</f>
        <v>0</v>
      </c>
      <c r="Y9" s="30" t="str">
        <f>VLOOKUP($C9,Fixtures!A:I,9,FALSE)</f>
        <v>ARG</v>
      </c>
      <c r="Z9" s="20" t="s">
        <v>2687</v>
      </c>
      <c r="AA9" s="31">
        <f>VLOOKUP($B9,PickedPlayers!D:Q,14,FALSE)</f>
        <v>0</v>
      </c>
    </row>
    <row r="10" spans="1:27" x14ac:dyDescent="0.25">
      <c r="A10" s="28" t="s">
        <v>2674</v>
      </c>
      <c r="B10" s="19" t="s">
        <v>1365</v>
      </c>
      <c r="C10" s="29" t="s">
        <v>61</v>
      </c>
      <c r="D10" s="30"/>
      <c r="E10" s="20"/>
      <c r="F10" s="31"/>
      <c r="G10" s="30"/>
      <c r="H10" s="20"/>
      <c r="I10" s="31"/>
      <c r="J10" s="30"/>
      <c r="K10" s="20"/>
      <c r="L10" s="31"/>
      <c r="M10" s="30"/>
      <c r="N10" s="20"/>
      <c r="O10" s="31"/>
      <c r="P10" s="30"/>
      <c r="Q10" s="20"/>
      <c r="R10" s="31"/>
      <c r="S10" s="30" t="str">
        <f>VLOOKUP($C10,Fixtures!A:I,7,FALSE)</f>
        <v>MOR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SPA</v>
      </c>
      <c r="W10" s="20" t="s">
        <v>2691</v>
      </c>
      <c r="X10" s="31">
        <f>VLOOKUP($B10,PickedPlayers!D:Q,13,FALSE)</f>
        <v>0</v>
      </c>
      <c r="Y10" s="30" t="str">
        <f>VLOOKUP($C10,Fixtures!A:I,9,FALSE)</f>
        <v>ENG</v>
      </c>
      <c r="Z10" s="20" t="s">
        <v>2687</v>
      </c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320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2691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338</v>
      </c>
      <c r="C12" s="29" t="s">
        <v>61</v>
      </c>
      <c r="D12" s="30" t="str">
        <f>VLOOKUP($C12,Fixtures!A:I,2,FALSE)</f>
        <v>SEN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IRQ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NOR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SWE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PAR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MOR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SPA</v>
      </c>
      <c r="W12" s="20" t="s">
        <v>2687</v>
      </c>
      <c r="X12" s="31">
        <f>VLOOKUP($B12,PickedPlayers!D:Q,13,FALSE)</f>
        <v>0</v>
      </c>
      <c r="Y12" s="30" t="str">
        <f>VLOOKUP($C12,Fixtures!A:I,9,FALSE)</f>
        <v>ENG</v>
      </c>
      <c r="Z12" s="20" t="s">
        <v>2687</v>
      </c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420</v>
      </c>
      <c r="C13" s="29" t="s">
        <v>40</v>
      </c>
      <c r="D13" s="30" t="str">
        <f>VLOOKUP($C13,Fixtures!A:I,2,FALSE)</f>
        <v>ALG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AUT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JOR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CAP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EGY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SWI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ENG</v>
      </c>
      <c r="W13" s="20" t="s">
        <v>2687</v>
      </c>
      <c r="X13" s="31">
        <f>VLOOKUP($B13,PickedPlayers!D:Q,13,FALSE)</f>
        <v>0</v>
      </c>
      <c r="Y13" s="30" t="str">
        <f>VLOOKUP($C13,Fixtures!A:I,9,FALSE)</f>
        <v>SPA</v>
      </c>
      <c r="Z13" s="20" t="s">
        <v>2687</v>
      </c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481</v>
      </c>
      <c r="C14" s="29" t="s">
        <v>123</v>
      </c>
      <c r="D14" s="30" t="str">
        <f>VLOOKUP($C14,Fixtures!A:I,2,FALSE)</f>
        <v>CAP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2689</v>
      </c>
      <c r="L14" s="31">
        <f>VLOOKUP($B14,PickedPlayers!D:Q,9,FALSE)</f>
        <v>0</v>
      </c>
      <c r="M14" s="58" t="s">
        <v>2693</v>
      </c>
      <c r="N14" s="59"/>
      <c r="O14" s="60"/>
      <c r="P14" s="58" t="s">
        <v>2693</v>
      </c>
      <c r="Q14" s="59"/>
      <c r="R14" s="60"/>
      <c r="S14" s="58" t="s">
        <v>2693</v>
      </c>
      <c r="T14" s="59"/>
      <c r="U14" s="60"/>
      <c r="V14" s="58" t="s">
        <v>2693</v>
      </c>
      <c r="W14" s="59"/>
      <c r="X14" s="60"/>
      <c r="Y14" s="58" t="s">
        <v>2693</v>
      </c>
      <c r="Z14" s="59"/>
      <c r="AA14" s="60"/>
    </row>
    <row r="15" spans="1:27" x14ac:dyDescent="0.25">
      <c r="A15" s="28" t="s">
        <v>2675</v>
      </c>
      <c r="B15" s="19" t="s">
        <v>2701</v>
      </c>
      <c r="C15" s="29" t="s">
        <v>40</v>
      </c>
      <c r="D15" s="30" t="str">
        <f>VLOOKUP($C15,Fixtures!A:I,2,FALSE)</f>
        <v>ALG</v>
      </c>
      <c r="E15" s="20"/>
      <c r="F15" s="31"/>
      <c r="G15" s="30"/>
      <c r="H15" s="20"/>
      <c r="I15" s="31"/>
      <c r="J15" s="30"/>
      <c r="K15" s="20"/>
      <c r="L15" s="31"/>
      <c r="M15" s="30" t="str">
        <f>VLOOKUP($C15,Fixtures!A:I,5,FALSE)</f>
        <v>CAP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ENG</v>
      </c>
      <c r="W15" s="20" t="s">
        <v>2687</v>
      </c>
      <c r="X15" s="31">
        <f>VLOOKUP($B15,PickedPlayers!D:Q,13,FALSE)</f>
        <v>0</v>
      </c>
      <c r="Y15" s="30" t="str">
        <f>VLOOKUP($C15,Fixtures!A:I,9,FALSE)</f>
        <v>SPA</v>
      </c>
      <c r="Z15" s="20" t="s">
        <v>2687</v>
      </c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296</v>
      </c>
      <c r="C16" s="29" t="s">
        <v>101</v>
      </c>
      <c r="D16" s="30" t="str">
        <f>VLOOKUP($C16,Fixtures!A:I,2,FALSE)</f>
        <v>CON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CRO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SPA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298</v>
      </c>
      <c r="C17" s="29" t="s">
        <v>74</v>
      </c>
      <c r="D17" s="30" t="str">
        <f>VLOOKUP($C17,Fixtures!A:I,2,FALSE)</f>
        <v>CUR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404</v>
      </c>
      <c r="C18" s="29" t="s">
        <v>69</v>
      </c>
      <c r="D18" s="30" t="str">
        <f>VLOOKUP($C18,Fixtures!A:I,2,FALSE)</f>
        <v>JAP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SWE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TUN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MOR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495</v>
      </c>
      <c r="C19" s="29" t="s">
        <v>109</v>
      </c>
      <c r="D19" s="30" t="str">
        <f>VLOOKUP($C19,Fixtures!A:I,2,FALSE)</f>
        <v>CRO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20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20" t="s">
        <v>2690</v>
      </c>
      <c r="L19" s="31">
        <f>VLOOKUP($B19,PickedPlayers!D:Q,9,FALSE)</f>
        <v>0</v>
      </c>
      <c r="M19" s="30" t="str">
        <f>VLOOKUP($C19,Fixtures!A:I,5,FALSE)</f>
        <v>CON</v>
      </c>
      <c r="N19" s="20" t="s">
        <v>2689</v>
      </c>
      <c r="O19" s="31">
        <f>VLOOKUP($B19,PickedPlayers!D:Q,10,FALSE)</f>
        <v>0</v>
      </c>
      <c r="P19" s="30" t="str">
        <f>VLOOKUP($C19,Fixtures!A:I,6,FALSE)</f>
        <v>MEX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NOR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ARG</v>
      </c>
      <c r="W19" s="20" t="s">
        <v>2687</v>
      </c>
      <c r="X19" s="31">
        <f>VLOOKUP($B19,PickedPlayers!D:Q,13,FALSE)</f>
        <v>0</v>
      </c>
      <c r="Y19" s="30" t="str">
        <f>VLOOKUP($C19,Fixtures!A:I,9,FALSE)</f>
        <v>FRA</v>
      </c>
      <c r="Z19" s="20" t="s">
        <v>2687</v>
      </c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535</v>
      </c>
      <c r="C20" s="34" t="s">
        <v>113</v>
      </c>
      <c r="D20" s="30" t="str">
        <f>VLOOKUP($C20,Fixtures!A:I,2,FALSE)</f>
        <v>EGY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IRA</v>
      </c>
      <c r="H20" s="35" t="s">
        <v>2685</v>
      </c>
      <c r="I20" s="31">
        <f>VLOOKUP($B20,PickedPlayers!D:Q,8,FALSE)</f>
        <v>0</v>
      </c>
      <c r="J20" s="30" t="str">
        <f>VLOOKUP($C20,Fixtures!A:I,4,FALSE)</f>
        <v>NZL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SEN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USA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SPA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50"/>
      <c r="B21" s="51"/>
      <c r="C21" s="51"/>
      <c r="D21" s="65"/>
      <c r="E21" s="66"/>
      <c r="F21" s="67"/>
      <c r="G21" s="65"/>
      <c r="H21" s="66"/>
      <c r="I21" s="67"/>
      <c r="J21" s="65"/>
      <c r="K21" s="66"/>
      <c r="L21" s="67"/>
      <c r="M21" s="65"/>
      <c r="N21" s="66"/>
      <c r="O21" s="67"/>
      <c r="P21" s="65"/>
      <c r="Q21" s="66"/>
      <c r="R21" s="67"/>
      <c r="S21" s="65"/>
      <c r="T21" s="66"/>
      <c r="U21" s="67"/>
      <c r="V21" s="65"/>
      <c r="W21" s="66"/>
      <c r="X21" s="67"/>
      <c r="Y21" s="65"/>
      <c r="Z21" s="66"/>
      <c r="AA21" s="67"/>
    </row>
    <row r="22" spans="1:27" s="18" customFormat="1" ht="15.75" thickBot="1" x14ac:dyDescent="0.3">
      <c r="A22" s="52"/>
      <c r="B22" s="53"/>
      <c r="C22" s="53"/>
      <c r="D22" s="68"/>
      <c r="E22" s="69"/>
      <c r="F22" s="70"/>
      <c r="G22" s="68"/>
      <c r="H22" s="69"/>
      <c r="I22" s="70"/>
      <c r="J22" s="68"/>
      <c r="K22" s="69"/>
      <c r="L22" s="70"/>
      <c r="M22" s="68"/>
      <c r="N22" s="69"/>
      <c r="O22" s="70"/>
      <c r="P22" s="68"/>
      <c r="Q22" s="69"/>
      <c r="R22" s="70"/>
      <c r="S22" s="68"/>
      <c r="T22" s="69"/>
      <c r="U22" s="70"/>
      <c r="V22" s="68"/>
      <c r="W22" s="69"/>
      <c r="X22" s="70"/>
      <c r="Y22" s="68"/>
      <c r="Z22" s="69"/>
      <c r="AA22" s="70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20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20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20 P3:P20 S3:S20 V3:V20 Y3:Y20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20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20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20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20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20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E5:E20 Z5:Z20 T5:T20 H5:H20 K5:K20 W5:W20 Q5:Q20 N5:N20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85" activePane="bottomLeft" state="frozen"/>
      <selection activeCell="C1" sqref="C1"/>
      <selection pane="bottomLeft" activeCell="L106" sqref="L106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 t="s">
        <v>2725</v>
      </c>
      <c r="J90" s="39" t="s">
        <v>2720</v>
      </c>
      <c r="K90" s="39" t="s">
        <v>2720</v>
      </c>
      <c r="L90" s="39" t="s">
        <v>2730</v>
      </c>
      <c r="M90" s="39" t="s">
        <v>2717</v>
      </c>
      <c r="N90" s="39"/>
      <c r="O90" s="39" t="s">
        <v>2717</v>
      </c>
      <c r="P90" s="39" t="s">
        <v>2720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 t="s">
        <v>2746</v>
      </c>
      <c r="J91" s="39" t="s">
        <v>2747</v>
      </c>
      <c r="K91" s="39" t="s">
        <v>2734</v>
      </c>
      <c r="L91" s="39" t="s">
        <v>2725</v>
      </c>
      <c r="M91" s="39" t="s">
        <v>2734</v>
      </c>
      <c r="N91" s="39"/>
      <c r="O91" s="39" t="s">
        <v>2724</v>
      </c>
      <c r="P91" s="39" t="s">
        <v>2724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 t="s">
        <v>2730</v>
      </c>
      <c r="J92" s="39" t="s">
        <v>2730</v>
      </c>
      <c r="K92" s="39" t="s">
        <v>2713</v>
      </c>
      <c r="L92" s="39" t="s">
        <v>2750</v>
      </c>
      <c r="M92" s="39" t="s">
        <v>2717</v>
      </c>
      <c r="N92" s="39" t="s">
        <v>2717</v>
      </c>
      <c r="O92" s="39" t="s">
        <v>2713</v>
      </c>
      <c r="P92" s="39" t="s">
        <v>2717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 t="s">
        <v>2730</v>
      </c>
      <c r="J93" s="39" t="s">
        <v>2727</v>
      </c>
      <c r="K93" s="39" t="s">
        <v>2717</v>
      </c>
      <c r="L93" s="39" t="s">
        <v>2770</v>
      </c>
      <c r="M93" s="39" t="s">
        <v>2715</v>
      </c>
      <c r="N93" s="39" t="s">
        <v>2717</v>
      </c>
      <c r="O93" s="39" t="s">
        <v>2717</v>
      </c>
      <c r="P93" s="39" t="s">
        <v>2717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 t="s">
        <v>2770</v>
      </c>
      <c r="J94" s="39" t="s">
        <v>2717</v>
      </c>
      <c r="K94" s="39" t="s">
        <v>2720</v>
      </c>
      <c r="L94" s="39" t="s">
        <v>2726</v>
      </c>
      <c r="M94" s="39" t="s">
        <v>2724</v>
      </c>
      <c r="N94" s="39" t="s">
        <v>2727</v>
      </c>
      <c r="O94" s="39" t="s">
        <v>2727</v>
      </c>
      <c r="P94" s="39" t="s">
        <v>2727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 t="s">
        <v>2770</v>
      </c>
      <c r="J95" s="39" t="s">
        <v>2714</v>
      </c>
      <c r="K95" s="39" t="s">
        <v>2713</v>
      </c>
      <c r="L95" s="39" t="s">
        <v>2713</v>
      </c>
      <c r="M95" s="39" t="s">
        <v>2712</v>
      </c>
      <c r="N95" s="39" t="s">
        <v>2717</v>
      </c>
      <c r="O95" s="39" t="s">
        <v>2717</v>
      </c>
      <c r="P95" s="39" t="s">
        <v>2717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 t="s">
        <v>2713</v>
      </c>
      <c r="J96" s="39" t="s">
        <v>2722</v>
      </c>
      <c r="K96" s="39" t="s">
        <v>2734</v>
      </c>
      <c r="L96" s="39" t="s">
        <v>2738</v>
      </c>
      <c r="M96" s="39" t="s">
        <v>2715</v>
      </c>
      <c r="N96" s="39" t="s">
        <v>2712</v>
      </c>
      <c r="O96" s="39" t="s">
        <v>2712</v>
      </c>
      <c r="P96" s="39" t="s">
        <v>2712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 t="s">
        <v>2713</v>
      </c>
      <c r="J97" s="39" t="s">
        <v>2727</v>
      </c>
      <c r="K97" s="39" t="s">
        <v>2715</v>
      </c>
      <c r="L97" s="39" t="s">
        <v>2713</v>
      </c>
      <c r="M97" s="39" t="s">
        <v>2713</v>
      </c>
      <c r="N97" s="39" t="s">
        <v>2717</v>
      </c>
      <c r="O97" s="39" t="s">
        <v>2717</v>
      </c>
      <c r="P97" s="39" t="s">
        <v>2717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2783</v>
      </c>
      <c r="H98" s="38"/>
      <c r="I98" s="39" t="s">
        <v>2714</v>
      </c>
      <c r="J98" s="39" t="s">
        <v>2717</v>
      </c>
      <c r="K98" s="39" t="s">
        <v>2712</v>
      </c>
      <c r="L98" s="39" t="s">
        <v>2714</v>
      </c>
      <c r="M98" s="39" t="s">
        <v>2740</v>
      </c>
      <c r="N98" s="39" t="s">
        <v>2713</v>
      </c>
      <c r="O98" s="39"/>
      <c r="P98" s="39" t="s">
        <v>2715</v>
      </c>
      <c r="Q98" s="3" t="e">
        <f t="shared" si="19"/>
        <v>#VALUE!</v>
      </c>
      <c r="R98" s="3" t="str">
        <f t="shared" si="20"/>
        <v>H</v>
      </c>
      <c r="S98" s="3" t="str">
        <f t="shared" si="21"/>
        <v>D</v>
      </c>
      <c r="T98" s="3" t="str">
        <f t="shared" si="22"/>
        <v>H</v>
      </c>
      <c r="U98" s="3" t="str">
        <f t="shared" si="23"/>
        <v>H</v>
      </c>
      <c r="V98" s="3" t="str">
        <f t="shared" si="24"/>
        <v>D</v>
      </c>
      <c r="W98" s="3" t="str">
        <f t="shared" si="25"/>
        <v>H</v>
      </c>
      <c r="X98" s="3" t="e">
        <f t="shared" si="26"/>
        <v>#VALUE!</v>
      </c>
      <c r="Y98" s="3" t="str">
        <f t="shared" si="27"/>
        <v>H</v>
      </c>
      <c r="Z98" s="3" t="e">
        <f t="shared" si="28"/>
        <v>#VALUE!</v>
      </c>
      <c r="AA98" s="3" t="e">
        <f t="shared" si="29"/>
        <v>#VALUE!</v>
      </c>
      <c r="AB98" s="3" t="e">
        <f t="shared" si="30"/>
        <v>#VALUE!</v>
      </c>
      <c r="AC98" s="3" t="e">
        <f t="shared" si="31"/>
        <v>#VALUE!</v>
      </c>
      <c r="AD98" s="3" t="e">
        <f t="shared" si="32"/>
        <v>#VALUE!</v>
      </c>
      <c r="AE98" s="3" t="e">
        <f t="shared" si="33"/>
        <v>#VALUE!</v>
      </c>
      <c r="AF98" s="3" t="str">
        <f t="shared" si="34"/>
        <v/>
      </c>
      <c r="AG98" s="3" t="e">
        <f t="shared" si="35"/>
        <v>#VALUE!</v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 t="s">
        <v>2730</v>
      </c>
      <c r="J99" s="39" t="s">
        <v>2727</v>
      </c>
      <c r="K99" s="39" t="s">
        <v>2715</v>
      </c>
      <c r="L99" s="39" t="s">
        <v>2734</v>
      </c>
      <c r="M99" s="39" t="s">
        <v>2712</v>
      </c>
      <c r="N99" s="39" t="s">
        <v>2715</v>
      </c>
      <c r="O99" s="39"/>
      <c r="P99" s="39" t="s">
        <v>2715</v>
      </c>
      <c r="Q99" s="3" t="e">
        <f t="shared" si="19"/>
        <v>#VALUE!</v>
      </c>
      <c r="R99" s="3" t="str">
        <f t="shared" si="20"/>
        <v>D</v>
      </c>
      <c r="S99" s="3" t="str">
        <f t="shared" si="21"/>
        <v>A</v>
      </c>
      <c r="T99" s="3" t="str">
        <f t="shared" si="22"/>
        <v>H</v>
      </c>
      <c r="U99" s="3" t="str">
        <f t="shared" si="23"/>
        <v>H</v>
      </c>
      <c r="V99" s="3" t="str">
        <f t="shared" si="24"/>
        <v>H</v>
      </c>
      <c r="W99" s="3" t="str">
        <f t="shared" si="25"/>
        <v>H</v>
      </c>
      <c r="X99" s="3" t="e">
        <f t="shared" si="26"/>
        <v>#VALUE!</v>
      </c>
      <c r="Y99" s="3" t="str">
        <f t="shared" si="27"/>
        <v>H</v>
      </c>
      <c r="Z99" s="3" t="e">
        <f t="shared" si="28"/>
        <v>#VALUE!</v>
      </c>
      <c r="AA99" s="3" t="e">
        <f t="shared" si="29"/>
        <v>#VALUE!</v>
      </c>
      <c r="AB99" s="3" t="e">
        <f t="shared" si="30"/>
        <v>#VALUE!</v>
      </c>
      <c r="AC99" s="3" t="e">
        <f t="shared" si="31"/>
        <v>#VALUE!</v>
      </c>
      <c r="AD99" s="3" t="e">
        <f t="shared" si="32"/>
        <v>#VALUE!</v>
      </c>
      <c r="AE99" s="3" t="e">
        <f t="shared" si="33"/>
        <v>#VALUE!</v>
      </c>
      <c r="AF99" s="3" t="str">
        <f t="shared" si="34"/>
        <v/>
      </c>
      <c r="AG99" s="3" t="e">
        <f t="shared" si="35"/>
        <v>#VALUE!</v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 t="s">
        <v>2726</v>
      </c>
      <c r="J100" s="39" t="s">
        <v>2770</v>
      </c>
      <c r="K100" s="39" t="s">
        <v>2717</v>
      </c>
      <c r="L100" s="39" t="s">
        <v>2712</v>
      </c>
      <c r="M100" s="39" t="s">
        <v>2727</v>
      </c>
      <c r="N100" s="39" t="s">
        <v>2727</v>
      </c>
      <c r="O100" s="39"/>
      <c r="P100" s="39" t="s">
        <v>2717</v>
      </c>
      <c r="Q100" s="3" t="e">
        <f t="shared" si="19"/>
        <v>#VALUE!</v>
      </c>
      <c r="R100" s="3" t="str">
        <f t="shared" si="20"/>
        <v>A</v>
      </c>
      <c r="S100" s="3" t="str">
        <f t="shared" si="21"/>
        <v>A</v>
      </c>
      <c r="T100" s="3" t="str">
        <f t="shared" si="22"/>
        <v>D</v>
      </c>
      <c r="U100" s="3" t="str">
        <f t="shared" si="23"/>
        <v>H</v>
      </c>
      <c r="V100" s="3" t="str">
        <f t="shared" si="24"/>
        <v>A</v>
      </c>
      <c r="W100" s="3" t="str">
        <f t="shared" si="25"/>
        <v>A</v>
      </c>
      <c r="X100" s="3" t="e">
        <f t="shared" si="26"/>
        <v>#VALUE!</v>
      </c>
      <c r="Y100" s="3" t="str">
        <f t="shared" si="27"/>
        <v>D</v>
      </c>
      <c r="Z100" s="3" t="e">
        <f t="shared" si="28"/>
        <v>#VALUE!</v>
      </c>
      <c r="AA100" s="3" t="e">
        <f t="shared" si="29"/>
        <v>#VALUE!</v>
      </c>
      <c r="AB100" s="3" t="e">
        <f t="shared" si="30"/>
        <v>#VALUE!</v>
      </c>
      <c r="AC100" s="3" t="e">
        <f t="shared" si="31"/>
        <v>#VALUE!</v>
      </c>
      <c r="AD100" s="3" t="e">
        <f t="shared" si="32"/>
        <v>#VALUE!</v>
      </c>
      <c r="AE100" s="3" t="e">
        <f t="shared" si="33"/>
        <v>#VALUE!</v>
      </c>
      <c r="AF100" s="3" t="str">
        <f t="shared" si="34"/>
        <v/>
      </c>
      <c r="AG100" s="3" t="e">
        <f t="shared" si="35"/>
        <v>#VALUE!</v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 t="s">
        <v>2713</v>
      </c>
      <c r="J101" s="39" t="s">
        <v>2713</v>
      </c>
      <c r="K101" s="39" t="s">
        <v>2713</v>
      </c>
      <c r="L101" s="39" t="s">
        <v>2730</v>
      </c>
      <c r="M101" s="39" t="s">
        <v>2717</v>
      </c>
      <c r="N101" s="39" t="s">
        <v>2715</v>
      </c>
      <c r="O101" s="39"/>
      <c r="P101" s="39" t="s">
        <v>2715</v>
      </c>
      <c r="Q101" s="3" t="e">
        <f t="shared" si="19"/>
        <v>#VALUE!</v>
      </c>
      <c r="R101" s="3" t="str">
        <f t="shared" si="20"/>
        <v>H</v>
      </c>
      <c r="S101" s="3" t="str">
        <f t="shared" si="21"/>
        <v>H</v>
      </c>
      <c r="T101" s="3" t="str">
        <f t="shared" si="22"/>
        <v>H</v>
      </c>
      <c r="U101" s="3" t="str">
        <f t="shared" si="23"/>
        <v>D</v>
      </c>
      <c r="V101" s="3" t="str">
        <f t="shared" si="24"/>
        <v>D</v>
      </c>
      <c r="W101" s="3" t="str">
        <f t="shared" si="25"/>
        <v>H</v>
      </c>
      <c r="X101" s="3" t="e">
        <f t="shared" si="26"/>
        <v>#VALUE!</v>
      </c>
      <c r="Y101" s="3" t="str">
        <f t="shared" si="27"/>
        <v>H</v>
      </c>
      <c r="Z101" s="3" t="e">
        <f t="shared" si="28"/>
        <v>#VALUE!</v>
      </c>
      <c r="AA101" s="3" t="e">
        <f t="shared" si="29"/>
        <v>#VALUE!</v>
      </c>
      <c r="AB101" s="3" t="e">
        <f t="shared" si="30"/>
        <v>#VALUE!</v>
      </c>
      <c r="AC101" s="3" t="e">
        <f t="shared" si="31"/>
        <v>#VALUE!</v>
      </c>
      <c r="AD101" s="3" t="e">
        <f t="shared" si="32"/>
        <v>#VALUE!</v>
      </c>
      <c r="AE101" s="3" t="e">
        <f t="shared" si="33"/>
        <v>#VALUE!</v>
      </c>
      <c r="AF101" s="3" t="str">
        <f t="shared" si="34"/>
        <v/>
      </c>
      <c r="AG101" s="3" t="e">
        <f t="shared" si="35"/>
        <v>#VALUE!</v>
      </c>
    </row>
    <row r="102" spans="1:33" x14ac:dyDescent="0.25">
      <c r="A102" s="28" t="s">
        <v>14</v>
      </c>
      <c r="B102" s="19" t="s">
        <v>2895</v>
      </c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 t="s">
        <v>2714</v>
      </c>
      <c r="K102" s="39" t="s">
        <v>2713</v>
      </c>
      <c r="L102" s="39" t="s">
        <v>2897</v>
      </c>
      <c r="M102" s="39" t="s">
        <v>2715</v>
      </c>
      <c r="N102" s="39"/>
      <c r="O102" s="39"/>
      <c r="P102" s="39" t="s">
        <v>2717</v>
      </c>
      <c r="Q102" s="3" t="e">
        <f t="shared" si="19"/>
        <v>#VALUE!</v>
      </c>
      <c r="R102" s="3" t="e">
        <f t="shared" si="20"/>
        <v>#VALUE!</v>
      </c>
      <c r="S102" s="3" t="str">
        <f t="shared" si="21"/>
        <v>H</v>
      </c>
      <c r="T102" s="3" t="str">
        <f t="shared" si="22"/>
        <v>H</v>
      </c>
      <c r="U102" s="3" t="str">
        <f t="shared" si="23"/>
        <v>A</v>
      </c>
      <c r="V102" s="3" t="str">
        <f t="shared" si="24"/>
        <v>H</v>
      </c>
      <c r="W102" s="3" t="e">
        <f t="shared" si="25"/>
        <v>#VALUE!</v>
      </c>
      <c r="X102" s="3" t="e">
        <f t="shared" si="26"/>
        <v>#VALUE!</v>
      </c>
      <c r="Y102" s="3" t="str">
        <f t="shared" si="27"/>
        <v>D</v>
      </c>
      <c r="Z102" s="3" t="str">
        <f t="shared" si="28"/>
        <v/>
      </c>
      <c r="AA102" s="3" t="e">
        <f t="shared" si="29"/>
        <v>#VALUE!</v>
      </c>
      <c r="AB102" s="3" t="e">
        <f t="shared" si="30"/>
        <v>#VALUE!</v>
      </c>
      <c r="AC102" s="3" t="e">
        <f t="shared" si="31"/>
        <v>#VALUE!</v>
      </c>
      <c r="AD102" s="3" t="e">
        <f t="shared" si="32"/>
        <v>#VALUE!</v>
      </c>
      <c r="AE102" s="3" t="str">
        <f t="shared" si="33"/>
        <v/>
      </c>
      <c r="AF102" s="3" t="str">
        <f t="shared" si="34"/>
        <v/>
      </c>
      <c r="AG102" s="3" t="e">
        <f t="shared" si="35"/>
        <v>#VALUE!</v>
      </c>
    </row>
    <row r="103" spans="1:33" x14ac:dyDescent="0.25">
      <c r="A103" s="28" t="s">
        <v>12</v>
      </c>
      <c r="B103" s="19" t="s">
        <v>2896</v>
      </c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 t="s">
        <v>2730</v>
      </c>
      <c r="K103" s="39" t="s">
        <v>2713</v>
      </c>
      <c r="L103" s="39" t="s">
        <v>2737</v>
      </c>
      <c r="M103" s="39" t="s">
        <v>2717</v>
      </c>
      <c r="N103" s="39"/>
      <c r="O103" s="39"/>
      <c r="P103" s="39" t="s">
        <v>2717</v>
      </c>
      <c r="Q103" s="3" t="e">
        <f t="shared" si="19"/>
        <v>#VALUE!</v>
      </c>
      <c r="R103" s="3" t="e">
        <f t="shared" si="20"/>
        <v>#VALUE!</v>
      </c>
      <c r="S103" s="3" t="str">
        <f t="shared" si="21"/>
        <v>D</v>
      </c>
      <c r="T103" s="3" t="str">
        <f t="shared" si="22"/>
        <v>H</v>
      </c>
      <c r="U103" s="3" t="str">
        <f t="shared" si="23"/>
        <v>H</v>
      </c>
      <c r="V103" s="3" t="str">
        <f t="shared" si="24"/>
        <v>D</v>
      </c>
      <c r="W103" s="3" t="e">
        <f t="shared" si="25"/>
        <v>#VALUE!</v>
      </c>
      <c r="X103" s="3" t="e">
        <f t="shared" si="26"/>
        <v>#VALUE!</v>
      </c>
      <c r="Y103" s="3" t="str">
        <f t="shared" si="27"/>
        <v>D</v>
      </c>
      <c r="Z103" s="3" t="str">
        <f t="shared" si="28"/>
        <v/>
      </c>
      <c r="AA103" s="3" t="e">
        <f t="shared" si="29"/>
        <v>#VALUE!</v>
      </c>
      <c r="AB103" s="3" t="e">
        <f t="shared" si="30"/>
        <v>#VALUE!</v>
      </c>
      <c r="AC103" s="3" t="e">
        <f t="shared" si="31"/>
        <v>#VALUE!</v>
      </c>
      <c r="AD103" s="3" t="e">
        <f t="shared" si="32"/>
        <v>#VALUE!</v>
      </c>
      <c r="AE103" s="3" t="str">
        <f t="shared" si="33"/>
        <v/>
      </c>
      <c r="AF103" s="3" t="str">
        <f t="shared" si="34"/>
        <v/>
      </c>
      <c r="AG103" s="3" t="e">
        <f t="shared" si="35"/>
        <v>#VALUE!</v>
      </c>
    </row>
    <row r="104" spans="1:33" x14ac:dyDescent="0.25">
      <c r="A104" s="28" t="s">
        <v>10</v>
      </c>
      <c r="B104" s="19" t="s">
        <v>2898</v>
      </c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 t="s">
        <v>2740</v>
      </c>
      <c r="K104" s="39"/>
      <c r="L104" s="39" t="s">
        <v>2900</v>
      </c>
      <c r="M104" s="39" t="s">
        <v>2725</v>
      </c>
      <c r="N104" s="39"/>
      <c r="O104" s="39"/>
      <c r="P104" s="39" t="s">
        <v>2713</v>
      </c>
      <c r="Q104" s="3" t="e">
        <f t="shared" si="19"/>
        <v>#VALUE!</v>
      </c>
      <c r="R104" s="3" t="e">
        <f t="shared" si="20"/>
        <v>#VALUE!</v>
      </c>
      <c r="S104" s="3" t="str">
        <f t="shared" si="21"/>
        <v>D</v>
      </c>
      <c r="T104" s="3" t="e">
        <f t="shared" si="22"/>
        <v>#VALUE!</v>
      </c>
      <c r="U104" s="3" t="str">
        <f t="shared" si="23"/>
        <v>A</v>
      </c>
      <c r="V104" s="3" t="str">
        <f t="shared" si="24"/>
        <v>A</v>
      </c>
      <c r="W104" s="3" t="e">
        <f t="shared" si="25"/>
        <v>#VALUE!</v>
      </c>
      <c r="X104" s="3" t="e">
        <f t="shared" si="26"/>
        <v>#VALUE!</v>
      </c>
      <c r="Y104" s="3" t="str">
        <f t="shared" si="27"/>
        <v>H</v>
      </c>
      <c r="Z104" s="3" t="str">
        <f t="shared" si="28"/>
        <v/>
      </c>
      <c r="AA104" s="3" t="e">
        <f t="shared" si="29"/>
        <v>#VALUE!</v>
      </c>
      <c r="AB104" s="3" t="str">
        <f t="shared" si="30"/>
        <v/>
      </c>
      <c r="AC104" s="3" t="e">
        <f t="shared" si="31"/>
        <v>#VALUE!</v>
      </c>
      <c r="AD104" s="3" t="e">
        <f t="shared" si="32"/>
        <v>#VALUE!</v>
      </c>
      <c r="AE104" s="3" t="str">
        <f t="shared" si="33"/>
        <v/>
      </c>
      <c r="AF104" s="3" t="str">
        <f t="shared" si="34"/>
        <v/>
      </c>
      <c r="AG104" s="3" t="e">
        <f t="shared" si="35"/>
        <v>#VALUE!</v>
      </c>
    </row>
    <row r="105" spans="1:33" ht="15.75" thickBot="1" x14ac:dyDescent="0.3">
      <c r="A105" s="32" t="s">
        <v>7</v>
      </c>
      <c r="B105" s="33" t="s">
        <v>2899</v>
      </c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 t="s">
        <v>2740</v>
      </c>
      <c r="K105" s="39"/>
      <c r="L105" s="39" t="s">
        <v>2770</v>
      </c>
      <c r="M105" s="39" t="s">
        <v>2712</v>
      </c>
      <c r="N105" s="39"/>
      <c r="O105" s="39"/>
      <c r="P105" s="39" t="s">
        <v>2717</v>
      </c>
      <c r="Q105" s="3" t="e">
        <f t="shared" si="19"/>
        <v>#VALUE!</v>
      </c>
      <c r="R105" s="3" t="e">
        <f t="shared" si="20"/>
        <v>#VALUE!</v>
      </c>
      <c r="S105" s="3" t="str">
        <f t="shared" si="21"/>
        <v>D</v>
      </c>
      <c r="T105" s="3" t="e">
        <f t="shared" si="22"/>
        <v>#VALUE!</v>
      </c>
      <c r="U105" s="3" t="str">
        <f t="shared" si="23"/>
        <v>A</v>
      </c>
      <c r="V105" s="3" t="str">
        <f t="shared" si="24"/>
        <v>H</v>
      </c>
      <c r="W105" s="3" t="e">
        <f t="shared" si="25"/>
        <v>#VALUE!</v>
      </c>
      <c r="X105" s="3" t="e">
        <f t="shared" si="26"/>
        <v>#VALUE!</v>
      </c>
      <c r="Y105" s="3" t="str">
        <f t="shared" si="27"/>
        <v>D</v>
      </c>
      <c r="Z105" s="3" t="str">
        <f t="shared" si="28"/>
        <v/>
      </c>
      <c r="AA105" s="3" t="e">
        <f t="shared" si="29"/>
        <v>#VALUE!</v>
      </c>
      <c r="AB105" s="3" t="str">
        <f t="shared" si="30"/>
        <v/>
      </c>
      <c r="AC105" s="3" t="e">
        <f t="shared" si="31"/>
        <v>#VALUE!</v>
      </c>
      <c r="AD105" s="3" t="e">
        <f t="shared" si="32"/>
        <v>#VALUE!</v>
      </c>
      <c r="AE105" s="3" t="str">
        <f t="shared" si="33"/>
        <v/>
      </c>
      <c r="AF105" s="3" t="str">
        <f t="shared" si="34"/>
        <v/>
      </c>
      <c r="AG105" s="3" t="e">
        <f t="shared" si="35"/>
        <v>#VALUE!</v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8" workbookViewId="0">
      <selection activeCell="I43" sqref="I43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2792</v>
      </c>
      <c r="H3" s="3" t="s">
        <v>2819</v>
      </c>
      <c r="I3" s="3" t="s">
        <v>2799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2799</v>
      </c>
      <c r="H6" s="3" t="s">
        <v>2824</v>
      </c>
      <c r="I6" s="3" t="s">
        <v>2824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2824</v>
      </c>
      <c r="G7" s="3" t="s">
        <v>2824</v>
      </c>
      <c r="H7" s="3" t="s">
        <v>2824</v>
      </c>
      <c r="I7" s="3" t="s">
        <v>2824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2824</v>
      </c>
      <c r="H8" s="3" t="s">
        <v>2824</v>
      </c>
      <c r="I8" s="3" t="s">
        <v>2824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2824</v>
      </c>
      <c r="H9" s="3" t="s">
        <v>2824</v>
      </c>
      <c r="I9" s="3" t="s">
        <v>2824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2824</v>
      </c>
      <c r="H11" s="3" t="s">
        <v>2824</v>
      </c>
      <c r="I11" s="3" t="s">
        <v>2824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2824</v>
      </c>
      <c r="H17" s="3" t="s">
        <v>2824</v>
      </c>
      <c r="I17" s="3" t="s">
        <v>2824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2810</v>
      </c>
      <c r="H18" s="3" t="s">
        <v>2789</v>
      </c>
      <c r="I18" s="3" t="s">
        <v>2836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2806</v>
      </c>
      <c r="H19" s="3" t="s">
        <v>2799</v>
      </c>
      <c r="I19" s="3" t="s">
        <v>2819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2824</v>
      </c>
      <c r="H28" s="3" t="s">
        <v>2824</v>
      </c>
      <c r="I28" s="3" t="s">
        <v>2824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2836</v>
      </c>
      <c r="H29" s="3" t="s">
        <v>2824</v>
      </c>
      <c r="I29" s="3" t="s">
        <v>2824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2819</v>
      </c>
      <c r="H32" s="3" t="s">
        <v>2824</v>
      </c>
      <c r="I32" s="3" t="s">
        <v>2824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2824</v>
      </c>
      <c r="H34" s="3" t="s">
        <v>2824</v>
      </c>
      <c r="I34" s="3" t="s">
        <v>2824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2824</v>
      </c>
      <c r="H35" s="3" t="s">
        <v>2824</v>
      </c>
      <c r="I35" s="3" t="s">
        <v>2824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2830</v>
      </c>
      <c r="H42" s="3" t="s">
        <v>2836</v>
      </c>
      <c r="I42" s="3" t="s">
        <v>2789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2789</v>
      </c>
      <c r="H44" s="3" t="s">
        <v>2824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2824</v>
      </c>
      <c r="H47" s="3" t="s">
        <v>2824</v>
      </c>
      <c r="I47" s="3" t="s">
        <v>2824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93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hidden="1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hidden="1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hidden="1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hidden="1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hidden="1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hidden="1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hidden="1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hidden="1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hidden="1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hidden="1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hidden="1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hidden="1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hidden="1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hidden="1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hidden="1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hidden="1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hidden="1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hidden="1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hidden="1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hidden="1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hidden="1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hidden="1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hidden="1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hidden="1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hidden="1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hidden="1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hidden="1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hidden="1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hidden="1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hidden="1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hidden="1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hidden="1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hidden="1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hidden="1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hidden="1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hidden="1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hidden="1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hidden="1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hidden="1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hidden="1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hidden="1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hidden="1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hidden="1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hidden="1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hidden="1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hidden="1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hidden="1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hidden="1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hidden="1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hidden="1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hidden="1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hidden="1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hidden="1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hidden="1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hidden="1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hidden="1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hidden="1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hidden="1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hidden="1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hidden="1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hidden="1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hidden="1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hidden="1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hidden="1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hidden="1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hidden="1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hidden="1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hidden="1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hidden="1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hidden="1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hidden="1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hidden="1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hidden="1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hidden="1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hidden="1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hidden="1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hidden="1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hidden="1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hidden="1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hidden="1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hidden="1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hidden="1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hidden="1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hidden="1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hidden="1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hidden="1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hidden="1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hidden="1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hidden="1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hidden="1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hidden="1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hidden="1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hidden="1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hidden="1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hidden="1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hidden="1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hidden="1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hidden="1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hidden="1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hidden="1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hidden="1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hidden="1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hidden="1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hidden="1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hidden="1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hidden="1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hidden="1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hidden="1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hidden="1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hidden="1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hidden="1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hidden="1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hidden="1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hidden="1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hidden="1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hidden="1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hidden="1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hidden="1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hidden="1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hidden="1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hidden="1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hidden="1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hidden="1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hidden="1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hidden="1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hidden="1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hidden="1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hidden="1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hidden="1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hidden="1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hidden="1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hidden="1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hidden="1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hidden="1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hidden="1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hidden="1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hidden="1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hidden="1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hidden="1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hidden="1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hidden="1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hidden="1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hidden="1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hidden="1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hidden="1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hidden="1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hidden="1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hidden="1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hidden="1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hidden="1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hidden="1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hidden="1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hidden="1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hidden="1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hidden="1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hidden="1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hidden="1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hidden="1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hidden="1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hidden="1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hidden="1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hidden="1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hidden="1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hidden="1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hidden="1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hidden="1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hidden="1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hidden="1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hidden="1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hidden="1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hidden="1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hidden="1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hidden="1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hidden="1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hidden="1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hidden="1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hidden="1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hidden="1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hidden="1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hidden="1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hidden="1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hidden="1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rgentina"/>
        <filter val="Belgium"/>
        <filter val="England"/>
        <filter val="France"/>
        <filter val="Morocco"/>
        <filter val="Norway"/>
        <filter val="Spain"/>
        <filter val="Switzerland"/>
      </filters>
    </filterColumn>
    <filterColumn colId="4">
      <filters>
        <filter val="DEF"/>
        <filter val="FWD"/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4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45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41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42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18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14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16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4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2026-07-19T22:45:45Z</dcterms:modified>
  <cp:category/>
  <cp:contentStatus/>
</cp:coreProperties>
</file>